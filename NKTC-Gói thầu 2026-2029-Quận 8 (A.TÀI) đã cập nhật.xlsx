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THANH PHƯỢNG\HOÀN CÔNG\QUẬN 8\QUẬN 8 _ THÁNG 07-2026\"/>
    </mc:Choice>
  </mc:AlternateContent>
  <xr:revisionPtr revIDLastSave="0" documentId="13_ncr:1_{D4D02AED-5258-419E-8FC4-05C150E5D5BB}" xr6:coauthVersionLast="47" xr6:coauthVersionMax="47" xr10:uidLastSave="{00000000-0000-0000-0000-000000000000}"/>
  <bookViews>
    <workbookView xWindow="-120" yWindow="-120" windowWidth="29040" windowHeight="15720" activeTab="4" xr2:uid="{00000000-000D-0000-FFFF-FFFF00000000}"/>
  </bookViews>
  <sheets>
    <sheet name="BÌA TỔNG-G2" sheetId="10" r:id="rId1"/>
    <sheet name="Biavh-Q8" sheetId="67" r:id="rId2"/>
    <sheet name="Tr1-G2 " sheetId="21" r:id="rId3"/>
    <sheet name="Tr2-G2" sheetId="22" r:id="rId4"/>
    <sheet name="vh-Q8" sheetId="55" r:id="rId5"/>
    <sheet name="vh-G2 (Nghỉ)" sheetId="57" r:id="rId6"/>
    <sheet name="Biadtu-Q8" sheetId="68" state="hidden" r:id="rId7"/>
  </sheets>
  <externalReferences>
    <externalReference r:id="rId8"/>
    <externalReference r:id="rId9"/>
    <externalReference r:id="rId10"/>
    <externalReference r:id="rId11"/>
  </externalReferences>
  <definedNames>
    <definedName name="_a129" localSheetId="0"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DList" localSheetId="0">OFFSET('[1]Thong tin'!$B$1,MATCH('[1]Ky bien ban'!$B1,'[1]Thong tin'!$B:$B,0)-1,3,VLOOKUP('[1]Ky bien ban'!$B1,'[1]Thong tin'!$B$1:$H$527,2,0),1)</definedName>
    <definedName name="_DList" localSheetId="2">OFFSET('[1]Thong tin'!$B$1,MATCH('[1]Ky bien ban'!$B1,'[1]Thong tin'!$B:$B,0)-1,3,VLOOKUP('[1]Ky bien ban'!$B1,'[1]Thong tin'!$B$1:$H$527,2,0),1)</definedName>
    <definedName name="_DList" localSheetId="3">OFFSET('[2]Thong tin'!$B$1,MATCH('[2]Ky bien ban'!$B1,'[2]Thong tin'!$B:$B,0)-1,3,VLOOKUP('[2]Ky bien ban'!$B1,'[2]Thong tin'!$B$1:$H$527,2,0),1)</definedName>
    <definedName name="_DList" localSheetId="5">OFFSET('[3]Thong tin'!$B$1,MATCH('[3]Ky bien ban'!$B1,'[3]Thong tin'!$B:$B,0)-1,3,VLOOKUP('[3]Ky bien ban'!$B1,'[3]Thong tin'!$B$1:$H$527,2,0),1)</definedName>
    <definedName name="_DList" localSheetId="4">OFFSET('[3]Thong tin'!$B$1,MATCH('[3]Ky bien ban'!$B1,'[3]Thong tin'!$B:$B,0)-1,3,VLOOKUP('[3]Ky bien ban'!$B1,'[3]Thong tin'!$B$1:$H$527,2,0),1)</definedName>
    <definedName name="_DList">OFFSET('[4]Thong tin'!$B$1,MATCH('[4]Ky bien ban'!$B1,'[4]Thong tin'!$B:$B,0)-1,3,VLOOKUP('[4]Ky bien ban'!$B1,'[4]Thong tin'!$B$1:$H$527,2,0),1)</definedName>
    <definedName name="_DSthanhphan" localSheetId="0">OFFSET('[1]Thong tin'!$B$116,0,0,COUNTA([1]Ts!$B$3:$B$10),1)</definedName>
    <definedName name="_DSthanhphan" localSheetId="2">OFFSET('[1]Thong tin'!$B$116,0,0,COUNTA([1]Ts!$B$3:$B$10),1)</definedName>
    <definedName name="_DSthanhphan" localSheetId="3">OFFSET('[2]Thong tin'!$B$116,0,0,COUNTA([2]Ts!$B$3:$B$10),1)</definedName>
    <definedName name="_DSthanhphan" localSheetId="5">OFFSET('[3]Thong tin'!$B$116,0,0,COUNTA([3]Ts!$B$3:$B$10),1)</definedName>
    <definedName name="_DSthanhphan" localSheetId="4">OFFSET('[3]Thong tin'!$B$116,0,0,COUNTA([3]Ts!$B$3:$B$10),1)</definedName>
    <definedName name="_DSthanhphan">OFFSET('[4]Thong tin'!$B$116,0,0,COUNTA([4]Ts!$B$3:$B$10),1)</definedName>
    <definedName name="_Fill" localSheetId="0" hidden="1">#REF!</definedName>
    <definedName name="_Fill" localSheetId="2" hidden="1">#REF!</definedName>
    <definedName name="_Fill" localSheetId="3" hidden="1">#REF!</definedName>
    <definedName name="_Fill" hidden="1">#REF!</definedName>
    <definedName name="_Key1" localSheetId="0" hidden="1">#REF!</definedName>
    <definedName name="_Key1" localSheetId="2" hidden="1">#REF!</definedName>
    <definedName name="_Key1" localSheetId="3" hidden="1">#REF!</definedName>
    <definedName name="_Key1" hidden="1">#REF!</definedName>
    <definedName name="_Key2" localSheetId="0" hidden="1">#REF!</definedName>
    <definedName name="_Key2" localSheetId="2" hidden="1">#REF!</definedName>
    <definedName name="_Key2" localSheetId="3" hidden="1">#REF!</definedName>
    <definedName name="_Key2" hidden="1">#REF!</definedName>
    <definedName name="_KyLM" localSheetId="0">'[1]Ky bien ban'!$C$4:$G$8</definedName>
    <definedName name="_KyLM" localSheetId="2">'[1]Ky bien ban'!$C$4:$G$8</definedName>
    <definedName name="_KyLM" localSheetId="3">'[2]Ky bien ban'!$C$4:$G$8</definedName>
    <definedName name="_KyLM" localSheetId="5">'[3]Ky bien ban'!$C$4:$G$8</definedName>
    <definedName name="_KyLM" localSheetId="4">'[3]Ky bien ban'!$C$4:$G$8</definedName>
    <definedName name="_KyLM">'[4]Ky bien ban'!$C$4:$G$8</definedName>
    <definedName name="_KyNoibo" localSheetId="0">'[1]Ky bien ban'!$C$11:$G$17</definedName>
    <definedName name="_KyNoibo" localSheetId="2">'[1]Ky bien ban'!$C$11:$G$17</definedName>
    <definedName name="_KyNoibo" localSheetId="3">'[2]Ky bien ban'!$C$11:$G$17</definedName>
    <definedName name="_KyNoibo" localSheetId="5">'[3]Ky bien ban'!$C$11:$G$15</definedName>
    <definedName name="_KyNoibo" localSheetId="4">'[3]Ky bien ban'!$C$11:$G$15</definedName>
    <definedName name="_KyNoibo">'[4]Ky bien ban'!$C$11:$G$17</definedName>
    <definedName name="_KyNghiemthu" localSheetId="0">'[1]Ky bien ban'!$C$27:$G$31</definedName>
    <definedName name="_KyNghiemthu" localSheetId="2">'[1]Ky bien ban'!$C$27:$G$31</definedName>
    <definedName name="_KyNghiemthu" localSheetId="3">'[2]Ky bien ban'!$C$27:$G$31</definedName>
    <definedName name="_KyNghiemthu" localSheetId="5">'[3]Ky bien ban'!$C$25:$G$29</definedName>
    <definedName name="_KyNghiemthu" localSheetId="4">'[3]Ky bien ban'!$C$25:$G$29</definedName>
    <definedName name="_KyNghiemthu">'[4]Ky bien ban'!$C$27:$G$31</definedName>
    <definedName name="_KyYeucau" localSheetId="0">'[1]Ky bien ban'!$C$20:$G$24</definedName>
    <definedName name="_KyYeucau" localSheetId="2">'[1]Ky bien ban'!$C$20:$G$24</definedName>
    <definedName name="_KyYeucau" localSheetId="3">'[2]Ky bien ban'!$C$20:$G$24</definedName>
    <definedName name="_KyYeucau" localSheetId="5">'[3]Ky bien ban'!$C$18:$G$22</definedName>
    <definedName name="_KyYeucau" localSheetId="4">'[3]Ky bien ban'!$C$18:$G$22</definedName>
    <definedName name="_KyYeucau">'[4]Ky bien ban'!$C$20:$G$24</definedName>
    <definedName name="_Order1" hidden="1">255</definedName>
    <definedName name="_Order2" hidden="1">255</definedName>
    <definedName name="_Sort" localSheetId="0" hidden="1">#REF!</definedName>
    <definedName name="_Sort" localSheetId="2" hidden="1">#REF!</definedName>
    <definedName name="_Sort" localSheetId="3" hidden="1">#REF!</definedName>
    <definedName name="_Sort" hidden="1">#REF!</definedName>
    <definedName name="_tenchucdanh" localSheetId="0">'[1]Thong tin'!$E$10:$G$117</definedName>
    <definedName name="_tenchucdanh" localSheetId="2">'[1]Thong tin'!$E$10:$G$117</definedName>
    <definedName name="_tenchucdanh" localSheetId="3">'[2]Thong tin'!$E$10:$G$117</definedName>
    <definedName name="_tenchucdanh" localSheetId="5">'[3]Thong tin'!$E$10:$G$117</definedName>
    <definedName name="_tenchucdanh" localSheetId="4">'[3]Thong tin'!$E$10:$G$117</definedName>
    <definedName name="_tenchucdanh">'[4]Thong tin'!$E$10:$G$117</definedName>
    <definedName name="aaaaaa" localSheetId="0" hidden="1">{"Offgrid",#N/A,FALSE,"OFFGRID";"Region",#N/A,FALSE,"REGION";"Offgrid -2",#N/A,FALSE,"OFFGRID";"WTP",#N/A,FALSE,"WTP";"WTP -2",#N/A,FALSE,"WTP";"Project",#N/A,FALSE,"PROJECT";"Summary -2",#N/A,FALSE,"SUMMARY"}</definedName>
    <definedName name="aaaaaa" localSheetId="2" hidden="1">{"Offgrid",#N/A,FALSE,"OFFGRID";"Region",#N/A,FALSE,"REGION";"Offgrid -2",#N/A,FALSE,"OFFGRID";"WTP",#N/A,FALSE,"WTP";"WTP -2",#N/A,FALSE,"WTP";"Project",#N/A,FALSE,"PROJECT";"Summary -2",#N/A,FALSE,"SUMMARY"}</definedName>
    <definedName name="aaaaaa" localSheetId="3" hidden="1">{"Offgrid",#N/A,FALSE,"OFFGRID";"Region",#N/A,FALSE,"REGION";"Offgrid -2",#N/A,FALSE,"OFFGRID";"WTP",#N/A,FALSE,"WTP";"WTP -2",#N/A,FALSE,"WTP";"Project",#N/A,FALSE,"PROJECT";"Summary -2",#N/A,FALSE,"SUMMARY"}</definedName>
    <definedName name="aaaaaa" localSheetId="5" hidden="1">{"Offgrid",#N/A,FALSE,"OFFGRID";"Region",#N/A,FALSE,"REGION";"Offgrid -2",#N/A,FALSE,"OFFGRID";"WTP",#N/A,FALSE,"WTP";"WTP -2",#N/A,FALSE,"WTP";"Project",#N/A,FALSE,"PROJECT";"Summary -2",#N/A,FALSE,"SUMMARY"}</definedName>
    <definedName name="aaaaaa" localSheetId="4"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ctual" localSheetId="0">('BÌA TỔNG-G2'!PeriodInActual*('[3]Tien do TV'!$J1&gt;0))*'BÌA TỔNG-G2'!PeriodInPlan</definedName>
    <definedName name="Actual" localSheetId="2">('Tr1-G2 '!PeriodInActual*('[3]Tien do TV'!$J1&gt;0))*'Tr1-G2 '!PeriodInPlan</definedName>
    <definedName name="Actual" localSheetId="3">([0]!PeriodInActual*('[3]Tien do TV'!$J1&gt;0))*[0]!PeriodInPlan</definedName>
    <definedName name="Actual" localSheetId="5">([0]!PeriodInActual*('[3]Tien do TV'!$J1&gt;0))*[0]!PeriodInPlan</definedName>
    <definedName name="Actual" localSheetId="4">([0]!PeriodInActual*('[3]Tien do TV'!$J1&gt;0))*[0]!PeriodInPlan</definedName>
    <definedName name="Actual">(PeriodInActual*('[3]Tien do TV'!$J1&gt;0))*PeriodInPlan</definedName>
    <definedName name="ActualBeyond" localSheetId="0">'BÌA TỔNG-G2'!PeriodInActual*('[3]Tien do TV'!$J1&gt;0)</definedName>
    <definedName name="ActualBeyond" localSheetId="2">'Tr1-G2 '!PeriodInActual*('[3]Tien do TV'!$J1&gt;0)</definedName>
    <definedName name="ActualBeyond" localSheetId="3">[0]!PeriodInActual*('[3]Tien do TV'!$J1&gt;0)</definedName>
    <definedName name="ActualBeyond" localSheetId="5">[0]!PeriodInActual*('[3]Tien do TV'!$J1&gt;0)</definedName>
    <definedName name="ActualBeyond" localSheetId="4">[0]!PeriodInActual*('[3]Tien do TV'!$J1&gt;0)</definedName>
    <definedName name="ActualBeyond">PeriodInActual*('[3]Tien do TV'!$J1&gt;0)</definedName>
    <definedName name="asssss" localSheetId="0" hidden="1">{"'Sheet1'!$L$16"}</definedName>
    <definedName name="asssss" localSheetId="2" hidden="1">{"'Sheet1'!$L$16"}</definedName>
    <definedName name="asssss" localSheetId="3" hidden="1">{"'Sheet1'!$L$16"}</definedName>
    <definedName name="asssss" localSheetId="5" hidden="1">{"'Sheet1'!$L$16"}</definedName>
    <definedName name="asssss" localSheetId="4" hidden="1">{"'Sheet1'!$L$16"}</definedName>
    <definedName name="asssss" hidden="1">{"'Sheet1'!$L$16"}</definedName>
    <definedName name="B_DMBBNTCV" localSheetId="0">'[1]Danh muc NT cong viec'!$A$7:$Z$5015</definedName>
    <definedName name="B_DMBBNTCV" localSheetId="2">'[1]Danh muc NT cong viec'!$A$7:$Z$5015</definedName>
    <definedName name="B_DMBBNTCV" localSheetId="3">'[2]Danh muc NT cong viec'!$A$7:$Z$5015</definedName>
    <definedName name="B_DMBBNTCV" localSheetId="5">'[3]Danh muc NT cong viec'!$A$7:$AD$5016</definedName>
    <definedName name="B_DMBBNTCV" localSheetId="4">'[3]Danh muc NT cong viec'!$A$7:$AD$5016</definedName>
    <definedName name="B_DMBBNTCV">'[4]Danh muc NT cong viec'!$A$7:$Z$5015</definedName>
    <definedName name="B_DMNTGD" localSheetId="0">'[1]Danh muc NT Giai doan'!$A$7:$M$501</definedName>
    <definedName name="B_DMNTGD" localSheetId="2">'[1]Danh muc NT Giai doan'!$A$7:$M$501</definedName>
    <definedName name="B_DMNTGD" localSheetId="3">'[2]Danh muc NT Giai doan'!$A$7:$M$501</definedName>
    <definedName name="B_DMNTGD" localSheetId="5">'[3]Danh muc NT Giai doan'!$A$7:$M$501</definedName>
    <definedName name="B_DMNTGD" localSheetId="4">'[3]Danh muc NT Giai doan'!$A$7:$M$501</definedName>
    <definedName name="B_DMNTGD">'[4]Danh muc NT Giai doan'!$A$7:$M$501</definedName>
    <definedName name="B_DMVLDV" localSheetId="0">'[1]Danh muc NT Vat lieu'!$A$7:$R$5015</definedName>
    <definedName name="B_DMVLDV" localSheetId="2">'[1]Danh muc NT Vat lieu'!$A$7:$R$5015</definedName>
    <definedName name="B_DMVLDV" localSheetId="3">'[2]Danh muc NT Vat lieu'!$A$7:$R$5015</definedName>
    <definedName name="B_DMVLDV" localSheetId="5">'[3]Danh muc NT Vat lieu'!$A$7:$R$5013</definedName>
    <definedName name="B_DMVLDV" localSheetId="4">'[3]Danh muc NT Vat lieu'!$A$7:$R$5013</definedName>
    <definedName name="B_DMVLDV">'[4]Danh muc NT Vat lieu'!$A$7:$R$5015</definedName>
    <definedName name="bbbb" localSheetId="0" hidden="1">{"Offgrid",#N/A,FALSE,"OFFGRID";"Region",#N/A,FALSE,"REGION";"Offgrid -2",#N/A,FALSE,"OFFGRID";"WTP",#N/A,FALSE,"WTP";"WTP -2",#N/A,FALSE,"WTP";"Project",#N/A,FALSE,"PROJECT";"Summary -2",#N/A,FALSE,"SUMMARY"}</definedName>
    <definedName name="bbbb" localSheetId="2" hidden="1">{"Offgrid",#N/A,FALSE,"OFFGRID";"Region",#N/A,FALSE,"REGION";"Offgrid -2",#N/A,FALSE,"OFFGRID";"WTP",#N/A,FALSE,"WTP";"WTP -2",#N/A,FALSE,"WTP";"Project",#N/A,FALSE,"PROJECT";"Summary -2",#N/A,FALSE,"SUMMARY"}</definedName>
    <definedName name="bbbb" localSheetId="3" hidden="1">{"Offgrid",#N/A,FALSE,"OFFGRID";"Region",#N/A,FALSE,"REGION";"Offgrid -2",#N/A,FALSE,"OFFGRID";"WTP",#N/A,FALSE,"WTP";"WTP -2",#N/A,FALSE,"WTP";"Project",#N/A,FALSE,"PROJECT";"Summary -2",#N/A,FALSE,"SUMMARY"}</definedName>
    <definedName name="bbbb" localSheetId="5" hidden="1">{"Offgrid",#N/A,FALSE,"OFFGRID";"Region",#N/A,FALSE,"REGION";"Offgrid -2",#N/A,FALSE,"OFFGRID";"WTP",#N/A,FALSE,"WTP";"WTP -2",#N/A,FALSE,"WTP";"Project",#N/A,FALSE,"PROJECT";"Summary -2",#N/A,FALSE,"SUMMARY"}</definedName>
    <definedName name="bbbb" localSheetId="4" hidden="1">{"Offgrid",#N/A,FALSE,"OFFGRID";"Region",#N/A,FALSE,"REGION";"Offgrid -2",#N/A,FALSE,"OFFGRID";"WTP",#N/A,FALSE,"WTP";"WTP -2",#N/A,FALSE,"WTP";"Project",#N/A,FALSE,"PROJECT";"Summary -2",#N/A,FALSE,"SUMMARY"}</definedName>
    <definedName name="bbbb" hidden="1">{"Offgrid",#N/A,FALSE,"OFFGRID";"Region",#N/A,FALSE,"REGION";"Offgrid -2",#N/A,FALSE,"OFFGRID";"WTP",#N/A,FALSE,"WTP";"WTP -2",#N/A,FALSE,"WTP";"Project",#N/A,FALSE,"PROJECT";"Summary -2",#N/A,FALSE,"SUMMARY"}</definedName>
    <definedName name="ccc" localSheetId="0" hidden="1">{"'Sheet1'!$L$16"}</definedName>
    <definedName name="ccc" localSheetId="2" hidden="1">{"'Sheet1'!$L$16"}</definedName>
    <definedName name="ccc" localSheetId="3" hidden="1">{"'Sheet1'!$L$16"}</definedName>
    <definedName name="ccc" localSheetId="5" hidden="1">{"'Sheet1'!$L$16"}</definedName>
    <definedName name="ccc" localSheetId="4" hidden="1">{"'Sheet1'!$L$16"}</definedName>
    <definedName name="ccc" hidden="1">{"'Sheet1'!$L$16"}</definedName>
    <definedName name="CF1_a129" localSheetId="0" hidden="1">{"Offgrid",#N/A,FALSE,"OFFGRID";"Region",#N/A,FALSE,"REGION";"Offgrid -2",#N/A,FALSE,"OFFGRID";"WTP",#N/A,FALSE,"WTP";"WTP -2",#N/A,FALSE,"WTP";"Project",#N/A,FALSE,"PROJECT";"Summary -2",#N/A,FALSE,"SUMMARY"}</definedName>
    <definedName name="CF1_a129" localSheetId="2" hidden="1">{"Offgrid",#N/A,FALSE,"OFFGRID";"Region",#N/A,FALSE,"REGION";"Offgrid -2",#N/A,FALSE,"OFFGRID";"WTP",#N/A,FALSE,"WTP";"WTP -2",#N/A,FALSE,"WTP";"Project",#N/A,FALSE,"PROJECT";"Summary -2",#N/A,FALSE,"SUMMARY"}</definedName>
    <definedName name="CF1_a129" localSheetId="3" hidden="1">{"Offgrid",#N/A,FALSE,"OFFGRID";"Region",#N/A,FALSE,"REGION";"Offgrid -2",#N/A,FALSE,"OFFGRID";"WTP",#N/A,FALSE,"WTP";"WTP -2",#N/A,FALSE,"WTP";"Project",#N/A,FALSE,"PROJECT";"Summary -2",#N/A,FALSE,"SUMMARY"}</definedName>
    <definedName name="CF1_a129" localSheetId="5" hidden="1">{"Offgrid",#N/A,FALSE,"OFFGRID";"Region",#N/A,FALSE,"REGION";"Offgrid -2",#N/A,FALSE,"OFFGRID";"WTP",#N/A,FALSE,"WTP";"WTP -2",#N/A,FALSE,"WTP";"Project",#N/A,FALSE,"PROJECT";"Summary -2",#N/A,FALSE,"SUMMARY"}</definedName>
    <definedName name="CF1_a129" localSheetId="4"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PTB_TM" localSheetId="0">'[3]THCP tu van'!$F$14</definedName>
    <definedName name="CPTB_TM" localSheetId="2">'[3]THCP tu van'!$F$14</definedName>
    <definedName name="CPTB_TM">'[3]THCP tu van'!$F$14</definedName>
    <definedName name="CPXD_TM" localSheetId="0">'[3]THCP tu van'!$F$13</definedName>
    <definedName name="CPXD_TM" localSheetId="2">'[3]THCP tu van'!$F$13</definedName>
    <definedName name="CPXD_TM">'[3]THCP tu van'!$F$13</definedName>
    <definedName name="dddddd" localSheetId="0" hidden="1">{"Offgrid",#N/A,FALSE,"OFFGRID";"Region",#N/A,FALSE,"REGION";"Offgrid -2",#N/A,FALSE,"OFFGRID";"WTP",#N/A,FALSE,"WTP";"WTP -2",#N/A,FALSE,"WTP";"Project",#N/A,FALSE,"PROJECT";"Summary -2",#N/A,FALSE,"SUMMARY"}</definedName>
    <definedName name="dddddd" localSheetId="2" hidden="1">{"Offgrid",#N/A,FALSE,"OFFGRID";"Region",#N/A,FALSE,"REGION";"Offgrid -2",#N/A,FALSE,"OFFGRID";"WTP",#N/A,FALSE,"WTP";"WTP -2",#N/A,FALSE,"WTP";"Project",#N/A,FALSE,"PROJECT";"Summary -2",#N/A,FALSE,"SUMMARY"}</definedName>
    <definedName name="dddddd" localSheetId="3" hidden="1">{"Offgrid",#N/A,FALSE,"OFFGRID";"Region",#N/A,FALSE,"REGION";"Offgrid -2",#N/A,FALSE,"OFFGRID";"WTP",#N/A,FALSE,"WTP";"WTP -2",#N/A,FALSE,"WTP";"Project",#N/A,FALSE,"PROJECT";"Summary -2",#N/A,FALSE,"SUMMARY"}</definedName>
    <definedName name="dddddd" localSheetId="5" hidden="1">{"Offgrid",#N/A,FALSE,"OFFGRID";"Region",#N/A,FALSE,"REGION";"Offgrid -2",#N/A,FALSE,"OFFGRID";"WTP",#N/A,FALSE,"WTP";"WTP -2",#N/A,FALSE,"WTP";"Project",#N/A,FALSE,"PROJECT";"Summary -2",#N/A,FALSE,"SUMMARY"}</definedName>
    <definedName name="dddddd" localSheetId="4"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FiLL" localSheetId="0" hidden="1">#REF!</definedName>
    <definedName name="FiLL" localSheetId="2" hidden="1">#REF!</definedName>
    <definedName name="FiLL" localSheetId="3" hidden="1">#REF!</definedName>
    <definedName name="FiLL" hidden="1">#REF!</definedName>
    <definedName name="GKS" localSheetId="0">'[3]THCP tu van'!$F$17</definedName>
    <definedName name="GKS" localSheetId="2">'[3]THCP tu van'!$F$17</definedName>
    <definedName name="GKS">'[3]THCP tu van'!$F$17</definedName>
    <definedName name="GTBtt" localSheetId="0">'[3]THCP tu van'!$F$16</definedName>
    <definedName name="GTBtt" localSheetId="2">'[3]THCP tu van'!$F$16</definedName>
    <definedName name="GTBtt">'[3]THCP tu van'!$F$16</definedName>
    <definedName name="GXDtt" localSheetId="0">'[3]THCP tu van'!$F$15</definedName>
    <definedName name="GXDtt" localSheetId="2">'[3]THCP tu van'!$F$15</definedName>
    <definedName name="GXDtt">'[3]THCP tu van'!$F$15</definedName>
    <definedName name="h" localSheetId="0" hidden="1">{"'Sheet1'!$L$16"}</definedName>
    <definedName name="h" localSheetId="2" hidden="1">{"'Sheet1'!$L$16"}</definedName>
    <definedName name="h" localSheetId="3" hidden="1">{"'Sheet1'!$L$16"}</definedName>
    <definedName name="h" localSheetId="5" hidden="1">{"'Sheet1'!$L$16"}</definedName>
    <definedName name="h" localSheetId="4" hidden="1">{"'Sheet1'!$L$16"}</definedName>
    <definedName name="h" hidden="1">{"'Sheet1'!$L$16"}</definedName>
    <definedName name="hhhhhu" localSheetId="0" hidden="1">{"'Sheet1'!$L$16"}</definedName>
    <definedName name="hhhhhu" localSheetId="2" hidden="1">{"'Sheet1'!$L$16"}</definedName>
    <definedName name="hhhhhu" localSheetId="3" hidden="1">{"'Sheet1'!$L$16"}</definedName>
    <definedName name="hhhhhu" localSheetId="5" hidden="1">{"'Sheet1'!$L$16"}</definedName>
    <definedName name="hhhhhu" localSheetId="4" hidden="1">{"'Sheet1'!$L$16"}</definedName>
    <definedName name="hhhhhu" hidden="1">{"'Sheet1'!$L$16"}</definedName>
    <definedName name="HK_A" localSheetId="5">'vh-G2 (Nghỉ)'!$C$15</definedName>
    <definedName name="HK_A" localSheetId="4">'vh-Q8'!$C$13</definedName>
    <definedName name="HK_B" localSheetId="5">'vh-G2 (Nghỉ)'!#REF!</definedName>
    <definedName name="HK_B" localSheetId="4">'vh-Q8'!#REF!</definedName>
    <definedName name="HK_C" localSheetId="5">'vh-G2 (Nghỉ)'!#REF!</definedName>
    <definedName name="HK_C" localSheetId="4">'vh-Q8'!#REF!</definedName>
    <definedName name="HK_CONG" localSheetId="5">'vh-G2 (Nghỉ)'!$C$2</definedName>
    <definedName name="HK_CONG" localSheetId="4">'vh-Q8'!$C$2</definedName>
    <definedName name="HK_D" localSheetId="5">'vh-G2 (Nghỉ)'!#REF!</definedName>
    <definedName name="HK_D" localSheetId="4">'vh-Q8'!#REF!</definedName>
    <definedName name="HK_E" localSheetId="5">'vh-G2 (Nghỉ)'!#REF!</definedName>
    <definedName name="HK_E" localSheetId="4">'vh-Q8'!#REF!</definedName>
    <definedName name="HK_NBD" localSheetId="5">'vh-G2 (Nghỉ)'!#REF!</definedName>
    <definedName name="HK_NBD" localSheetId="4">'vh-Q8'!#REF!</definedName>
    <definedName name="HK_NKT" localSheetId="5">'vh-G2 (Nghỉ)'!#REF!</definedName>
    <definedName name="HK_NKT" localSheetId="4">'vh-Q8'!#REF!</definedName>
    <definedName name="HK_NGAY" localSheetId="0">'[1]ND Nhat ky'!$G$5</definedName>
    <definedName name="HK_NGAY" localSheetId="2">'[1]ND Nhat ky'!$G$5</definedName>
    <definedName name="HK_NGAY" localSheetId="3">'[2]ND Nhat ky'!$G$5</definedName>
    <definedName name="HK_NGAY" localSheetId="5">'vh-G2 (Nghỉ)'!#REF!</definedName>
    <definedName name="HK_NGAY" localSheetId="4">'vh-Q8'!#REF!</definedName>
    <definedName name="HK_NGAY">'[4]ND Nhat ky'!$G$5</definedName>
    <definedName name="HTML_CodePage" hidden="1">950</definedName>
    <definedName name="HTML_Control" localSheetId="0" hidden="1">{"'Sheet1'!$L$16"}</definedName>
    <definedName name="HTML_Control" localSheetId="2" hidden="1">{"'Sheet1'!$L$16"}</definedName>
    <definedName name="HTML_Control" localSheetId="3" hidden="1">{"'Sheet1'!$L$16"}</definedName>
    <definedName name="HTML_Control" localSheetId="5"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localSheetId="2" hidden="1">{"'Sheet1'!$L$16"}</definedName>
    <definedName name="huy" localSheetId="3" hidden="1">{"'Sheet1'!$L$16"}</definedName>
    <definedName name="huy" localSheetId="5" hidden="1">{"'Sheet1'!$L$16"}</definedName>
    <definedName name="huy" localSheetId="4" hidden="1">{"'Sheet1'!$L$16"}</definedName>
    <definedName name="huy" hidden="1">{"'Sheet1'!$L$16"}</definedName>
    <definedName name="k" localSheetId="0"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3" hidden="1">{"Offgrid",#N/A,FALSE,"OFFGRID";"Region",#N/A,FALSE,"REGION";"Offgrid -2",#N/A,FALSE,"OFFGRID";"WTP",#N/A,FALSE,"WTP";"WTP -2",#N/A,FALSE,"WTP";"Project",#N/A,FALSE,"PROJECT";"Summary -2",#N/A,FALSE,"SUMMARY"}</definedName>
    <definedName name="k" localSheetId="5" hidden="1">{"Offgrid",#N/A,FALSE,"OFFGRID";"Region",#N/A,FALSE,"REGION";"Offgrid -2",#N/A,FALSE,"OFFGRID";"WTP",#N/A,FALSE,"WTP";"WTP -2",#N/A,FALSE,"WTP";"Project",#N/A,FALSE,"PROJECT";"Summary -2",#N/A,FALSE,"SUMMARY"}</definedName>
    <definedName name="k" localSheetId="4"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List_CDT" localSheetId="0">OFFSET('[1]Thong tin'!$E$13,0,0,COUNTA('[1]Thong tin'!$E$13:$E$21),1)</definedName>
    <definedName name="List_CDT" localSheetId="2">OFFSET('[1]Thong tin'!$E$13,0,0,COUNTA('[1]Thong tin'!$E$13:$E$21),1)</definedName>
    <definedName name="List_CDT" localSheetId="3">OFFSET('[2]Thong tin'!$E$13,0,0,COUNTA('[2]Thong tin'!$E$13:$E$21),1)</definedName>
    <definedName name="List_CDT" localSheetId="5">OFFSET('[3]Thong tin'!$E$13,0,0,COUNTA('[3]Thong tin'!$E$13:$E$21),1)</definedName>
    <definedName name="List_CDT" localSheetId="4">OFFSET('[3]Thong tin'!$E$13,0,0,COUNTA('[3]Thong tin'!$E$13:$E$21),1)</definedName>
    <definedName name="List_CDT">OFFSET('[4]Thong tin'!$E$13,0,0,COUNTA('[4]Thong tin'!$E$13:$E$21),1)</definedName>
    <definedName name="List_NDT" localSheetId="0">OFFSET('[3]Thong tin'!$E$25,0,0,COUNTA('[3]Thong tin'!$E$25:$E$33),1)</definedName>
    <definedName name="List_NDT" localSheetId="2">OFFSET('[3]Thong tin'!$E$25,0,0,COUNTA('[3]Thong tin'!$E$25:$E$33),1)</definedName>
    <definedName name="List_NDT">OFFSET('[3]Thong tin'!$E$25,0,0,COUNTA('[3]Thong tin'!$E$25:$E$33),1)</definedName>
    <definedName name="List_NTTC" localSheetId="0">OFFSET('[1]Thong tin'!$E$64,0,0,COUNTA('[1]Thong tin'!$E$64:$E$71),1)</definedName>
    <definedName name="List_NTTC" localSheetId="2">OFFSET('[1]Thong tin'!$E$64,0,0,COUNTA('[1]Thong tin'!$E$64:$E$71),1)</definedName>
    <definedName name="List_NTTC" localSheetId="3">OFFSET('[2]Thong tin'!$E$64,0,0,COUNTA('[2]Thong tin'!$E$64:$E$71),1)</definedName>
    <definedName name="List_NTTC" localSheetId="5">OFFSET('[3]Thong tin'!$E$64,0,0,COUNTA('[3]Thong tin'!$E$64:$E$71),1)</definedName>
    <definedName name="List_NTTC" localSheetId="4">OFFSET('[3]Thong tin'!$E$64,0,0,COUNTA('[3]Thong tin'!$E$64:$E$71),1)</definedName>
    <definedName name="List_NTTC">OFFSET('[4]Thong tin'!$E$64,0,0,COUNTA('[4]Thong tin'!$E$64:$E$71),1)</definedName>
    <definedName name="List_Tke" localSheetId="0">OFFSET('[1]Thong tin'!$E$88,0,0,COUNTA('[1]Thong tin'!$E$88:$E$91),1)</definedName>
    <definedName name="List_Tke" localSheetId="2">OFFSET('[1]Thong tin'!$E$88,0,0,COUNTA('[1]Thong tin'!$E$88:$E$91),1)</definedName>
    <definedName name="List_Tke" localSheetId="3">OFFSET('[2]Thong tin'!$E$88,0,0,COUNTA('[2]Thong tin'!$E$88:$E$91),1)</definedName>
    <definedName name="List_Tke" localSheetId="5">OFFSET('[3]Thong tin'!$E$88,0,0,COUNTA('[3]Thong tin'!$E$88:$E$91),1)</definedName>
    <definedName name="List_Tke" localSheetId="4">OFFSET('[3]Thong tin'!$E$88,0,0,COUNTA('[3]Thong tin'!$E$88:$E$91),1)</definedName>
    <definedName name="List_Tke">OFFSET('[4]Thong tin'!$E$88,0,0,COUNTA('[4]Thong tin'!$E$88:$E$91),1)</definedName>
    <definedName name="List_TVGS" localSheetId="0">OFFSET('[1]Thong tin'!$E$52,0,0,COUNTA('[1]Thong tin'!$E$52:$E$57),1)</definedName>
    <definedName name="List_TVGS" localSheetId="2">OFFSET('[1]Thong tin'!$E$52,0,0,COUNTA('[1]Thong tin'!$E$52:$E$57),1)</definedName>
    <definedName name="List_TVGS" localSheetId="3">OFFSET('[2]Thong tin'!$E$52,0,0,COUNTA('[2]Thong tin'!$E$52:$E$57),1)</definedName>
    <definedName name="List_TVGS" localSheetId="5">OFFSET('[3]Thong tin'!$E$52,0,0,COUNTA('[3]Thong tin'!$E$52:$E$57),1)</definedName>
    <definedName name="List_TVGS" localSheetId="4">OFFSET('[3]Thong tin'!$E$52,0,0,COUNTA('[3]Thong tin'!$E$52:$E$57),1)</definedName>
    <definedName name="List_TVGS">OFFSET('[4]Thong tin'!$E$52,0,0,COUNTA('[4]Thong tin'!$E$52:$E$57),1)</definedName>
    <definedName name="List_thinghiem" localSheetId="0">OFFSET('[1]Thong tin'!$E$81,0,0,COUNTA('[1]Thong tin'!$E$78:$E$81),1)</definedName>
    <definedName name="List_thinghiem" localSheetId="2">OFFSET('[1]Thong tin'!$E$81,0,0,COUNTA('[1]Thong tin'!$E$78:$E$81),1)</definedName>
    <definedName name="List_thinghiem" localSheetId="3">OFFSET('[2]Thong tin'!$E$81,0,0,COUNTA('[2]Thong tin'!$E$78:$E$81),1)</definedName>
    <definedName name="List_thinghiem" localSheetId="5">OFFSET('[3]Thong tin'!$E$81,0,0,COUNTA('[3]Thong tin'!$E$78:$E$81),1)</definedName>
    <definedName name="List_thinghiem" localSheetId="4">OFFSET('[3]Thong tin'!$E$81,0,0,COUNTA('[3]Thong tin'!$E$78:$E$81),1)</definedName>
    <definedName name="List_thinghiem">OFFSET('[4]Thong tin'!$E$81,0,0,COUNTA('[4]Thong tin'!$E$78:$E$81),1)</definedName>
    <definedName name="loaicongtrinh" localSheetId="0">'[3]THCP tu van'!$F$18</definedName>
    <definedName name="loaicongtrinh" localSheetId="2">'[3]THCP tu van'!$F$18</definedName>
    <definedName name="loaicongtrinh">'[3]THCP tu van'!$F$18</definedName>
    <definedName name="new" localSheetId="0" hidden="1">{"Offgrid",#N/A,FALSE,"OFFGRID";"Region",#N/A,FALSE,"REGION";"Offgrid -2",#N/A,FALSE,"OFFGRID";"WTP",#N/A,FALSE,"WTP";"WTP -2",#N/A,FALSE,"WTP";"Project",#N/A,FALSE,"PROJECT";"Summary -2",#N/A,FALSE,"SUMMARY"}</definedName>
    <definedName name="new" localSheetId="2" hidden="1">{"Offgrid",#N/A,FALSE,"OFFGRID";"Region",#N/A,FALSE,"REGION";"Offgrid -2",#N/A,FALSE,"OFFGRID";"WTP",#N/A,FALSE,"WTP";"WTP -2",#N/A,FALSE,"WTP";"Project",#N/A,FALSE,"PROJECT";"Summary -2",#N/A,FALSE,"SUMMARY"}</definedName>
    <definedName name="new" localSheetId="3" hidden="1">{"Offgrid",#N/A,FALSE,"OFFGRID";"Region",#N/A,FALSE,"REGION";"Offgrid -2",#N/A,FALSE,"OFFGRID";"WTP",#N/A,FALSE,"WTP";"WTP -2",#N/A,FALSE,"WTP";"Project",#N/A,FALSE,"PROJECT";"Summary -2",#N/A,FALSE,"SUMMARY"}</definedName>
    <definedName name="new" localSheetId="5" hidden="1">{"Offgrid",#N/A,FALSE,"OFFGRID";"Region",#N/A,FALSE,"REGION";"Offgrid -2",#N/A,FALSE,"OFFGRID";"WTP",#N/A,FALSE,"WTP";"WTP -2",#N/A,FALSE,"WTP";"Project",#N/A,FALSE,"PROJECT";"Summary -2",#N/A,FALSE,"SUMMARY"}</definedName>
    <definedName name="new" localSheetId="4" hidden="1">{"Offgrid",#N/A,FALSE,"OFFGRID";"Region",#N/A,FALSE,"REGION";"Offgrid -2",#N/A,FALSE,"OFFGRID";"WTP",#N/A,FALSE,"WTP";"WTP -2",#N/A,FALSE,"WTP";"Project",#N/A,FALSE,"PROJECT";"Summary -2",#N/A,FALSE,"SUMMARY"}</definedName>
    <definedName name="new" hidden="1">{"Offgrid",#N/A,FALSE,"OFFGRID";"Region",#N/A,FALSE,"REGION";"Offgrid -2",#N/A,FALSE,"OFFGRID";"WTP",#N/A,FALSE,"WTP";"WTP -2",#N/A,FALSE,"WTP";"Project",#N/A,FALSE,"PROJECT";"Summary -2",#N/A,FALSE,"SUMMARY"}</definedName>
    <definedName name="NKBS_3" localSheetId="0">'[1]trang VH1'!#REF!</definedName>
    <definedName name="NKBS_3" localSheetId="2">'[1]trang VH1'!#REF!</definedName>
    <definedName name="NKBS_32" localSheetId="0">'[1]trang VH1'!#REF!</definedName>
    <definedName name="NKBS_32" localSheetId="2">'[1]trang VH1'!#REF!</definedName>
    <definedName name="NKBS_32" localSheetId="3">'[2]ND Nhat ky (2)'!#REF!</definedName>
    <definedName name="NKBS_32">'[4]ND Nhat ky 2p'!#REF!</definedName>
    <definedName name="NKBS_33" localSheetId="0">'[1]trang VH1'!#REF!</definedName>
    <definedName name="NKBS_33" localSheetId="2">'[1]trang VH1'!#REF!</definedName>
    <definedName name="NKBS_33" localSheetId="3">'[4]ND Nhat ky 2p'!#REF!</definedName>
    <definedName name="NKBS_33">'[4]ND Nhat ky 2p'!#REF!</definedName>
    <definedName name="NKBS_34" localSheetId="0">'[1]trang VH1'!#REF!</definedName>
    <definedName name="NKBS_34" localSheetId="2">'[1]trang VH1'!#REF!</definedName>
    <definedName name="NKBS_34" localSheetId="3">'[4]ND Nhat ky 2p'!#REF!</definedName>
    <definedName name="NKBS_34">'[4]ND Nhat ky 2p'!#REF!</definedName>
    <definedName name="NKBS_35" localSheetId="0">'[1]trang VH1'!#REF!</definedName>
    <definedName name="NKBS_35" localSheetId="2">'[1]trang VH1'!#REF!</definedName>
    <definedName name="NKBS_35" localSheetId="3">'[4]ND Nhat ky 2p'!#REF!</definedName>
    <definedName name="NKBS_35">'[4]ND Nhat ky 2p'!#REF!</definedName>
    <definedName name="NKBS_4" localSheetId="0">'[1]trang VH1'!#REF!</definedName>
    <definedName name="NKBS_4" localSheetId="2">'[1]trang VH1'!#REF!</definedName>
    <definedName name="NKBS_4" localSheetId="3">'[4]ND Nhat ky 2p'!#REF!</definedName>
    <definedName name="NKBS_4">'[4]ND Nhat ky 2p'!#REF!</definedName>
    <definedName name="NKBS_5" localSheetId="0">'[1]trang VH1'!#REF!</definedName>
    <definedName name="NKBS_5" localSheetId="2">'[1]trang VH1'!#REF!</definedName>
    <definedName name="NKBS_5" localSheetId="3">'[4]ND Nhat ky 2p'!#REF!</definedName>
    <definedName name="NKBS_5">'[4]ND Nhat ky 2p'!#REF!</definedName>
    <definedName name="NKBS_6" localSheetId="0">'[1]trang VH1'!#REF!</definedName>
    <definedName name="NKBS_6" localSheetId="2">'[1]trang VH1'!#REF!</definedName>
    <definedName name="NKBS_6" localSheetId="3">'[4]ND Nhat ky 2p'!#REF!</definedName>
    <definedName name="NKBS_6">'[4]ND Nhat ky 2p'!#REF!</definedName>
    <definedName name="NKBS_7" localSheetId="0">'[1]trang VH1'!#REF!</definedName>
    <definedName name="NKBS_7" localSheetId="2">'[1]trang VH1'!#REF!</definedName>
    <definedName name="NKBS_7" localSheetId="3">'[4]ND Nhat ky 2p'!#REF!</definedName>
    <definedName name="NKBS_7">'[4]ND Nhat ky 2p'!#REF!</definedName>
    <definedName name="NKBS_8" localSheetId="0">'[1]trang VH1'!#REF!</definedName>
    <definedName name="NKBS_8" localSheetId="2">'[1]trang VH1'!#REF!</definedName>
    <definedName name="NKBS_8" localSheetId="3">'[4]ND Nhat ky 2p'!#REF!</definedName>
    <definedName name="NKBS_8">'[4]ND Nhat ky 2p'!#REF!</definedName>
    <definedName name="NKBS_9" localSheetId="0">'[1]trang VH1'!#REF!</definedName>
    <definedName name="NKBS_9" localSheetId="2">'[1]trang VH1'!#REF!</definedName>
    <definedName name="NKBS_9" localSheetId="3">'[4]ND Nhat ky 2p'!#REF!</definedName>
    <definedName name="NKBS_9">'[4]ND Nhat ky 2p'!#REF!</definedName>
    <definedName name="PercentComplete" localSheetId="0">'BÌA TỔNG-G2'!PercentCompleteBeyond*'BÌA TỔNG-G2'!PeriodInPlan</definedName>
    <definedName name="PercentComplete" localSheetId="2">'Tr1-G2 '!PercentCompleteBeyond*'Tr1-G2 '!PeriodInPlan</definedName>
    <definedName name="PercentComplete" localSheetId="3">[0]!PercentCompleteBeyond*[0]!PeriodInPlan</definedName>
    <definedName name="PercentComplete" localSheetId="5">[0]!PercentCompleteBeyond*[0]!PeriodInPlan</definedName>
    <definedName name="PercentComplete" localSheetId="4">[0]!PercentCompleteBeyond*[0]!PeriodInPlan</definedName>
    <definedName name="PercentComplete">PercentCompleteBeyond*PeriodInPlan</definedName>
    <definedName name="PercentCompleteBeyond" localSheetId="0">('[3]Tien do TV'!A$7=MEDIAN('[3]Tien do TV'!A$7,'[3]Tien do TV'!$J1,'[3]Tien do TV'!$J1+'[3]Tien do TV'!$K1)*('[3]Tien do TV'!$J1&gt;0))*(('[3]Tien do TV'!A$7&lt;(INT('[3]Tien do TV'!$J1+'[3]Tien do TV'!$K1*'[3]Tien do TV'!$L1)))+('[3]Tien do TV'!A$7='[3]Tien do TV'!$J1))*('[3]Tien do TV'!$L1&gt;0)</definedName>
    <definedName name="PercentCompleteBeyond" localSheetId="2">('[3]Tien do TV'!A$7=MEDIAN('[3]Tien do TV'!A$7,'[3]Tien do TV'!$J1,'[3]Tien do TV'!$J1+'[3]Tien do TV'!$K1)*('[3]Tien do TV'!$J1&gt;0))*(('[3]Tien do TV'!A$7&lt;(INT('[3]Tien do TV'!$J1+'[3]Tien do TV'!$K1*'[3]Tien do TV'!$L1)))+('[3]Tien do TV'!A$7='[3]Tien do TV'!$J1))*('[3]Tien do TV'!$L1&gt;0)</definedName>
    <definedName name="PercentCompleteBeyond">('[3]Tien do TV'!A$7=MEDIAN('[3]Tien do TV'!A$7,'[3]Tien do TV'!$J1,'[3]Tien do TV'!$J1+'[3]Tien do TV'!$K1)*('[3]Tien do TV'!$J1&gt;0))*(('[3]Tien do TV'!A$7&lt;(INT('[3]Tien do TV'!$J1+'[3]Tien do TV'!$K1*'[3]Tien do TV'!$L1)))+('[3]Tien do TV'!A$7='[3]Tien do TV'!$J1))*('[3]Tien do TV'!$L1&gt;0)</definedName>
    <definedName name="period_selected" localSheetId="0">'[3]Tien do TV'!$P$1</definedName>
    <definedName name="period_selected" localSheetId="2">'[3]Tien do TV'!$P$1</definedName>
    <definedName name="period_selected">'[3]Tien do TV'!$P$1</definedName>
    <definedName name="PeriodInActual" localSheetId="0">'[3]Tien do TV'!A$7=MEDIAN('[3]Tien do TV'!A$7,'[3]Tien do TV'!$J1,'[3]Tien do TV'!$J1+'[3]Tien do TV'!$K1-1)</definedName>
    <definedName name="PeriodInActual" localSheetId="2">'[3]Tien do TV'!A$7=MEDIAN('[3]Tien do TV'!A$7,'[3]Tien do TV'!$J1,'[3]Tien do TV'!$J1+'[3]Tien do TV'!$K1-1)</definedName>
    <definedName name="PeriodInActual">'[3]Tien do TV'!A$7=MEDIAN('[3]Tien do TV'!A$7,'[3]Tien do TV'!$J1,'[3]Tien do TV'!$J1+'[3]Tien do TV'!$K1-1)</definedName>
    <definedName name="PeriodInPlan" localSheetId="0">'[3]Tien do TV'!A$7=MEDIAN('[3]Tien do TV'!A$7,'[3]Tien do TV'!$F1,'[3]Tien do TV'!$F1+'[3]Tien do TV'!$G1-1)</definedName>
    <definedName name="PeriodInPlan" localSheetId="2">'[3]Tien do TV'!A$7=MEDIAN('[3]Tien do TV'!A$7,'[3]Tien do TV'!$F1,'[3]Tien do TV'!$F1+'[3]Tien do TV'!$G1-1)</definedName>
    <definedName name="PeriodInPlan">'[3]Tien do TV'!A$7=MEDIAN('[3]Tien do TV'!A$7,'[3]Tien do TV'!$F1,'[3]Tien do TV'!$F1+'[3]Tien do TV'!$G1-1)</definedName>
    <definedName name="Plan" localSheetId="0">'BÌA TỔNG-G2'!PeriodInPlan*('[3]Tien do TV'!$F1&gt;0)</definedName>
    <definedName name="Plan" localSheetId="2">'Tr1-G2 '!PeriodInPlan*('[3]Tien do TV'!$F1&gt;0)</definedName>
    <definedName name="Plan" localSheetId="3">[0]!PeriodInPlan*('[3]Tien do TV'!$F1&gt;0)</definedName>
    <definedName name="Plan" localSheetId="5">[0]!PeriodInPlan*('[3]Tien do TV'!$F1&gt;0)</definedName>
    <definedName name="Plan" localSheetId="4">[0]!PeriodInPlan*('[3]Tien do TV'!$F1&gt;0)</definedName>
    <definedName name="Plan">PeriodInPlan*('[3]Tien do TV'!$F1&gt;0)</definedName>
    <definedName name="_xlnm.Print_Area" localSheetId="0">'BÌA TỔNG-G2'!$A$1:$M$27</definedName>
    <definedName name="_xlnm.Print_Area" localSheetId="6">'Biadtu-Q8'!$B$2:$M$27</definedName>
    <definedName name="_xlnm.Print_Area" localSheetId="1">'Biavh-Q8'!$B$2:$M$27</definedName>
    <definedName name="_xlnm.Print_Area" localSheetId="2">'Tr1-G2 '!$A$1:$E$21</definedName>
    <definedName name="_xlnm.Print_Area" localSheetId="3">'Tr2-G2'!$B$1:$K$24</definedName>
    <definedName name="_xlnm.Print_Area" localSheetId="5">'vh-G2 (Nghỉ)'!$A$1:$Q$97</definedName>
    <definedName name="_xlnm.Print_Area" localSheetId="4">'vh-Q8'!$A$1:$L$2309</definedName>
    <definedName name="_xlnm.Print_Titles" localSheetId="5">'vh-G2 (Nghỉ)'!#REF!</definedName>
    <definedName name="ssssssss" localSheetId="0" hidden="1">{"Offgrid",#N/A,FALSE,"OFFGRID";"Region",#N/A,FALSE,"REGION";"Offgrid -2",#N/A,FALSE,"OFFGRID";"WTP",#N/A,FALSE,"WTP";"WTP -2",#N/A,FALSE,"WTP";"Project",#N/A,FALSE,"PROJECT";"Summary -2",#N/A,FALSE,"SUMMARY"}</definedName>
    <definedName name="ssssssss" localSheetId="2" hidden="1">{"Offgrid",#N/A,FALSE,"OFFGRID";"Region",#N/A,FALSE,"REGION";"Offgrid -2",#N/A,FALSE,"OFFGRID";"WTP",#N/A,FALSE,"WTP";"WTP -2",#N/A,FALSE,"WTP";"Project",#N/A,FALSE,"PROJECT";"Summary -2",#N/A,FALSE,"SUMMARY"}</definedName>
    <definedName name="ssssssss" localSheetId="3" hidden="1">{"Offgrid",#N/A,FALSE,"OFFGRID";"Region",#N/A,FALSE,"REGION";"Offgrid -2",#N/A,FALSE,"OFFGRID";"WTP",#N/A,FALSE,"WTP";"WTP -2",#N/A,FALSE,"WTP";"Project",#N/A,FALSE,"PROJECT";"Summary -2",#N/A,FALSE,"SUMMARY"}</definedName>
    <definedName name="ssssssss" localSheetId="5" hidden="1">{"Offgrid",#N/A,FALSE,"OFFGRID";"Region",#N/A,FALSE,"REGION";"Offgrid -2",#N/A,FALSE,"OFFGRID";"WTP",#N/A,FALSE,"WTP";"WTP -2",#N/A,FALSE,"WTP";"Project",#N/A,FALSE,"PROJECT";"Summary -2",#N/A,FALSE,"SUMMARY"}</definedName>
    <definedName name="ssssssss" localSheetId="4"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vvvvvvv" localSheetId="0" hidden="1">{#N/A,#N/A,FALSE,"Chi tiÆt"}</definedName>
    <definedName name="vvvvvvv" localSheetId="2" hidden="1">{#N/A,#N/A,FALSE,"Chi tiÆt"}</definedName>
    <definedName name="vvvvvvv" localSheetId="3" hidden="1">{#N/A,#N/A,FALSE,"Chi tiÆt"}</definedName>
    <definedName name="vvvvvvv" localSheetId="5" hidden="1">{#N/A,#N/A,FALSE,"Chi tiÆt"}</definedName>
    <definedName name="vvvvvvv" localSheetId="4" hidden="1">{#N/A,#N/A,FALSE,"Chi tiÆt"}</definedName>
    <definedName name="vvvvvvv" hidden="1">{#N/A,#N/A,FALSE,"Chi tiÆt"}</definedName>
    <definedName name="wrn.chi._.tiÆt." localSheetId="0" hidden="1">{#N/A,#N/A,FALSE,"Chi tiÆt"}</definedName>
    <definedName name="wrn.chi._.tiÆt." localSheetId="2" hidden="1">{#N/A,#N/A,FALSE,"Chi tiÆt"}</definedName>
    <definedName name="wrn.chi._.tiÆt." localSheetId="3" hidden="1">{#N/A,#N/A,FALSE,"Chi tiÆt"}</definedName>
    <definedName name="wrn.chi._.tiÆt." localSheetId="5" hidden="1">{#N/A,#N/A,FALSE,"Chi tiÆt"}</definedName>
    <definedName name="wrn.chi._.tiÆt." localSheetId="4" hidden="1">{#N/A,#N/A,FALSE,"Chi tiÆt"}</definedName>
    <definedName name="wrn.chi._.tiÆt." hidden="1">{#N/A,#N/A,FALSE,"Chi tiÆt"}</definedName>
    <definedName name="wrn.Report." localSheetId="0"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wwwwww" localSheetId="0" hidden="1">{"Offgrid",#N/A,FALSE,"OFFGRID";"Region",#N/A,FALSE,"REGION";"Offgrid -2",#N/A,FALSE,"OFFGRID";"WTP",#N/A,FALSE,"WTP";"WTP -2",#N/A,FALSE,"WTP";"Project",#N/A,FALSE,"PROJECT";"Summary -2",#N/A,FALSE,"SUMMARY"}</definedName>
    <definedName name="wwwwwww" localSheetId="2" hidden="1">{"Offgrid",#N/A,FALSE,"OFFGRID";"Region",#N/A,FALSE,"REGION";"Offgrid -2",#N/A,FALSE,"OFFGRID";"WTP",#N/A,FALSE,"WTP";"WTP -2",#N/A,FALSE,"WTP";"Project",#N/A,FALSE,"PROJECT";"Summary -2",#N/A,FALSE,"SUMMARY"}</definedName>
    <definedName name="wwwwwww" localSheetId="3" hidden="1">{"Offgrid",#N/A,FALSE,"OFFGRID";"Region",#N/A,FALSE,"REGION";"Offgrid -2",#N/A,FALSE,"OFFGRID";"WTP",#N/A,FALSE,"WTP";"WTP -2",#N/A,FALSE,"WTP";"Project",#N/A,FALSE,"PROJECT";"Summary -2",#N/A,FALSE,"SUMMARY"}</definedName>
    <definedName name="wwwwwww" localSheetId="5" hidden="1">{"Offgrid",#N/A,FALSE,"OFFGRID";"Region",#N/A,FALSE,"REGION";"Offgrid -2",#N/A,FALSE,"OFFGRID";"WTP",#N/A,FALSE,"WTP";"WTP -2",#N/A,FALSE,"WTP";"Project",#N/A,FALSE,"PROJECT";"Summary -2",#N/A,FALSE,"SUMMARY"}</definedName>
    <definedName name="wwwwwww" localSheetId="4"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45" i="55" l="1"/>
  <c r="A2241" i="55"/>
  <c r="I2175" i="55"/>
  <c r="I2105" i="55"/>
  <c r="I2035" i="55"/>
  <c r="I1965" i="55"/>
  <c r="I1895" i="55"/>
  <c r="I1825" i="55"/>
  <c r="I1755" i="55"/>
  <c r="I1685" i="55"/>
  <c r="I1615" i="55"/>
  <c r="I1545" i="55"/>
  <c r="I1475" i="55"/>
  <c r="I1405" i="55"/>
  <c r="I1335" i="55"/>
  <c r="I1265" i="55"/>
  <c r="I1195" i="55"/>
  <c r="I1125" i="55"/>
  <c r="I1055" i="55"/>
  <c r="I985" i="55"/>
  <c r="I915" i="55"/>
  <c r="I845" i="55"/>
  <c r="I775" i="55"/>
  <c r="I705" i="55"/>
  <c r="I635" i="55"/>
  <c r="I565" i="55"/>
  <c r="A561" i="55"/>
  <c r="I495" i="55"/>
  <c r="I425" i="55"/>
  <c r="I355" i="55"/>
  <c r="I285" i="55"/>
  <c r="I215" i="55"/>
  <c r="I146" i="55"/>
  <c r="I76" i="55"/>
  <c r="H69" i="55"/>
  <c r="H139" i="55" s="1"/>
  <c r="H209" i="55" s="1"/>
  <c r="H278" i="55" s="1"/>
  <c r="H348" i="55" s="1"/>
  <c r="H418" i="55" s="1"/>
  <c r="H488" i="55" s="1"/>
  <c r="H558" i="55" s="1"/>
  <c r="H628" i="55" s="1"/>
  <c r="H698" i="55" s="1"/>
  <c r="H768" i="55" s="1"/>
  <c r="H838" i="55" s="1"/>
  <c r="H908" i="55" s="1"/>
  <c r="H978" i="55" s="1"/>
  <c r="H1048" i="55" s="1"/>
  <c r="H1118" i="55" s="1"/>
  <c r="H1188" i="55" s="1"/>
  <c r="H1258" i="55" s="1"/>
  <c r="H1328" i="55" s="1"/>
  <c r="H1398" i="55" s="1"/>
  <c r="H1468" i="55" s="1"/>
  <c r="H1538" i="55" s="1"/>
  <c r="H1608" i="55" s="1"/>
  <c r="H1678" i="55" s="1"/>
  <c r="H1748" i="55" s="1"/>
  <c r="H1818" i="55" s="1"/>
  <c r="H1888" i="55" s="1"/>
  <c r="H1958" i="55" s="1"/>
  <c r="H2028" i="55" s="1"/>
  <c r="H2098" i="55" s="1"/>
  <c r="H2168" i="55" s="1"/>
  <c r="H2238" i="55" s="1"/>
  <c r="H2308" i="55" s="1"/>
  <c r="B69" i="55"/>
  <c r="B139" i="55" s="1"/>
  <c r="B209" i="55" s="1"/>
  <c r="B278" i="55" s="1"/>
  <c r="B348" i="55" s="1"/>
  <c r="B418" i="55" s="1"/>
  <c r="B488" i="55" s="1"/>
  <c r="B558" i="55" s="1"/>
  <c r="B628" i="55" s="1"/>
  <c r="B698" i="55" s="1"/>
  <c r="B768" i="55" s="1"/>
  <c r="B838" i="55" s="1"/>
  <c r="B908" i="55" s="1"/>
  <c r="B978" i="55" s="1"/>
  <c r="B1048" i="55" s="1"/>
  <c r="B1118" i="55" s="1"/>
  <c r="B1188" i="55" s="1"/>
  <c r="B1258" i="55" s="1"/>
  <c r="B1328" i="55" s="1"/>
  <c r="B1398" i="55" s="1"/>
  <c r="B1468" i="55" s="1"/>
  <c r="B1538" i="55" s="1"/>
  <c r="B1608" i="55" s="1"/>
  <c r="B1678" i="55" s="1"/>
  <c r="B1748" i="55" s="1"/>
  <c r="B1818" i="55" s="1"/>
  <c r="B1888" i="55" s="1"/>
  <c r="B1958" i="55" s="1"/>
  <c r="B2028" i="55" s="1"/>
  <c r="B2098" i="55" s="1"/>
  <c r="B2168" i="55" s="1"/>
  <c r="B2238" i="55" s="1"/>
  <c r="B2308" i="55" s="1"/>
  <c r="P3" i="55"/>
  <c r="O3" i="55"/>
  <c r="A2171" i="55" s="1"/>
  <c r="A2" i="55"/>
  <c r="I6" i="55"/>
  <c r="I17" i="21"/>
  <c r="H17" i="21"/>
  <c r="G17" i="21"/>
  <c r="B7" i="10"/>
  <c r="O13" i="67"/>
  <c r="H17" i="10"/>
  <c r="C16" i="21" l="1"/>
  <c r="A142" i="55"/>
  <c r="A1191" i="55"/>
  <c r="A281" i="55"/>
  <c r="A1471" i="55"/>
  <c r="A631" i="55"/>
  <c r="A1751" i="55"/>
  <c r="A911" i="55"/>
  <c r="A2031" i="55"/>
  <c r="A491" i="55"/>
  <c r="A841" i="55"/>
  <c r="A1121" i="55"/>
  <c r="A1401" i="55"/>
  <c r="A1681" i="55"/>
  <c r="A1961" i="55"/>
  <c r="A351" i="55"/>
  <c r="A701" i="55"/>
  <c r="A981" i="55"/>
  <c r="A1261" i="55"/>
  <c r="A1541" i="55"/>
  <c r="A1821" i="55"/>
  <c r="A2101" i="55"/>
  <c r="A421" i="55"/>
  <c r="A771" i="55"/>
  <c r="A1051" i="55"/>
  <c r="A1331" i="55"/>
  <c r="A1611" i="55"/>
  <c r="A1891" i="55"/>
  <c r="A211" i="55"/>
  <c r="A72" i="55"/>
  <c r="B27" i="68"/>
  <c r="B27" i="67"/>
  <c r="E13" i="68"/>
  <c r="C15" i="22" l="1"/>
  <c r="C10" i="22"/>
  <c r="C9" i="22"/>
  <c r="D14" i="10" l="1"/>
  <c r="D13" i="10"/>
  <c r="D12" i="10"/>
  <c r="D11" i="10"/>
  <c r="B11" i="10"/>
  <c r="D10" i="10"/>
  <c r="B10" i="10"/>
  <c r="B97" i="57"/>
  <c r="K97" i="57"/>
  <c r="C22" i="68"/>
  <c r="C20" i="68"/>
  <c r="E16" i="68"/>
  <c r="E15" i="68"/>
  <c r="E12" i="68"/>
  <c r="E11" i="68"/>
  <c r="E10" i="68"/>
  <c r="E14" i="68"/>
  <c r="C22" i="67"/>
  <c r="C20" i="67"/>
  <c r="E16" i="67"/>
  <c r="E15" i="67"/>
  <c r="E14" i="67"/>
  <c r="E13" i="67"/>
  <c r="E12" i="67"/>
  <c r="E11" i="67"/>
  <c r="E10" i="67"/>
</calcChain>
</file>

<file path=xl/sharedStrings.xml><?xml version="1.0" encoding="utf-8"?>
<sst xmlns="http://schemas.openxmlformats.org/spreadsheetml/2006/main" count="11510" uniqueCount="194">
  <si>
    <t>CỘNG HÒA XÃ HỘI CHỦ NGHĨA VIỆT NAM</t>
  </si>
  <si>
    <t>Độc lập - Tự do - Hạnh phúc</t>
  </si>
  <si>
    <t>NHẬT KÝ THI CÔNG
XÂY DỰNG CÔNG TRÌNH</t>
  </si>
  <si>
    <t>Gói thầu:</t>
  </si>
  <si>
    <t>Địa điểm:</t>
  </si>
  <si>
    <t>NHẬT KÝ THI CÔNG</t>
  </si>
  <si>
    <t>CÔNG TY CỔ PHẦN</t>
  </si>
  <si>
    <t>CHIẾU SÁNG CÔNG CỘNG TP.HCM</t>
  </si>
  <si>
    <t>TỔNG GIÁM ĐỐC</t>
  </si>
  <si>
    <t>KT. GIÁM ĐỐC</t>
  </si>
  <si>
    <t>PHÓ GIÁM ĐỐC</t>
  </si>
  <si>
    <t>Lê Văn Tấn</t>
  </si>
  <si>
    <t>Bên A:</t>
  </si>
  <si>
    <t>Trung tâm Quản lý Giao thông và Hạ tầng kỹ thuật TP.HCM</t>
  </si>
  <si>
    <t>Bên B:</t>
  </si>
  <si>
    <t>Đại diện liên danh:</t>
  </si>
  <si>
    <t>Công ty cổ phần Chiếu sáng công cộng TP.HCM</t>
  </si>
  <si>
    <t xml:space="preserve">* Đại diện bên A: </t>
  </si>
  <si>
    <t>Chữ ký</t>
  </si>
  <si>
    <t>Chức vụ: Chuyên viên phụ trách địa bàn</t>
  </si>
  <si>
    <t>* Đại diện bên B:</t>
  </si>
  <si>
    <t>Chức vụ: Chỉ huy trưởng</t>
  </si>
  <si>
    <t>(Sổ này gồm.............trang, đánh số thứ tự từ 1 đến............ có đóng dấu giáp lai )</t>
  </si>
  <si>
    <t>Quyển số:……../tổng số…….quyển.</t>
  </si>
  <si>
    <t xml:space="preserve">Đơn vị thi công: </t>
  </si>
  <si>
    <t xml:space="preserve">Đại diện liên danh: </t>
  </si>
  <si>
    <t>Chủ đầu tư:</t>
  </si>
  <si>
    <t xml:space="preserve">TRUNG TÂM QUẢN LÝ GIAO THÔNG VÀ </t>
  </si>
  <si>
    <t>HẠ TẦNG KỸ THUẬT TP.HCM</t>
  </si>
  <si>
    <t>Huỳnh Trí Dũng</t>
  </si>
  <si>
    <t>LIỆT KÊ CÁC VĂN BẢN</t>
  </si>
  <si>
    <t>LIÊN QUAN ĐẾN CÔNG TRÌNH</t>
  </si>
  <si>
    <t>TT</t>
  </si>
  <si>
    <t>Văn bản số ngày</t>
  </si>
  <si>
    <t>Cơ quan phát hành</t>
  </si>
  <si>
    <t>Ngày nhận</t>
  </si>
  <si>
    <t>Tóm tắt nội dung</t>
  </si>
  <si>
    <t>................................................
................................................</t>
  </si>
  <si>
    <t>Chuyên viên phụ trách địa bàn</t>
  </si>
  <si>
    <t>Chuyên viên -P.QLCSCX</t>
  </si>
  <si>
    <t xml:space="preserve">Đại diện bên A: </t>
  </si>
  <si>
    <t>II</t>
  </si>
  <si>
    <t>Phụ trách kỹ thuật thi công</t>
  </si>
  <si>
    <t>Chỉ huy trưởng</t>
  </si>
  <si>
    <t>Trưởng phòng KHVT</t>
  </si>
  <si>
    <t>Chỉ huy trưởng công trình</t>
  </si>
  <si>
    <t>Đại diện bên B:</t>
  </si>
  <si>
    <t>I</t>
  </si>
  <si>
    <t>Ghi chú</t>
  </si>
  <si>
    <t>Nhiệm vụ</t>
  </si>
  <si>
    <t>Chức danh</t>
  </si>
  <si>
    <t>Họ và tên</t>
  </si>
  <si>
    <t>THAM GIA XÂY DỰNG CÔNG TRÌNH</t>
  </si>
  <si>
    <t xml:space="preserve">DANH SÁCH CÁN BỘ KỸ THUẬT - GIÁM SÁT </t>
  </si>
  <si>
    <t>Bình thường</t>
  </si>
  <si>
    <t xml:space="preserve"> NHẬT KÝ THI CÔNG HÀNG NGÀY</t>
  </si>
  <si>
    <t>Ngày          tháng      năm 2026</t>
  </si>
  <si>
    <t>1. Tình hình thời tiết</t>
  </si>
  <si>
    <t>Buổi sáng</t>
  </si>
  <si>
    <t>Buổi chiều</t>
  </si>
  <si>
    <t>Thời tiết</t>
  </si>
  <si>
    <t>Nhiệt độ</t>
  </si>
  <si>
    <t>2. Nhân lực và thiết bị thi công:</t>
  </si>
  <si>
    <t>2.1. Nhân lực</t>
  </si>
  <si>
    <t>- Công nhân:                          người</t>
  </si>
  <si>
    <t>- Nhân lực khác:</t>
  </si>
  <si>
    <t>2.2. Thiết bị thi công:</t>
  </si>
  <si>
    <t>3. Tình hình diễn biến thi công, nghiệm thu công việc</t>
  </si>
  <si>
    <t>Công tác quản lý vận hành</t>
  </si>
  <si>
    <t>.</t>
  </si>
  <si>
    <t>Duy trì trạm đèn &lt; 500m</t>
  </si>
  <si>
    <t>trạm</t>
  </si>
  <si>
    <t>Duy trì trạm đèn &lt; 500m (trong hẻm)</t>
  </si>
  <si>
    <t>Duy trì trạm đèn &lt; 500m (khu dân cư)</t>
  </si>
  <si>
    <t>Duy trì trạm đèn 500m - 1000m</t>
  </si>
  <si>
    <t>Duy trì trạm đèn 500m - 1000m (trong hẻm)</t>
  </si>
  <si>
    <t>Duy trì trạm đèn 500m - 1000m (khu dân cư)</t>
  </si>
  <si>
    <t>Duy trì trạm đèn 1000m - 1500m</t>
  </si>
  <si>
    <t>Duy trì trạm đèn 1000m - 1500m (trong hẻm)</t>
  </si>
  <si>
    <t>Duy trì trạm đèn 1000m - 1500m (khu dân cư)</t>
  </si>
  <si>
    <t>Duy trì trạm đèn 1500m - 3000m</t>
  </si>
  <si>
    <t>Duy trì trạm đèn 1500m - 3000m (khu dân cư)</t>
  </si>
  <si>
    <t>Duy trì trạm đèn &lt; 500m - kết nối về trung tâm điều khiển</t>
  </si>
  <si>
    <t>Duy trì trạm đèn 500m - 1000m - kết nối về trung tâm điều khiển</t>
  </si>
  <si>
    <t>Duy trì trạm đèn 500m - 1000m (trong hẻm) - kết nối về trung tâm điều khiển</t>
  </si>
  <si>
    <t>Duy trì trạm đèn 500m - 1000m (khu dân cư) - kết nối về trung tâm điều khiển</t>
  </si>
  <si>
    <t>Duy trì trạm đèn 1000m - 1500m - kết nối về trung tâm điều khiển</t>
  </si>
  <si>
    <t>Duy trì trạm đèn 1000m - 1500m (trong hẻm) - kết nối về trung tâm điều khiển</t>
  </si>
  <si>
    <t>Duy trì trạm đèn 1500m - 3000m - kết nối về trung tâm điều khiển</t>
  </si>
  <si>
    <t>Duy trì trạm đèn 1500m - 3000m (trong hẻm) - kết nối về trung tâm điều khiển</t>
  </si>
  <si>
    <t>Duy trì trạm đèn &gt; 3000m - kết nối về trung tâm điều khiển</t>
  </si>
  <si>
    <t>Duy trì trạm đèn 1500m - 3000m (trong hẻm)</t>
  </si>
  <si>
    <t>4. Công tác vệ sinh môi trường:</t>
  </si>
  <si>
    <t>5. Công tác an toàn lao động, an toàn giao thông:</t>
  </si>
  <si>
    <t xml:space="preserve">6.Nhận xét và yêu cầu của giám sát bên A: </t>
  </si>
  <si>
    <t>7. Những kiến nghị đề xuất của bên B:</t>
  </si>
  <si>
    <t>ĐẠI DIỆN BÊN A</t>
  </si>
  <si>
    <t>ĐẠI DIỆN BÊN B</t>
  </si>
  <si>
    <t>Duy trì trạm đèn &lt; 500m ngoại thành</t>
  </si>
  <si>
    <t>Duy trì trạm đèn 500m - 1000m ngoại thành</t>
  </si>
  <si>
    <t>Duy trì trạm đèn 1000m - 1500m ngoại thành</t>
  </si>
  <si>
    <t>Duy trì trạm đèn 1500m - 3000m ngoại thành</t>
  </si>
  <si>
    <t>Duy trì trạm đèn &gt; 3000m ngoại thành</t>
  </si>
  <si>
    <t>Duy trì trạm đèn &lt; 500m (trong hẻm) - kết nối về trung tâm điều khiển</t>
  </si>
  <si>
    <t>Duy trì trạm đèn &lt; 500m (khu dân cư) - kết nối về trung tâm điều khiển</t>
  </si>
  <si>
    <t>Duy trì trạm đèn 1000m - 1500m (khu dân cư) - kết nối về trung tâm điều khiển</t>
  </si>
  <si>
    <t>Duy trì trạm đèn &gt; 3000m ngoại thành - kết nối về trung tâm điều khiển</t>
  </si>
  <si>
    <t>Ông Nguyễn Thành Nam</t>
  </si>
  <si>
    <t>Phi tư vấn Công tác Quản lý, bảo trì hệ thống chiếu sáng đô thị thuộc địa bàn phường Xóm Chiếu, phường Khánh Hội, phường Vĩnh Hội, phường Bình Tây, phường Bình Tiên, phường Bình Phú, phường Phú Lâm, phường Tân Thuận, phường Phú Thuận, phường Tân Mỹ,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t>
  </si>
  <si>
    <t>Liên danh Chiếu sáng công cộng TP.HCM - Kỹ thuật Điện Phú Thọ</t>
  </si>
  <si>
    <t>01/7/2026</t>
  </si>
  <si>
    <t>Hợp đồng về cung cấp dịch vụ sự nghiệp công</t>
  </si>
  <si>
    <t>Số 3881/TB-TTGTHTKT ngày 01/7/2026</t>
  </si>
  <si>
    <t>Triển khai khởi công công tác Quản lý, bảo trì hệ thống chiếu sáng đô thị</t>
  </si>
  <si>
    <t>Trung tâm Quản lý Giao thông và Hạ tầng kỹ thuật TP. Hồ Chí Minh</t>
  </si>
  <si>
    <t>Trung tâm Quản lý Giao thông và Hạ tầng kỹ thuật TP. Hồ Chí Minh và Liên danh Chiếu sáng công cộng TP.HCM - Kỹ thuật Điện Phú Thọ</t>
  </si>
  <si>
    <t>Nguyễn Thành Nam</t>
  </si>
  <si>
    <t>Quyết định cử nhân sự chủ chốt thi công gói thầu</t>
  </si>
  <si>
    <t>Số 712/CTCSCC-KHVT ngày 01/7/2026</t>
  </si>
  <si>
    <t>Tháng</t>
  </si>
  <si>
    <t>Ông Nguyễn Ngọc Huấn …………..</t>
  </si>
  <si>
    <t>Hợp đồng điện tử số: HD2600157625_2606301841</t>
  </si>
  <si>
    <t>Dự toán mua sắm:</t>
  </si>
  <si>
    <t>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t>
  </si>
  <si>
    <t>Cung cấp dịch vụ sự nghiệp công Công tác Quản lý, bảo trì hệ thống chiếu sáng đô thị thuộc địa bàn 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t>
  </si>
  <si>
    <t>XÂY DỰNG CÔNG TRÌNH</t>
  </si>
  <si>
    <t xml:space="preserve">Công tác: </t>
  </si>
  <si>
    <t>...............</t>
  </si>
  <si>
    <t>*</t>
  </si>
  <si>
    <t>Tủ thường</t>
  </si>
  <si>
    <t>Tủ kết nối</t>
  </si>
  <si>
    <t>Duy trì trạm đèn &lt; 500m (ngoại thành) - kết nối về trung tâm điều khiển</t>
  </si>
  <si>
    <t>Duy trì trạm đèn 500m - 1000m (ngoại thành) - kết nối về trung tâm điều khiển</t>
  </si>
  <si>
    <t>Duy trì trạm đèn 1000m - 1500m (ngoại thành) - kết nối về trung tâm điều khiển</t>
  </si>
  <si>
    <t>Duy trì trạm đèn 1500m - 3000m (ngoại thành) - kết nối về trung tâm điều khiển</t>
  </si>
  <si>
    <t>Stt</t>
  </si>
  <si>
    <t>Đơn vị tính</t>
  </si>
  <si>
    <t xml:space="preserve">  Tốt</t>
  </si>
  <si>
    <t>Bên A</t>
  </si>
  <si>
    <t>Bên B</t>
  </si>
  <si>
    <t>Duy trì trạm đèn 1500m - 3000m (khu dân cư) - kết nối về trung tâm điều khiển</t>
  </si>
  <si>
    <t>Duy trì trạm đèn &gt; 3000m</t>
  </si>
  <si>
    <t>Duy trì trạm đèn &gt; 3000m (trong hẻm)</t>
  </si>
  <si>
    <t>Duy trì trạm đèn &gt; 3000m (khu dân cư)</t>
  </si>
  <si>
    <t>Kém</t>
  </si>
  <si>
    <r>
      <t xml:space="preserve">            </t>
    </r>
    <r>
      <rPr>
        <sz val="12"/>
        <color theme="1"/>
        <rFont val="Times New Roman"/>
        <family val="1"/>
      </rPr>
      <t>Tốt</t>
    </r>
  </si>
  <si>
    <t>Số 4843/TTGTHTKT-CXCS1 ngày 23/7/2026</t>
  </si>
  <si>
    <t>Giao khối lượng kế hoạch thực hiện Quý III năm 2026</t>
  </si>
  <si>
    <t>Địa bàn: phường Chánh Hưng, phường Phú Định, phường Bình Đông - Thành phố Hồ Chí Minh.</t>
  </si>
  <si>
    <t>Ông Huỳnh Phước Hải</t>
  </si>
  <si>
    <t>Ông Phạm Tấn Việt</t>
  </si>
  <si>
    <t>Phường Chánh Hưng</t>
  </si>
  <si>
    <t>Phường Phú Định</t>
  </si>
  <si>
    <t>Phường Bình Đông</t>
  </si>
  <si>
    <t>Khối lượng nghiệm thu</t>
  </si>
  <si>
    <t xml:space="preserve"> Khối lượng thực hiện</t>
  </si>
  <si>
    <t>-</t>
  </si>
  <si>
    <t>07</t>
  </si>
  <si>
    <t>ngày</t>
  </si>
  <si>
    <t>tháng</t>
  </si>
  <si>
    <t>năm</t>
  </si>
  <si>
    <t>01</t>
  </si>
  <si>
    <r>
      <rPr>
        <sz val="13"/>
        <color indexed="8"/>
        <rFont val="Times New Roman"/>
        <family val="1"/>
        <charset val="163"/>
      </rPr>
      <t xml:space="preserve">ĐẠI DIỆN BÊN B
</t>
    </r>
    <r>
      <rPr>
        <b/>
        <sz val="13"/>
        <color indexed="8"/>
        <rFont val="Times New Roman"/>
        <family val="1"/>
        <charset val="163"/>
      </rPr>
      <t>LIÊN DANH CHIẾU SÁNG CÔNG CỘNG
TP.HỒ CHÍ MINH - KỸ THUẬT ĐIỆN PHÚ THỌ</t>
    </r>
  </si>
  <si>
    <t>31° - 34°</t>
  </si>
  <si>
    <t>02</t>
  </si>
  <si>
    <t>NHẬT KÝ THI CÔNG HÀNG NGÀY</t>
  </si>
  <si>
    <t>03</t>
  </si>
  <si>
    <t>04</t>
  </si>
  <si>
    <t>05</t>
  </si>
  <si>
    <t>06</t>
  </si>
  <si>
    <t>08</t>
  </si>
  <si>
    <t>09</t>
  </si>
  <si>
    <t>10</t>
  </si>
  <si>
    <t>11</t>
  </si>
  <si>
    <t>12</t>
  </si>
  <si>
    <t>13</t>
  </si>
  <si>
    <t>14</t>
  </si>
  <si>
    <t>15</t>
  </si>
  <si>
    <t>16</t>
  </si>
  <si>
    <t>17</t>
  </si>
  <si>
    <t>18</t>
  </si>
  <si>
    <t>19</t>
  </si>
  <si>
    <t>20</t>
  </si>
  <si>
    <t>21</t>
  </si>
  <si>
    <t>22</t>
  </si>
  <si>
    <t>23</t>
  </si>
  <si>
    <t>24</t>
  </si>
  <si>
    <t>25</t>
  </si>
  <si>
    <t>26</t>
  </si>
  <si>
    <t>27</t>
  </si>
  <si>
    <t>28</t>
  </si>
  <si>
    <t>29</t>
  </si>
  <si>
    <t>30</t>
  </si>
  <si>
    <t>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</si>
</sst>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1" formatCode="_-* #,##0_-;\-* #,##0_-;_-* &quot;-&quot;_-;_-@_-"/>
    <numFmt numFmtId="43" formatCode="_-* #,##0.00_-;\-* #,##0.00_-;_-* &quot;-&quot;??_-;_-@_-"/>
    <numFmt numFmtId="164" formatCode="dd\/mm\/yy"/>
    <numFmt numFmtId="165" formatCode="0;\-0;;"/>
    <numFmt numFmtId="166" formatCode="#,##0\ &quot;F&quot;;\-#,##0\ &quot;F&quot;"/>
    <numFmt numFmtId="167" formatCode="&quot;\&quot;#,##0;[Red]&quot;\&quot;&quot;\&quot;\-#,##0"/>
    <numFmt numFmtId="168" formatCode="0.000000000"/>
    <numFmt numFmtId="169" formatCode="0.000%"/>
    <numFmt numFmtId="170" formatCode="0.0%"/>
    <numFmt numFmtId="171" formatCode="_ * #,##0_ ;_ * \-#,##0_ ;_ * &quot;-&quot;_ ;_ @_ "/>
    <numFmt numFmtId="172" formatCode="0.0000%"/>
    <numFmt numFmtId="173" formatCode="_ * #,##0.00_ ;_ * \-#,##0.00_ ;_ * &quot;-&quot;??_ ;_ @_ "/>
    <numFmt numFmtId="174" formatCode="#,##0;\(#,##0\)"/>
    <numFmt numFmtId="175" formatCode="\$#,##0\ ;\(\$#,##0\)"/>
    <numFmt numFmtId="176" formatCode="\t0.00%"/>
    <numFmt numFmtId="177" formatCode="0.000"/>
    <numFmt numFmtId="178" formatCode="_-* #,##0\ _D_M_-;\-* #,##0\ _D_M_-;_-* &quot;-&quot;\ _D_M_-;_-@_-"/>
    <numFmt numFmtId="179" formatCode="_-* #,##0.00\ _D_M_-;\-* #,##0.00\ _D_M_-;_-* &quot;-&quot;??\ _D_M_-;_-@_-"/>
    <numFmt numFmtId="180" formatCode="\t#\ ??/??"/>
    <numFmt numFmtId="181" formatCode="#."/>
    <numFmt numFmtId="182" formatCode="#,###"/>
    <numFmt numFmtId="183" formatCode="#,##0\ &quot;$&quot;_);[Red]\(#,##0\ &quot;$&quot;\)"/>
    <numFmt numFmtId="184" formatCode="&quot;$&quot;###,0&quot;.&quot;00_);[Red]\(&quot;$&quot;###,0&quot;.&quot;00\)"/>
    <numFmt numFmtId="185" formatCode="m/d"/>
    <numFmt numFmtId="186" formatCode="&quot;ß&quot;#,##0;\-&quot;&quot;\ß&quot;&quot;#,##0"/>
    <numFmt numFmtId="187" formatCode="0.00_)"/>
    <numFmt numFmtId="188" formatCode="_-* #,##0.0\ _F_-;\-* #,##0.0\ _F_-;_-* &quot;-&quot;??\ _F_-;_-@_-"/>
    <numFmt numFmtId="189" formatCode="_-* #,##0\ _F_-;\-* #,##0\ _F_-;_-* &quot;-&quot;\ _F_-;_-@_-"/>
    <numFmt numFmtId="190" formatCode="#,###,###.00"/>
    <numFmt numFmtId="191" formatCode="#,###,###,###.00"/>
    <numFmt numFmtId="192" formatCode="_-* #,##0\ &quot;DM&quot;_-;\-* #,##0\ &quot;DM&quot;_-;_-* &quot;-&quot;\ &quot;DM&quot;_-;_-@_-"/>
    <numFmt numFmtId="193" formatCode="_-* #,##0.00\ &quot;DM&quot;_-;\-* #,##0.00\ &quot;DM&quot;_-;_-* &quot;-&quot;??\ &quot;DM&quot;_-;_-@_-"/>
    <numFmt numFmtId="194" formatCode="&quot;$&quot;#,##0"/>
    <numFmt numFmtId="195" formatCode="#,##0.0;[Red]#,##0.0"/>
    <numFmt numFmtId="196" formatCode="_-&quot;$&quot;* #,##0_-;\-&quot;$&quot;* #,##0_-;_-&quot;$&quot;* &quot;-&quot;_-;_-@_-"/>
    <numFmt numFmtId="197" formatCode="_-&quot;$&quot;* #,##0.00_-;\-&quot;$&quot;* #,##0.00_-;_-&quot;$&quot;* &quot;-&quot;??_-;_-@_-"/>
  </numFmts>
  <fonts count="119">
    <font>
      <sz val="11"/>
      <color theme="1"/>
      <name val="Arial"/>
      <family val="2"/>
      <scheme val="minor"/>
    </font>
    <font>
      <sz val="11"/>
      <color theme="1"/>
      <name val="Arial"/>
      <family val="2"/>
      <charset val="163"/>
      <scheme val="minor"/>
    </font>
    <font>
      <sz val="11"/>
      <color theme="1"/>
      <name val="Arial"/>
      <family val="2"/>
      <scheme val="minor"/>
    </font>
    <font>
      <i/>
      <sz val="13"/>
      <color theme="0"/>
      <name val="Times New Roman"/>
      <family val="1"/>
    </font>
    <font>
      <sz val="13"/>
      <color theme="1"/>
      <name val="Times New Roman"/>
      <family val="1"/>
    </font>
    <font>
      <sz val="11"/>
      <name val="Times New Roman"/>
      <family val="1"/>
      <charset val="163"/>
    </font>
    <font>
      <b/>
      <sz val="13"/>
      <name val="Times New Roman"/>
      <family val="1"/>
    </font>
    <font>
      <b/>
      <sz val="13"/>
      <color theme="1"/>
      <name val="Times New Roman"/>
      <family val="1"/>
    </font>
    <font>
      <b/>
      <u/>
      <sz val="13"/>
      <color theme="1"/>
      <name val="Times New Roman"/>
      <family val="1"/>
    </font>
    <font>
      <b/>
      <sz val="28"/>
      <color theme="1"/>
      <name val="Times New Roman"/>
      <family val="1"/>
    </font>
    <font>
      <b/>
      <sz val="13"/>
      <color rgb="FF000000"/>
      <name val="Times New Roman"/>
      <family val="1"/>
    </font>
    <font>
      <b/>
      <sz val="13"/>
      <color rgb="FFFF0000"/>
      <name val="Times New Roman"/>
      <family val="1"/>
    </font>
    <font>
      <sz val="13"/>
      <color theme="0"/>
      <name val="Times New Roman"/>
      <family val="1"/>
    </font>
    <font>
      <i/>
      <sz val="13"/>
      <color theme="1"/>
      <name val="Times New Roman"/>
      <family val="1"/>
    </font>
    <font>
      <b/>
      <sz val="13"/>
      <color theme="1"/>
      <name val="Times New Roman"/>
      <family val="1"/>
      <charset val="163"/>
    </font>
    <font>
      <sz val="13"/>
      <name val="Times New Roman"/>
      <family val="1"/>
    </font>
    <font>
      <sz val="12"/>
      <name val="Times New Roman"/>
      <family val="1"/>
    </font>
    <font>
      <b/>
      <sz val="13"/>
      <color theme="0"/>
      <name val="Times New Roman"/>
      <family val="1"/>
    </font>
    <font>
      <b/>
      <sz val="13"/>
      <color indexed="8"/>
      <name val="Times New Roman"/>
      <family val="1"/>
      <charset val="163"/>
    </font>
    <font>
      <b/>
      <i/>
      <sz val="13"/>
      <color theme="1"/>
      <name val="Times New Roman"/>
      <family val="1"/>
      <charset val="163"/>
    </font>
    <font>
      <b/>
      <i/>
      <sz val="13"/>
      <color theme="1"/>
      <name val="Times New Roman"/>
      <family val="1"/>
    </font>
    <font>
      <b/>
      <sz val="18"/>
      <color theme="1"/>
      <name val="Times New Roman"/>
      <family val="1"/>
      <charset val="163"/>
    </font>
    <font>
      <sz val="11"/>
      <color rgb="FFFF0000"/>
      <name val="Arial"/>
      <family val="2"/>
      <scheme val="minor"/>
    </font>
    <font>
      <b/>
      <sz val="16"/>
      <name val="Times New Roman"/>
      <family val="1"/>
    </font>
    <font>
      <b/>
      <sz val="14"/>
      <name val="Times New Roman"/>
      <family val="1"/>
    </font>
    <font>
      <sz val="13"/>
      <color rgb="FF000000"/>
      <name val="Times New Roman"/>
      <family val="1"/>
    </font>
    <font>
      <sz val="11"/>
      <color theme="0"/>
      <name val="Times New Roman"/>
      <family val="1"/>
    </font>
    <font>
      <sz val="11"/>
      <color rgb="FFFF0000"/>
      <name val="Times New Roman"/>
      <family val="1"/>
    </font>
    <font>
      <i/>
      <sz val="14"/>
      <color theme="1"/>
      <name val="Times New Roman"/>
      <family val="1"/>
    </font>
    <font>
      <sz val="13"/>
      <color indexed="8"/>
      <name val="Times New Roman"/>
      <family val="1"/>
      <charset val="163"/>
    </font>
    <font>
      <i/>
      <sz val="9"/>
      <color theme="1"/>
      <name val="Times New Roman"/>
      <family val="1"/>
    </font>
    <font>
      <sz val="14"/>
      <color theme="1"/>
      <name val="Times New Roman"/>
      <family val="1"/>
    </font>
    <font>
      <sz val="14"/>
      <name val="Times New Roman"/>
      <family val="1"/>
    </font>
    <font>
      <sz val="11"/>
      <name val="Times New Roman"/>
      <family val="1"/>
    </font>
    <font>
      <sz val="12"/>
      <color theme="1"/>
      <name val="Times New Roman"/>
      <family val="1"/>
    </font>
    <font>
      <b/>
      <sz val="12"/>
      <name val="Times New Roman"/>
      <family val="1"/>
    </font>
    <font>
      <sz val="12"/>
      <color theme="1"/>
      <name val="Times New Roman"/>
      <family val="1"/>
      <charset val="163"/>
    </font>
    <font>
      <sz val="12"/>
      <color rgb="FFFF0000"/>
      <name val="Times New Roman"/>
      <family val="1"/>
    </font>
    <font>
      <sz val="12"/>
      <color theme="0"/>
      <name val="Times New Roman"/>
      <family val="1"/>
    </font>
    <font>
      <b/>
      <sz val="11"/>
      <name val="Times New Roman"/>
      <family val="1"/>
    </font>
    <font>
      <b/>
      <i/>
      <sz val="14"/>
      <color indexed="12"/>
      <name val="Times New Roman"/>
      <family val="1"/>
    </font>
    <font>
      <b/>
      <sz val="14"/>
      <color rgb="FF000000"/>
      <name val="Times New Roman"/>
      <family val="1"/>
    </font>
    <font>
      <b/>
      <sz val="15"/>
      <color theme="1"/>
      <name val="Times New Roman"/>
      <family val="1"/>
    </font>
    <font>
      <b/>
      <sz val="14"/>
      <color theme="1"/>
      <name val="Times New Roman"/>
      <family val="1"/>
    </font>
    <font>
      <sz val="12"/>
      <name val=".VnTime"/>
      <family val="2"/>
    </font>
    <font>
      <b/>
      <sz val="12"/>
      <color theme="1"/>
      <name val="Times New Roman"/>
      <family val="1"/>
    </font>
    <font>
      <sz val="12"/>
      <color theme="1"/>
      <name val="Arial"/>
      <family val="2"/>
      <scheme val="minor"/>
    </font>
    <font>
      <b/>
      <sz val="14"/>
      <color theme="1"/>
      <name val="Arial"/>
      <family val="2"/>
    </font>
    <font>
      <b/>
      <i/>
      <sz val="14"/>
      <color theme="1"/>
      <name val="Times New Roman"/>
      <family val="1"/>
    </font>
    <font>
      <b/>
      <sz val="12"/>
      <color rgb="FFC00000"/>
      <name val="Times New Roman"/>
      <family val="1"/>
    </font>
    <font>
      <i/>
      <sz val="12"/>
      <color theme="1"/>
      <name val="Times New Roman"/>
      <family val="1"/>
      <charset val="163"/>
    </font>
    <font>
      <b/>
      <sz val="12"/>
      <color theme="1"/>
      <name val="Times New Roman"/>
      <family val="1"/>
      <charset val="163"/>
    </font>
    <font>
      <b/>
      <sz val="12"/>
      <color indexed="8"/>
      <name val="Times New Roman"/>
      <family val="1"/>
      <charset val="163"/>
    </font>
    <font>
      <b/>
      <sz val="25"/>
      <color theme="1"/>
      <name val="Times New Roman"/>
      <family val="1"/>
    </font>
    <font>
      <sz val="13"/>
      <color rgb="FF000000"/>
      <name val="TimesNewRomanPSMT"/>
    </font>
    <font>
      <sz val="12"/>
      <color rgb="FF000000"/>
      <name val="Times New Roman"/>
      <family val="1"/>
    </font>
    <font>
      <b/>
      <sz val="11"/>
      <color theme="1"/>
      <name val="Arial"/>
      <family val="2"/>
      <scheme val="minor"/>
    </font>
    <font>
      <sz val="11"/>
      <color theme="0"/>
      <name val="Arial"/>
      <family val="2"/>
      <scheme val="minor"/>
    </font>
    <font>
      <sz val="11"/>
      <color theme="1"/>
      <name val="Times New Roman"/>
      <family val="1"/>
    </font>
    <font>
      <b/>
      <sz val="11"/>
      <color rgb="FFFFFF00"/>
      <name val="Arial"/>
      <family val="2"/>
      <scheme val="minor"/>
    </font>
    <font>
      <b/>
      <sz val="12"/>
      <color rgb="FFFFFF00"/>
      <name val="Times New Roman"/>
      <family val="1"/>
    </font>
    <font>
      <b/>
      <sz val="12"/>
      <color theme="0"/>
      <name val="Times New Roman"/>
      <family val="1"/>
    </font>
    <font>
      <b/>
      <u/>
      <sz val="14"/>
      <color rgb="FFFFFF00"/>
      <name val="Times New Roman"/>
      <family val="1"/>
    </font>
    <font>
      <b/>
      <sz val="14"/>
      <color rgb="FFFFFF00"/>
      <name val="Times New Roman"/>
      <family val="1"/>
    </font>
    <font>
      <sz val="11"/>
      <color theme="1"/>
      <name val="Arial"/>
      <family val="2"/>
      <charset val="163"/>
    </font>
    <font>
      <b/>
      <sz val="12"/>
      <name val="Arial"/>
      <family val="2"/>
    </font>
    <font>
      <sz val="12"/>
      <name val="Times New Roman"/>
      <family val="1"/>
      <charset val="163"/>
    </font>
    <font>
      <sz val="14"/>
      <name val=".VnTime"/>
      <family val="2"/>
    </font>
    <font>
      <sz val="14"/>
      <name val="??"/>
      <family val="3"/>
    </font>
    <font>
      <sz val="10"/>
      <name val="Arial"/>
      <family val="2"/>
    </font>
    <font>
      <sz val="12"/>
      <name val="????"/>
      <charset val="136"/>
    </font>
    <font>
      <sz val="11"/>
      <name val="??"/>
      <family val="3"/>
      <charset val="129"/>
    </font>
    <font>
      <sz val="10"/>
      <name val="???"/>
      <family val="3"/>
    </font>
    <font>
      <sz val="10"/>
      <name val="Helv"/>
      <family val="2"/>
    </font>
    <font>
      <b/>
      <u/>
      <sz val="14"/>
      <color indexed="8"/>
      <name val=".VnBook-AntiquaH"/>
      <family val="2"/>
    </font>
    <font>
      <sz val="12"/>
      <name val="¹ÙÅÁÃ¼"/>
      <charset val="129"/>
    </font>
    <font>
      <i/>
      <sz val="12"/>
      <color indexed="8"/>
      <name val=".VnBook-AntiquaH"/>
      <family val="2"/>
    </font>
    <font>
      <b/>
      <sz val="12"/>
      <color indexed="8"/>
      <name val=".VnBook-Antiqua"/>
      <family val="2"/>
    </font>
    <font>
      <i/>
      <sz val="12"/>
      <color indexed="8"/>
      <name val=".VnBook-Antiqua"/>
      <family val="2"/>
    </font>
    <font>
      <sz val="10"/>
      <name val=".VnTime"/>
      <family val="2"/>
    </font>
    <font>
      <sz val="12"/>
      <name val="¹UAAA¼"/>
      <family val="3"/>
      <charset val="129"/>
    </font>
    <font>
      <sz val="11"/>
      <name val="µ¸¿ò"/>
      <charset val="129"/>
    </font>
    <font>
      <sz val="12"/>
      <name val="µ¸¿òÃ¼"/>
      <family val="3"/>
      <charset val="129"/>
    </font>
    <font>
      <b/>
      <sz val="10"/>
      <name val="Helv"/>
    </font>
    <font>
      <sz val="11"/>
      <color indexed="8"/>
      <name val="Arial"/>
      <family val="2"/>
      <charset val="163"/>
    </font>
    <font>
      <sz val="10"/>
      <name val="Arial"/>
      <family val="2"/>
      <charset val="163"/>
    </font>
    <font>
      <sz val="10"/>
      <name val="Times New Roman"/>
      <family val="1"/>
      <charset val="163"/>
    </font>
    <font>
      <sz val="8"/>
      <name val="Arial"/>
      <family val="2"/>
      <charset val="163"/>
    </font>
    <font>
      <b/>
      <sz val="12"/>
      <name val="Helv"/>
    </font>
    <font>
      <b/>
      <sz val="1"/>
      <color indexed="8"/>
      <name val="Courier"/>
      <family val="3"/>
    </font>
    <font>
      <u/>
      <sz val="10"/>
      <color indexed="12"/>
      <name val="MS Sans Serif"/>
      <family val="2"/>
    </font>
    <font>
      <b/>
      <sz val="11"/>
      <color indexed="12"/>
      <name val="Arial"/>
      <family val="2"/>
    </font>
    <font>
      <sz val="10"/>
      <name val="MS Sans Serif"/>
      <family val="2"/>
    </font>
    <font>
      <b/>
      <sz val="11"/>
      <name val="Helv"/>
    </font>
    <font>
      <sz val="10"/>
      <name val=".VnAvant"/>
      <family val="2"/>
    </font>
    <font>
      <sz val="12"/>
      <name val="Arial"/>
      <family val="2"/>
    </font>
    <font>
      <sz val="7"/>
      <name val="Small Fonts"/>
      <family val="2"/>
    </font>
    <font>
      <b/>
      <i/>
      <sz val="16"/>
      <name val="Helv"/>
    </font>
    <font>
      <sz val="11"/>
      <name val="–¾’©"/>
      <family val="1"/>
      <charset val="128"/>
    </font>
    <font>
      <sz val="13"/>
      <name val=".VnTime"/>
      <family val="2"/>
    </font>
    <font>
      <sz val="10"/>
      <name val="Times New Roman"/>
      <family val="1"/>
    </font>
    <font>
      <sz val="11"/>
      <color indexed="32"/>
      <name val="VNI-Times"/>
    </font>
    <font>
      <sz val="10"/>
      <name val=" "/>
      <family val="1"/>
      <charset val="136"/>
    </font>
    <font>
      <sz val="14"/>
      <name val="뼻뮝"/>
      <family val="3"/>
    </font>
    <font>
      <sz val="12"/>
      <name val="바탕체"/>
      <family val="3"/>
    </font>
    <font>
      <sz val="12"/>
      <name val="뼻뮝"/>
      <family val="3"/>
    </font>
    <font>
      <sz val="12"/>
      <name val="바탕체"/>
      <family val="1"/>
      <charset val="129"/>
    </font>
    <font>
      <sz val="10"/>
      <name val=".VnArial"/>
      <family val="2"/>
    </font>
    <font>
      <sz val="10"/>
      <name val="굴림체"/>
      <family val="3"/>
    </font>
    <font>
      <sz val="9"/>
      <name val="Arial"/>
      <family val="2"/>
    </font>
    <font>
      <sz val="12"/>
      <name val="Courier"/>
      <family val="3"/>
    </font>
    <font>
      <sz val="11"/>
      <color indexed="8"/>
      <name val="Calibri"/>
      <family val="2"/>
    </font>
    <font>
      <sz val="11"/>
      <name val="Calibri"/>
      <family val="2"/>
    </font>
    <font>
      <sz val="10"/>
      <name val="VNI-Times"/>
    </font>
    <font>
      <sz val="10"/>
      <name val="VNI-Helve"/>
    </font>
    <font>
      <sz val="11"/>
      <color theme="1"/>
      <name val="Times New Roman"/>
      <family val="2"/>
    </font>
    <font>
      <sz val="11"/>
      <color rgb="FFFF0000"/>
      <name val="Times New Roman"/>
      <family val="1"/>
      <charset val="163"/>
    </font>
    <font>
      <b/>
      <sz val="14"/>
      <color rgb="FFFF0000"/>
      <name val="Times New Roman"/>
      <family val="1"/>
    </font>
    <font>
      <sz val="11"/>
      <name val="Arial"/>
      <family val="2"/>
      <scheme val="minor"/>
    </font>
  </fonts>
  <fills count="5">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9"/>
        <bgColor indexed="64"/>
      </patternFill>
    </fill>
  </fills>
  <borders count="37">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bottom/>
      <diagonal/>
    </border>
    <border>
      <left/>
      <right/>
      <top style="medium">
        <color indexed="64"/>
      </top>
      <bottom style="medium">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s>
  <cellStyleXfs count="165">
    <xf numFmtId="0" fontId="0" fillId="0" borderId="0"/>
    <xf numFmtId="0" fontId="2" fillId="0" borderId="0"/>
    <xf numFmtId="0" fontId="5" fillId="0" borderId="0"/>
    <xf numFmtId="0" fontId="16" fillId="0" borderId="0"/>
    <xf numFmtId="0" fontId="5" fillId="0" borderId="0"/>
    <xf numFmtId="0" fontId="44" fillId="0" borderId="0"/>
    <xf numFmtId="0" fontId="2" fillId="0" borderId="0"/>
    <xf numFmtId="0" fontId="2" fillId="0" borderId="0"/>
    <xf numFmtId="0" fontId="44" fillId="0" borderId="0" applyNumberFormat="0" applyFill="0" applyBorder="0" applyAlignment="0" applyProtection="0"/>
    <xf numFmtId="166" fontId="67" fillId="0" borderId="0" applyFont="0" applyFill="0" applyBorder="0" applyAlignment="0" applyProtection="0"/>
    <xf numFmtId="0" fontId="68" fillId="0" borderId="0" applyFont="0" applyFill="0" applyBorder="0" applyAlignment="0" applyProtection="0"/>
    <xf numFmtId="167" fontId="69" fillId="0" borderId="0" applyFont="0" applyFill="0" applyBorder="0" applyAlignment="0" applyProtection="0"/>
    <xf numFmtId="40" fontId="68" fillId="0" borderId="0" applyFont="0" applyFill="0" applyBorder="0" applyAlignment="0" applyProtection="0"/>
    <xf numFmtId="38" fontId="68" fillId="0" borderId="0" applyFont="0" applyFill="0" applyBorder="0" applyAlignment="0" applyProtection="0"/>
    <xf numFmtId="41" fontId="70" fillId="0" borderId="0" applyFont="0" applyFill="0" applyBorder="0" applyAlignment="0" applyProtection="0"/>
    <xf numFmtId="9" fontId="71" fillId="0" borderId="0" applyFont="0" applyFill="0" applyBorder="0" applyAlignment="0" applyProtection="0"/>
    <xf numFmtId="0" fontId="72" fillId="0" borderId="0"/>
    <xf numFmtId="0" fontId="73" fillId="0" borderId="0"/>
    <xf numFmtId="0" fontId="69" fillId="0" borderId="0"/>
    <xf numFmtId="0" fontId="69" fillId="0" borderId="0"/>
    <xf numFmtId="0" fontId="74" fillId="3" borderId="0"/>
    <xf numFmtId="9" fontId="75" fillId="0" borderId="0" applyFont="0" applyFill="0" applyBorder="0" applyAlignment="0" applyProtection="0"/>
    <xf numFmtId="0" fontId="76" fillId="3" borderId="0"/>
    <xf numFmtId="0" fontId="44" fillId="0" borderId="0"/>
    <xf numFmtId="0" fontId="77" fillId="3" borderId="0"/>
    <xf numFmtId="0" fontId="78" fillId="0" borderId="0">
      <alignment wrapText="1"/>
    </xf>
    <xf numFmtId="0" fontId="79" fillId="0" borderId="0"/>
    <xf numFmtId="168" fontId="44" fillId="0" borderId="0" applyFont="0" applyFill="0" applyBorder="0" applyAlignment="0" applyProtection="0"/>
    <xf numFmtId="0" fontId="80" fillId="0" borderId="0" applyFont="0" applyFill="0" applyBorder="0" applyAlignment="0" applyProtection="0"/>
    <xf numFmtId="168" fontId="44" fillId="0" borderId="0" applyFont="0" applyFill="0" applyBorder="0" applyAlignment="0" applyProtection="0"/>
    <xf numFmtId="169" fontId="44" fillId="0" borderId="0" applyFont="0" applyFill="0" applyBorder="0" applyAlignment="0" applyProtection="0"/>
    <xf numFmtId="0" fontId="80" fillId="0" borderId="0" applyFont="0" applyFill="0" applyBorder="0" applyAlignment="0" applyProtection="0"/>
    <xf numFmtId="169" fontId="44" fillId="0" borderId="0" applyFont="0" applyFill="0" applyBorder="0" applyAlignment="0" applyProtection="0"/>
    <xf numFmtId="170" fontId="44" fillId="0" borderId="0" applyFont="0" applyFill="0" applyBorder="0" applyAlignment="0" applyProtection="0"/>
    <xf numFmtId="0" fontId="80" fillId="0" borderId="0" applyFont="0" applyFill="0" applyBorder="0" applyAlignment="0" applyProtection="0"/>
    <xf numFmtId="171" fontId="75" fillId="0" borderId="0" applyFont="0" applyFill="0" applyBorder="0" applyAlignment="0" applyProtection="0"/>
    <xf numFmtId="172" fontId="44" fillId="0" borderId="0" applyFont="0" applyFill="0" applyBorder="0" applyAlignment="0" applyProtection="0"/>
    <xf numFmtId="0" fontId="80" fillId="0" borderId="0" applyFont="0" applyFill="0" applyBorder="0" applyAlignment="0" applyProtection="0"/>
    <xf numFmtId="173" fontId="75" fillId="0" borderId="0" applyFont="0" applyFill="0" applyBorder="0" applyAlignment="0" applyProtection="0"/>
    <xf numFmtId="0" fontId="80" fillId="0" borderId="0"/>
    <xf numFmtId="0" fontId="81" fillId="0" borderId="0"/>
    <xf numFmtId="0" fontId="80" fillId="0" borderId="0"/>
    <xf numFmtId="0" fontId="82" fillId="0" borderId="0"/>
    <xf numFmtId="0" fontId="83" fillId="0" borderId="0"/>
    <xf numFmtId="43" fontId="84" fillId="0" borderId="0" applyFont="0" applyFill="0" applyBorder="0" applyAlignment="0" applyProtection="0"/>
    <xf numFmtId="43" fontId="112" fillId="0" borderId="0" applyFont="0" applyFill="0" applyBorder="0" applyAlignment="0" applyProtection="0"/>
    <xf numFmtId="43" fontId="2" fillId="0" borderId="0" applyFont="0" applyFill="0" applyBorder="0" applyAlignment="0" applyProtection="0"/>
    <xf numFmtId="43" fontId="85" fillId="0" borderId="0" applyFont="0" applyFill="0" applyBorder="0" applyAlignment="0" applyProtection="0"/>
    <xf numFmtId="43" fontId="111" fillId="0" borderId="0" applyFont="0" applyFill="0" applyBorder="0" applyAlignment="0" applyProtection="0"/>
    <xf numFmtId="43" fontId="69" fillId="0" borderId="0" applyFont="0" applyFill="0" applyBorder="0" applyAlignment="0" applyProtection="0"/>
    <xf numFmtId="0" fontId="84" fillId="0" borderId="0" applyFont="0" applyFill="0" applyBorder="0" applyAlignment="0" applyProtection="0"/>
    <xf numFmtId="43" fontId="1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4" fontId="86" fillId="0" borderId="0"/>
    <xf numFmtId="3" fontId="69" fillId="0" borderId="0" applyFont="0" applyFill="0" applyBorder="0" applyAlignment="0" applyProtection="0"/>
    <xf numFmtId="175" fontId="69" fillId="0" borderId="0" applyFont="0" applyFill="0" applyBorder="0" applyAlignment="0" applyProtection="0"/>
    <xf numFmtId="176" fontId="85" fillId="0" borderId="0"/>
    <xf numFmtId="0" fontId="15" fillId="0" borderId="0"/>
    <xf numFmtId="177" fontId="44" fillId="0" borderId="33"/>
    <xf numFmtId="0" fontId="69" fillId="0" borderId="0" applyFont="0" applyFill="0" applyBorder="0" applyAlignment="0" applyProtection="0"/>
    <xf numFmtId="178" fontId="85" fillId="0" borderId="0" applyFont="0" applyFill="0" applyBorder="0" applyAlignment="0" applyProtection="0"/>
    <xf numFmtId="179" fontId="85" fillId="0" borderId="0" applyFont="0" applyFill="0" applyBorder="0" applyAlignment="0" applyProtection="0"/>
    <xf numFmtId="180" fontId="85" fillId="0" borderId="0"/>
    <xf numFmtId="3" fontId="44" fillId="0" borderId="0" applyFont="0" applyBorder="0" applyAlignment="0"/>
    <xf numFmtId="3" fontId="44" fillId="0" borderId="0" applyFont="0" applyBorder="0" applyAlignment="0"/>
    <xf numFmtId="2" fontId="69" fillId="0" borderId="0" applyFont="0" applyFill="0" applyBorder="0" applyAlignment="0" applyProtection="0"/>
    <xf numFmtId="38" fontId="87" fillId="4" borderId="0" applyNumberFormat="0" applyBorder="0" applyAlignment="0" applyProtection="0"/>
    <xf numFmtId="0" fontId="55" fillId="0" borderId="36"/>
    <xf numFmtId="0" fontId="88" fillId="0" borderId="0">
      <alignment horizontal="left"/>
    </xf>
    <xf numFmtId="0" fontId="65" fillId="0" borderId="34" applyNumberFormat="0" applyAlignment="0" applyProtection="0">
      <alignment horizontal="left" vertical="center"/>
    </xf>
    <xf numFmtId="0" fontId="65" fillId="0" borderId="21">
      <alignment horizontal="left" vertical="center"/>
    </xf>
    <xf numFmtId="181" fontId="89" fillId="0" borderId="0">
      <protection locked="0"/>
    </xf>
    <xf numFmtId="181" fontId="89" fillId="0" borderId="0">
      <protection locked="0"/>
    </xf>
    <xf numFmtId="0" fontId="90" fillId="0" borderId="0" applyNumberFormat="0" applyFill="0" applyBorder="0" applyAlignment="0" applyProtection="0"/>
    <xf numFmtId="0" fontId="91" fillId="0" borderId="0" applyNumberFormat="0" applyFill="0" applyBorder="0" applyAlignment="0" applyProtection="0">
      <alignment vertical="top"/>
      <protection locked="0"/>
    </xf>
    <xf numFmtId="10" fontId="87" fillId="4" borderId="10" applyNumberFormat="0" applyBorder="0" applyAlignment="0" applyProtection="0"/>
    <xf numFmtId="38" fontId="92" fillId="0" borderId="0" applyFont="0" applyFill="0" applyBorder="0" applyAlignment="0" applyProtection="0"/>
    <xf numFmtId="40" fontId="92" fillId="0" borderId="0" applyFont="0" applyFill="0" applyBorder="0" applyAlignment="0" applyProtection="0"/>
    <xf numFmtId="0" fontId="93" fillId="0" borderId="35"/>
    <xf numFmtId="182" fontId="94" fillId="0" borderId="16"/>
    <xf numFmtId="183" fontId="92" fillId="0" borderId="0" applyFont="0" applyFill="0" applyBorder="0" applyAlignment="0" applyProtection="0"/>
    <xf numFmtId="184" fontId="92" fillId="0" borderId="0" applyFont="0" applyFill="0" applyBorder="0" applyAlignment="0" applyProtection="0"/>
    <xf numFmtId="185" fontId="85" fillId="0" borderId="0" applyFont="0" applyFill="0" applyBorder="0" applyAlignment="0" applyProtection="0"/>
    <xf numFmtId="186" fontId="85" fillId="0" borderId="0" applyFont="0" applyFill="0" applyBorder="0" applyAlignment="0" applyProtection="0"/>
    <xf numFmtId="0" fontId="95" fillId="0" borderId="0" applyNumberFormat="0" applyFont="0" applyFill="0" applyAlignment="0"/>
    <xf numFmtId="0" fontId="86" fillId="0" borderId="0"/>
    <xf numFmtId="37" fontId="96" fillId="0" borderId="0"/>
    <xf numFmtId="187" fontId="97" fillId="0" borderId="0"/>
    <xf numFmtId="0" fontId="2" fillId="0" borderId="0"/>
    <xf numFmtId="0" fontId="2" fillId="0" borderId="0"/>
    <xf numFmtId="0" fontId="5" fillId="0" borderId="0"/>
    <xf numFmtId="0" fontId="2" fillId="0" borderId="0"/>
    <xf numFmtId="0" fontId="2" fillId="0" borderId="0"/>
    <xf numFmtId="0" fontId="2" fillId="0" borderId="0"/>
    <xf numFmtId="0" fontId="69" fillId="0" borderId="0"/>
    <xf numFmtId="0" fontId="2" fillId="0" borderId="0"/>
    <xf numFmtId="0" fontId="2" fillId="0" borderId="0"/>
    <xf numFmtId="0" fontId="2" fillId="0" borderId="0"/>
    <xf numFmtId="0" fontId="2" fillId="0" borderId="0"/>
    <xf numFmtId="0" fontId="2" fillId="0" borderId="0"/>
    <xf numFmtId="0" fontId="2" fillId="0" borderId="0"/>
    <xf numFmtId="0" fontId="33" fillId="0" borderId="0"/>
    <xf numFmtId="0" fontId="44" fillId="0" borderId="0"/>
    <xf numFmtId="0" fontId="112" fillId="0" borderId="0"/>
    <xf numFmtId="0" fontId="113" fillId="0" borderId="0"/>
    <xf numFmtId="0" fontId="2" fillId="0" borderId="0"/>
    <xf numFmtId="0" fontId="2" fillId="0" borderId="0"/>
    <xf numFmtId="0" fontId="1" fillId="0" borderId="0"/>
    <xf numFmtId="0" fontId="2" fillId="0" borderId="0"/>
    <xf numFmtId="0" fontId="1" fillId="0" borderId="0"/>
    <xf numFmtId="0" fontId="1" fillId="0" borderId="0"/>
    <xf numFmtId="0" fontId="115" fillId="0" borderId="0"/>
    <xf numFmtId="0" fontId="1" fillId="0" borderId="0"/>
    <xf numFmtId="0" fontId="44" fillId="0" borderId="0"/>
    <xf numFmtId="0" fontId="85" fillId="0" borderId="0"/>
    <xf numFmtId="0" fontId="64" fillId="0" borderId="0"/>
    <xf numFmtId="0" fontId="64" fillId="0" borderId="0"/>
    <xf numFmtId="0" fontId="33" fillId="0" borderId="0"/>
    <xf numFmtId="0" fontId="44" fillId="0" borderId="0"/>
    <xf numFmtId="43" fontId="98" fillId="0" borderId="0" applyFont="0" applyFill="0" applyBorder="0" applyAlignment="0" applyProtection="0"/>
    <xf numFmtId="41" fontId="98" fillId="0" borderId="0" applyFont="0" applyFill="0" applyBorder="0" applyAlignment="0" applyProtection="0"/>
    <xf numFmtId="0" fontId="99" fillId="0" borderId="0" applyNumberFormat="0" applyFill="0" applyBorder="0" applyAlignment="0" applyProtection="0"/>
    <xf numFmtId="0" fontId="44" fillId="0" borderId="0" applyNumberFormat="0" applyFill="0" applyBorder="0" applyAlignment="0" applyProtection="0"/>
    <xf numFmtId="0" fontId="69" fillId="0" borderId="0" applyFont="0" applyFill="0" applyBorder="0" applyAlignment="0" applyProtection="0"/>
    <xf numFmtId="0" fontId="100" fillId="0" borderId="0"/>
    <xf numFmtId="10" fontId="85" fillId="0" borderId="0" applyFont="0" applyFill="0" applyBorder="0" applyAlignment="0" applyProtection="0"/>
    <xf numFmtId="9" fontId="8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44" fillId="0" borderId="0" applyNumberFormat="0" applyFill="0" applyBorder="0" applyAlignment="0" applyProtection="0"/>
    <xf numFmtId="0" fontId="79" fillId="0" borderId="0" applyNumberFormat="0" applyFill="0" applyBorder="0" applyAlignment="0" applyProtection="0"/>
    <xf numFmtId="0" fontId="101" fillId="0" borderId="0"/>
    <xf numFmtId="0" fontId="93" fillId="0" borderId="0"/>
    <xf numFmtId="188" fontId="44" fillId="0" borderId="20">
      <alignment horizontal="right" vertical="center"/>
    </xf>
    <xf numFmtId="188" fontId="44" fillId="0" borderId="20">
      <alignment horizontal="right" vertical="center"/>
    </xf>
    <xf numFmtId="189" fontId="44" fillId="0" borderId="20">
      <alignment horizontal="center"/>
    </xf>
    <xf numFmtId="0" fontId="99" fillId="0" borderId="0" applyNumberFormat="0" applyFill="0" applyBorder="0" applyAlignment="0" applyProtection="0"/>
    <xf numFmtId="0" fontId="85" fillId="0" borderId="0" applyNumberFormat="0" applyFill="0" applyBorder="0" applyAlignment="0" applyProtection="0"/>
    <xf numFmtId="190" fontId="44" fillId="0" borderId="0"/>
    <xf numFmtId="191" fontId="44" fillId="0" borderId="10"/>
    <xf numFmtId="192" fontId="85" fillId="0" borderId="0" applyFont="0" applyFill="0" applyBorder="0" applyAlignment="0" applyProtection="0"/>
    <xf numFmtId="193" fontId="85"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0" fontId="16" fillId="0" borderId="0">
      <alignment vertical="center"/>
    </xf>
    <xf numFmtId="40" fontId="103" fillId="0" borderId="0" applyFont="0" applyFill="0" applyBorder="0" applyAlignment="0" applyProtection="0"/>
    <xf numFmtId="38" fontId="103"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9" fontId="104" fillId="0" borderId="0" applyFont="0" applyFill="0" applyBorder="0" applyAlignment="0" applyProtection="0"/>
    <xf numFmtId="0" fontId="105" fillId="0" borderId="0"/>
    <xf numFmtId="0" fontId="106" fillId="0" borderId="0" applyFont="0" applyFill="0" applyBorder="0" applyAlignment="0" applyProtection="0"/>
    <xf numFmtId="0" fontId="106" fillId="0" borderId="0" applyFont="0" applyFill="0" applyBorder="0" applyAlignment="0" applyProtection="0"/>
    <xf numFmtId="194" fontId="107" fillId="0" borderId="0" applyFont="0" applyFill="0" applyBorder="0" applyAlignment="0" applyProtection="0"/>
    <xf numFmtId="195" fontId="107" fillId="0" borderId="0" applyFont="0" applyFill="0" applyBorder="0" applyAlignment="0" applyProtection="0"/>
    <xf numFmtId="0" fontId="108" fillId="0" borderId="0"/>
    <xf numFmtId="0" fontId="95" fillId="0" borderId="0"/>
    <xf numFmtId="41" fontId="109" fillId="0" borderId="0" applyFont="0" applyFill="0" applyBorder="0" applyAlignment="0" applyProtection="0"/>
    <xf numFmtId="43" fontId="109" fillId="0" borderId="0" applyFont="0" applyFill="0" applyBorder="0" applyAlignment="0" applyProtection="0"/>
    <xf numFmtId="196" fontId="109" fillId="0" borderId="0" applyFont="0" applyFill="0" applyBorder="0" applyAlignment="0" applyProtection="0"/>
    <xf numFmtId="183" fontId="110" fillId="0" borderId="0" applyFont="0" applyFill="0" applyBorder="0" applyAlignment="0" applyProtection="0"/>
    <xf numFmtId="197" fontId="109" fillId="0" borderId="0" applyFont="0" applyFill="0" applyBorder="0" applyAlignment="0" applyProtection="0"/>
    <xf numFmtId="0" fontId="114" fillId="0" borderId="0"/>
  </cellStyleXfs>
  <cellXfs count="358">
    <xf numFmtId="0" fontId="0" fillId="0" borderId="0" xfId="0"/>
    <xf numFmtId="0" fontId="4" fillId="0" borderId="0" xfId="1" applyFont="1"/>
    <xf numFmtId="0" fontId="7" fillId="0" borderId="0" xfId="1" applyFont="1"/>
    <xf numFmtId="0" fontId="4" fillId="0" borderId="4" xfId="1" applyFont="1" applyBorder="1" applyAlignment="1">
      <alignment horizontal="centerContinuous"/>
    </xf>
    <xf numFmtId="0" fontId="4" fillId="0" borderId="0" xfId="1" applyFont="1" applyAlignment="1">
      <alignment horizontal="centerContinuous"/>
    </xf>
    <xf numFmtId="0" fontId="4" fillId="0" borderId="5" xfId="1" applyFont="1" applyBorder="1" applyAlignment="1">
      <alignment horizontal="centerContinuous"/>
    </xf>
    <xf numFmtId="0" fontId="4" fillId="0" borderId="4" xfId="1" applyFont="1" applyBorder="1"/>
    <xf numFmtId="0" fontId="4" fillId="0" borderId="5" xfId="1" applyFont="1" applyBorder="1"/>
    <xf numFmtId="0" fontId="6" fillId="0" borderId="4" xfId="2" applyFont="1" applyBorder="1" applyAlignment="1">
      <alignment horizontal="left" indent="3"/>
    </xf>
    <xf numFmtId="0" fontId="7" fillId="0" borderId="0" xfId="1" applyFont="1" applyAlignment="1">
      <alignment vertical="center"/>
    </xf>
    <xf numFmtId="0" fontId="7" fillId="0" borderId="4" xfId="1" applyFont="1" applyBorder="1"/>
    <xf numFmtId="0" fontId="10" fillId="0" borderId="0" xfId="2" applyFont="1" applyAlignment="1">
      <alignment horizontal="left" vertical="center" wrapText="1"/>
    </xf>
    <xf numFmtId="0" fontId="10" fillId="0" borderId="5" xfId="2" applyFont="1" applyBorder="1" applyAlignment="1">
      <alignment horizontal="left" vertical="center" wrapText="1"/>
    </xf>
    <xf numFmtId="0" fontId="12" fillId="0" borderId="4" xfId="1" applyFont="1" applyBorder="1"/>
    <xf numFmtId="0" fontId="3" fillId="0" borderId="6" xfId="2" applyFont="1" applyBorder="1"/>
    <xf numFmtId="0" fontId="3" fillId="0" borderId="7" xfId="2" applyFont="1" applyBorder="1"/>
    <xf numFmtId="0" fontId="3" fillId="0" borderId="8" xfId="2" applyFont="1" applyBorder="1"/>
    <xf numFmtId="0" fontId="4" fillId="0" borderId="0" xfId="1" applyFont="1" applyAlignment="1">
      <alignment horizontal="center"/>
    </xf>
    <xf numFmtId="0" fontId="4" fillId="0" borderId="5" xfId="1" applyFont="1" applyBorder="1" applyAlignment="1">
      <alignment horizontal="center"/>
    </xf>
    <xf numFmtId="0" fontId="12" fillId="0" borderId="0" xfId="1" applyFont="1"/>
    <xf numFmtId="0" fontId="4" fillId="0" borderId="0" xfId="1" applyFont="1" applyAlignment="1">
      <alignment horizontal="center" vertical="center"/>
    </xf>
    <xf numFmtId="0" fontId="17" fillId="0" borderId="0" xfId="1" applyFont="1"/>
    <xf numFmtId="0" fontId="20" fillId="0" borderId="0" xfId="1" applyFont="1" applyAlignment="1">
      <alignment horizontal="center"/>
    </xf>
    <xf numFmtId="0" fontId="17" fillId="0" borderId="0" xfId="2" applyFont="1" applyAlignment="1">
      <alignment vertical="top"/>
    </xf>
    <xf numFmtId="0" fontId="7" fillId="0" borderId="0" xfId="2" applyFont="1" applyAlignment="1">
      <alignment vertical="center"/>
    </xf>
    <xf numFmtId="0" fontId="13" fillId="0" borderId="0" xfId="1" applyFont="1" applyAlignment="1">
      <alignment horizontal="right"/>
    </xf>
    <xf numFmtId="0" fontId="24" fillId="0" borderId="0" xfId="2" applyFont="1"/>
    <xf numFmtId="0" fontId="5" fillId="0" borderId="0" xfId="2"/>
    <xf numFmtId="0" fontId="24" fillId="0" borderId="10" xfId="2" applyFont="1" applyBorder="1" applyAlignment="1">
      <alignment horizontal="center" vertical="center"/>
    </xf>
    <xf numFmtId="0" fontId="5" fillId="0" borderId="0" xfId="2" applyAlignment="1">
      <alignment horizontal="center" vertical="center"/>
    </xf>
    <xf numFmtId="0" fontId="25" fillId="0" borderId="10" xfId="2" applyFont="1" applyBorder="1" applyAlignment="1">
      <alignment vertical="center" wrapText="1"/>
    </xf>
    <xf numFmtId="14" fontId="25" fillId="0" borderId="10" xfId="2" quotePrefix="1" applyNumberFormat="1" applyFont="1" applyBorder="1" applyAlignment="1">
      <alignment horizontal="center" vertical="center" wrapText="1"/>
    </xf>
    <xf numFmtId="0" fontId="15" fillId="0" borderId="10" xfId="2" applyFont="1" applyBorder="1" applyAlignment="1">
      <alignment horizontal="center" vertical="center"/>
    </xf>
    <xf numFmtId="0" fontId="16" fillId="0" borderId="0" xfId="2" applyFont="1" applyAlignment="1">
      <alignment vertical="center"/>
    </xf>
    <xf numFmtId="0" fontId="15" fillId="0" borderId="10" xfId="2" applyFont="1" applyBorder="1" applyAlignment="1">
      <alignment vertical="center" wrapText="1"/>
    </xf>
    <xf numFmtId="0" fontId="4" fillId="0" borderId="10" xfId="2" applyFont="1" applyBorder="1" applyAlignment="1">
      <alignment horizontal="left" vertical="center" wrapText="1"/>
    </xf>
    <xf numFmtId="0" fontId="15" fillId="0" borderId="10" xfId="2" applyFont="1" applyBorder="1" applyAlignment="1">
      <alignment horizontal="center" vertical="center" wrapText="1"/>
    </xf>
    <xf numFmtId="0" fontId="26" fillId="0" borderId="0" xfId="2" applyFont="1"/>
    <xf numFmtId="0" fontId="27" fillId="0" borderId="0" xfId="2" applyFont="1"/>
    <xf numFmtId="0" fontId="26" fillId="0" borderId="10" xfId="2" applyFont="1" applyBorder="1"/>
    <xf numFmtId="0" fontId="16" fillId="0" borderId="10" xfId="2" applyFont="1" applyBorder="1" applyAlignment="1">
      <alignment vertical="center"/>
    </xf>
    <xf numFmtId="0" fontId="28" fillId="0" borderId="0" xfId="1" applyFont="1" applyAlignment="1">
      <alignment horizontal="right"/>
    </xf>
    <xf numFmtId="0" fontId="14" fillId="0" borderId="0" xfId="1" applyFont="1" applyAlignment="1">
      <alignment vertical="center" wrapText="1"/>
    </xf>
    <xf numFmtId="0" fontId="8" fillId="0" borderId="0" xfId="1" applyFont="1" applyAlignment="1">
      <alignment vertical="center" wrapText="1"/>
    </xf>
    <xf numFmtId="0" fontId="7" fillId="0" borderId="0" xfId="1" applyFont="1" applyAlignment="1">
      <alignment vertical="center" wrapText="1"/>
    </xf>
    <xf numFmtId="0" fontId="28" fillId="0" borderId="0" xfId="1" applyFont="1" applyAlignment="1">
      <alignment horizontal="center" vertical="center"/>
    </xf>
    <xf numFmtId="0" fontId="30" fillId="0" borderId="0" xfId="1" applyFont="1" applyAlignment="1">
      <alignment horizontal="center"/>
    </xf>
    <xf numFmtId="0" fontId="2" fillId="0" borderId="0" xfId="1"/>
    <xf numFmtId="0" fontId="2" fillId="2" borderId="0" xfId="1" applyFill="1"/>
    <xf numFmtId="0" fontId="2" fillId="0" borderId="9" xfId="1" applyBorder="1"/>
    <xf numFmtId="0" fontId="31" fillId="0" borderId="0" xfId="1" applyFont="1"/>
    <xf numFmtId="0" fontId="32" fillId="0" borderId="0" xfId="3" applyFont="1"/>
    <xf numFmtId="0" fontId="32" fillId="0" borderId="0" xfId="3" applyFont="1" applyAlignment="1">
      <alignment horizontal="center" vertical="center"/>
    </xf>
    <xf numFmtId="0" fontId="33" fillId="0" borderId="0" xfId="2" applyFont="1"/>
    <xf numFmtId="0" fontId="33" fillId="0" borderId="11" xfId="2" applyFont="1" applyBorder="1" applyAlignment="1">
      <alignment horizontal="center"/>
    </xf>
    <xf numFmtId="0" fontId="33" fillId="0" borderId="11" xfId="2" applyFont="1" applyBorder="1"/>
    <xf numFmtId="0" fontId="33" fillId="0" borderId="13" xfId="2" applyFont="1" applyBorder="1"/>
    <xf numFmtId="0" fontId="16" fillId="0" borderId="12" xfId="2" applyFont="1" applyBorder="1" applyAlignment="1">
      <alignment horizontal="center" vertical="center"/>
    </xf>
    <xf numFmtId="0" fontId="35" fillId="0" borderId="12" xfId="2" applyFont="1" applyBorder="1" applyAlignment="1">
      <alignment horizontal="center"/>
    </xf>
    <xf numFmtId="0" fontId="16" fillId="0" borderId="12" xfId="2" applyFont="1" applyBorder="1" applyAlignment="1">
      <alignment vertical="center"/>
    </xf>
    <xf numFmtId="0" fontId="36" fillId="0" borderId="12" xfId="2" applyFont="1" applyBorder="1" applyAlignment="1">
      <alignment vertical="center"/>
    </xf>
    <xf numFmtId="0" fontId="36" fillId="0" borderId="14" xfId="2" applyFont="1" applyBorder="1" applyAlignment="1">
      <alignment horizontal="center" vertical="center"/>
    </xf>
    <xf numFmtId="0" fontId="36" fillId="0" borderId="15" xfId="2" applyFont="1" applyBorder="1" applyAlignment="1">
      <alignment horizontal="center" vertical="center"/>
    </xf>
    <xf numFmtId="0" fontId="22" fillId="0" borderId="0" xfId="1" applyFont="1"/>
    <xf numFmtId="0" fontId="37" fillId="0" borderId="12" xfId="2" applyFont="1" applyBorder="1" applyAlignment="1">
      <alignment horizontal="left" vertical="center"/>
    </xf>
    <xf numFmtId="0" fontId="16" fillId="0" borderId="12" xfId="2" applyFont="1" applyBorder="1" applyAlignment="1">
      <alignment horizontal="left" vertical="center"/>
    </xf>
    <xf numFmtId="0" fontId="36" fillId="0" borderId="12" xfId="2" applyFont="1" applyBorder="1" applyAlignment="1">
      <alignment horizontal="left" vertical="center"/>
    </xf>
    <xf numFmtId="0" fontId="33" fillId="0" borderId="16" xfId="2" applyFont="1" applyBorder="1" applyAlignment="1">
      <alignment horizontal="center"/>
    </xf>
    <xf numFmtId="0" fontId="33" fillId="0" borderId="17" xfId="2" applyFont="1" applyBorder="1"/>
    <xf numFmtId="0" fontId="33" fillId="0" borderId="18" xfId="2" applyFont="1" applyBorder="1"/>
    <xf numFmtId="0" fontId="35" fillId="0" borderId="17" xfId="2" applyFont="1" applyBorder="1"/>
    <xf numFmtId="0" fontId="35" fillId="0" borderId="18" xfId="2" applyFont="1" applyBorder="1"/>
    <xf numFmtId="0" fontId="39" fillId="0" borderId="16" xfId="2" applyFont="1" applyBorder="1" applyAlignment="1">
      <alignment horizontal="center"/>
    </xf>
    <xf numFmtId="0" fontId="35" fillId="0" borderId="21" xfId="2" applyFont="1" applyBorder="1" applyAlignment="1">
      <alignment horizontal="center" vertical="center"/>
    </xf>
    <xf numFmtId="0" fontId="35" fillId="0" borderId="10" xfId="2" applyFont="1" applyBorder="1" applyAlignment="1">
      <alignment horizontal="center" vertical="center"/>
    </xf>
    <xf numFmtId="0" fontId="34" fillId="0" borderId="0" xfId="1" applyFont="1" applyAlignment="1">
      <alignment horizontal="centerContinuous"/>
    </xf>
    <xf numFmtId="0" fontId="40" fillId="0" borderId="0" xfId="3" applyFont="1" applyAlignment="1">
      <alignment horizontal="centerContinuous"/>
    </xf>
    <xf numFmtId="0" fontId="24" fillId="0" borderId="0" xfId="2" applyFont="1" applyAlignment="1">
      <alignment horizontal="centerContinuous"/>
    </xf>
    <xf numFmtId="0" fontId="41" fillId="0" borderId="0" xfId="2" applyFont="1" applyAlignment="1">
      <alignment horizontal="centerContinuous"/>
    </xf>
    <xf numFmtId="0" fontId="42" fillId="0" borderId="0" xfId="1" applyFont="1" applyAlignment="1">
      <alignment horizontal="centerContinuous"/>
    </xf>
    <xf numFmtId="164" fontId="2" fillId="0" borderId="0" xfId="1" applyNumberFormat="1"/>
    <xf numFmtId="0" fontId="45" fillId="0" borderId="0" xfId="1" applyFont="1"/>
    <xf numFmtId="0" fontId="47" fillId="0" borderId="0" xfId="6" applyFont="1" applyAlignment="1">
      <alignment horizontal="center" vertical="center"/>
    </xf>
    <xf numFmtId="0" fontId="2" fillId="0" borderId="0" xfId="6" applyAlignment="1">
      <alignment vertical="center"/>
    </xf>
    <xf numFmtId="0" fontId="48" fillId="0" borderId="0" xfId="6" applyFont="1" applyAlignment="1">
      <alignment horizontal="left" vertical="center"/>
    </xf>
    <xf numFmtId="0" fontId="49" fillId="0" borderId="0" xfId="6" applyFont="1" applyAlignment="1">
      <alignment horizontal="left" vertical="center"/>
    </xf>
    <xf numFmtId="0" fontId="36" fillId="0" borderId="0" xfId="6" applyFont="1" applyAlignment="1">
      <alignment horizontal="center" vertical="center" wrapText="1"/>
    </xf>
    <xf numFmtId="0" fontId="34" fillId="0" borderId="0" xfId="6" applyFont="1" applyAlignment="1">
      <alignment vertical="center"/>
    </xf>
    <xf numFmtId="0" fontId="50" fillId="0" borderId="0" xfId="6" applyFont="1" applyAlignment="1">
      <alignment horizontal="left" vertical="center"/>
    </xf>
    <xf numFmtId="0" fontId="36" fillId="0" borderId="0" xfId="6" applyFont="1" applyAlignment="1">
      <alignment horizontal="left" vertical="center"/>
    </xf>
    <xf numFmtId="0" fontId="36" fillId="0" borderId="23" xfId="6" applyFont="1" applyBorder="1" applyAlignment="1">
      <alignment horizontal="right" vertical="center"/>
    </xf>
    <xf numFmtId="0" fontId="36" fillId="0" borderId="23" xfId="6" applyFont="1" applyBorder="1" applyAlignment="1">
      <alignment horizontal="center" vertical="center" wrapText="1"/>
    </xf>
    <xf numFmtId="0" fontId="36" fillId="0" borderId="0" xfId="6" applyFont="1" applyAlignment="1">
      <alignment vertical="center"/>
    </xf>
    <xf numFmtId="0" fontId="36" fillId="0" borderId="0" xfId="6" applyFont="1" applyAlignment="1">
      <alignment vertical="center" wrapText="1"/>
    </xf>
    <xf numFmtId="0" fontId="36" fillId="0" borderId="0" xfId="6" applyFont="1" applyAlignment="1">
      <alignment vertical="top"/>
    </xf>
    <xf numFmtId="0" fontId="36" fillId="0" borderId="0" xfId="6" applyFont="1" applyAlignment="1">
      <alignment horizontal="left" vertical="center" wrapText="1"/>
    </xf>
    <xf numFmtId="0" fontId="36" fillId="0" borderId="0" xfId="2" applyFont="1" applyAlignment="1">
      <alignment horizontal="left" vertical="center"/>
    </xf>
    <xf numFmtId="0" fontId="36" fillId="0" borderId="22" xfId="6" applyFont="1" applyBorder="1" applyAlignment="1">
      <alignment vertical="top"/>
    </xf>
    <xf numFmtId="0" fontId="45" fillId="0" borderId="0" xfId="1" applyFont="1" applyAlignment="1">
      <alignment wrapText="1"/>
    </xf>
    <xf numFmtId="0" fontId="45" fillId="0" borderId="0" xfId="1" applyFont="1" applyAlignment="1">
      <alignment horizontal="center" wrapText="1"/>
    </xf>
    <xf numFmtId="0" fontId="35" fillId="0" borderId="0" xfId="3" applyFont="1" applyAlignment="1">
      <alignment horizontal="centerContinuous" vertical="center"/>
    </xf>
    <xf numFmtId="0" fontId="34" fillId="0" borderId="0" xfId="6" quotePrefix="1" applyFont="1"/>
    <xf numFmtId="0" fontId="34" fillId="0" borderId="0" xfId="6" applyFont="1"/>
    <xf numFmtId="0" fontId="36" fillId="0" borderId="23" xfId="6" applyFont="1" applyBorder="1" applyAlignment="1">
      <alignment horizontal="left" vertical="center" wrapText="1"/>
    </xf>
    <xf numFmtId="0" fontId="36" fillId="0" borderId="0" xfId="6" applyFont="1" applyAlignment="1">
      <alignment horizontal="right" vertical="center"/>
    </xf>
    <xf numFmtId="0" fontId="36" fillId="0" borderId="0" xfId="1" applyFont="1" applyAlignment="1">
      <alignment vertical="center"/>
    </xf>
    <xf numFmtId="0" fontId="6" fillId="0" borderId="0" xfId="4" applyFont="1" applyAlignment="1">
      <alignment horizontal="left" vertical="top"/>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5" fillId="0" borderId="0" xfId="2" applyFont="1" applyAlignment="1">
      <alignment vertical="center" wrapText="1"/>
    </xf>
    <xf numFmtId="14" fontId="25" fillId="0" borderId="0" xfId="2" quotePrefix="1" applyNumberFormat="1" applyFont="1" applyAlignment="1">
      <alignment horizontal="center" vertical="center" wrapText="1"/>
    </xf>
    <xf numFmtId="0" fontId="15" fillId="0" borderId="0" xfId="2" applyFont="1" applyAlignment="1">
      <alignment vertical="center" wrapText="1"/>
    </xf>
    <xf numFmtId="0" fontId="4" fillId="0" borderId="0" xfId="2" applyFont="1" applyAlignment="1">
      <alignment horizontal="left" vertical="center" wrapText="1"/>
    </xf>
    <xf numFmtId="0" fontId="4" fillId="0" borderId="0" xfId="2" applyFont="1" applyAlignment="1">
      <alignment horizontal="center" vertical="center" wrapText="1"/>
    </xf>
    <xf numFmtId="0" fontId="4" fillId="0" borderId="0" xfId="0" applyFont="1" applyAlignment="1">
      <alignment horizontal="left" vertical="center" wrapText="1"/>
    </xf>
    <xf numFmtId="0" fontId="25" fillId="0" borderId="0" xfId="0" applyFont="1" applyAlignment="1">
      <alignment vertical="center" wrapText="1"/>
    </xf>
    <xf numFmtId="14" fontId="25" fillId="0" borderId="0" xfId="0" quotePrefix="1" applyNumberFormat="1" applyFont="1" applyAlignment="1">
      <alignment horizontal="center" vertical="center" wrapText="1"/>
    </xf>
    <xf numFmtId="0" fontId="3" fillId="0" borderId="0" xfId="1" applyFont="1"/>
    <xf numFmtId="0" fontId="55" fillId="0" borderId="0" xfId="0" applyFont="1" applyAlignment="1">
      <alignment vertical="center" wrapText="1"/>
    </xf>
    <xf numFmtId="0" fontId="50" fillId="0" borderId="24" xfId="6" applyFont="1" applyBorder="1" applyAlignment="1">
      <alignment horizontal="left" vertical="center"/>
    </xf>
    <xf numFmtId="0" fontId="45" fillId="0" borderId="22" xfId="6" applyFont="1" applyBorder="1" applyAlignment="1">
      <alignment horizontal="left"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56" fillId="0" borderId="1" xfId="0" applyFont="1" applyBorder="1"/>
    <xf numFmtId="0" fontId="56" fillId="0" borderId="2" xfId="0" applyFont="1" applyBorder="1"/>
    <xf numFmtId="0" fontId="56" fillId="0" borderId="4" xfId="0" applyFont="1" applyBorder="1"/>
    <xf numFmtId="0" fontId="45" fillId="0" borderId="0" xfId="0" applyFont="1"/>
    <xf numFmtId="0" fontId="7" fillId="0" borderId="0" xfId="0" applyFont="1" applyAlignment="1">
      <alignment vertical="top"/>
    </xf>
    <xf numFmtId="0" fontId="7" fillId="0" borderId="0" xfId="0" applyFont="1"/>
    <xf numFmtId="0" fontId="4" fillId="0" borderId="0" xfId="0" applyFont="1"/>
    <xf numFmtId="0" fontId="4" fillId="0" borderId="7" xfId="0" applyFont="1" applyBorder="1" applyAlignment="1">
      <alignment horizontal="center"/>
    </xf>
    <xf numFmtId="0" fontId="4" fillId="0" borderId="7" xfId="0" applyFont="1" applyBorder="1"/>
    <xf numFmtId="0" fontId="7" fillId="0" borderId="0" xfId="0" applyFont="1" applyAlignment="1">
      <alignment vertical="center"/>
    </xf>
    <xf numFmtId="0" fontId="0" fillId="0" borderId="5" xfId="0" applyBorder="1" applyAlignment="1">
      <alignment vertical="center"/>
    </xf>
    <xf numFmtId="0" fontId="7" fillId="0" borderId="0" xfId="0" applyFont="1" applyAlignment="1">
      <alignment horizontal="left" vertical="center"/>
    </xf>
    <xf numFmtId="0" fontId="7" fillId="0" borderId="5" xfId="0" applyFont="1" applyBorder="1" applyAlignment="1">
      <alignment horizontal="left" vertical="center"/>
    </xf>
    <xf numFmtId="0" fontId="45" fillId="0" borderId="0" xfId="6" applyFont="1" applyAlignment="1">
      <alignment horizontal="left"/>
    </xf>
    <xf numFmtId="0" fontId="45" fillId="0" borderId="0" xfId="6" applyFont="1" applyAlignment="1">
      <alignment horizontal="left" vertical="center"/>
    </xf>
    <xf numFmtId="0" fontId="51" fillId="0" borderId="0" xfId="6" applyFont="1" applyAlignment="1">
      <alignment horizontal="left" vertical="center"/>
    </xf>
    <xf numFmtId="0" fontId="45" fillId="0" borderId="0" xfId="7" applyFont="1" applyAlignment="1">
      <alignment horizontal="center" vertical="center"/>
    </xf>
    <xf numFmtId="0" fontId="36" fillId="0" borderId="22" xfId="6" applyFont="1" applyBorder="1" applyAlignment="1">
      <alignment horizontal="center" vertical="center" wrapText="1"/>
    </xf>
    <xf numFmtId="0" fontId="36" fillId="0" borderId="26" xfId="6" applyFont="1" applyBorder="1" applyAlignment="1">
      <alignment horizontal="center" vertical="center" wrapText="1"/>
    </xf>
    <xf numFmtId="0" fontId="36" fillId="0" borderId="22" xfId="6" applyFont="1" applyBorder="1" applyAlignment="1">
      <alignment horizontal="left" vertical="top"/>
    </xf>
    <xf numFmtId="0" fontId="36" fillId="0" borderId="0" xfId="6" applyFont="1" applyAlignment="1">
      <alignment horizontal="left" vertical="top"/>
    </xf>
    <xf numFmtId="0" fontId="45" fillId="0" borderId="0" xfId="1" applyFont="1" applyAlignment="1">
      <alignment horizontal="left" wrapText="1"/>
    </xf>
    <xf numFmtId="0" fontId="46" fillId="0" borderId="0" xfId="6" applyFont="1" applyAlignment="1">
      <alignment horizontal="left" vertical="center"/>
    </xf>
    <xf numFmtId="0" fontId="2" fillId="0" borderId="0" xfId="6" applyAlignment="1">
      <alignment horizontal="left" vertical="center"/>
    </xf>
    <xf numFmtId="0" fontId="34" fillId="0" borderId="22" xfId="0" applyFont="1" applyBorder="1" applyAlignment="1">
      <alignment vertical="center" wrapText="1"/>
    </xf>
    <xf numFmtId="0" fontId="34" fillId="0" borderId="23" xfId="0" applyFont="1" applyBorder="1" applyAlignment="1">
      <alignment vertical="center" wrapText="1"/>
    </xf>
    <xf numFmtId="0" fontId="34" fillId="0" borderId="0" xfId="6" applyFont="1" applyAlignment="1">
      <alignment horizontal="left" vertical="center"/>
    </xf>
    <xf numFmtId="0" fontId="45" fillId="0" borderId="26" xfId="0" applyFont="1" applyBorder="1" applyAlignment="1">
      <alignment horizontal="center" vertical="center" textRotation="90" wrapText="1"/>
    </xf>
    <xf numFmtId="0" fontId="36" fillId="0" borderId="29" xfId="6" applyFont="1" applyBorder="1" applyAlignment="1">
      <alignment horizontal="center" vertical="center" wrapText="1"/>
    </xf>
    <xf numFmtId="0" fontId="51" fillId="0" borderId="22" xfId="6" applyFont="1" applyBorder="1" applyAlignment="1">
      <alignment horizontal="left" vertical="center"/>
    </xf>
    <xf numFmtId="0" fontId="45" fillId="0" borderId="0" xfId="7" applyFont="1" applyAlignment="1">
      <alignment horizontal="right" vertical="center"/>
    </xf>
    <xf numFmtId="0" fontId="59" fillId="0" borderId="0" xfId="0" applyFont="1" applyAlignment="1">
      <alignment horizontal="center"/>
    </xf>
    <xf numFmtId="0" fontId="59" fillId="0" borderId="0" xfId="0" applyFont="1" applyAlignment="1">
      <alignment horizontal="center" vertical="center"/>
    </xf>
    <xf numFmtId="0" fontId="4" fillId="0" borderId="0" xfId="0" applyFont="1" applyAlignment="1">
      <alignment vertical="top"/>
    </xf>
    <xf numFmtId="0" fontId="0" fillId="0" borderId="0" xfId="0" applyAlignment="1">
      <alignment vertical="center" wrapText="1"/>
    </xf>
    <xf numFmtId="0" fontId="0" fillId="0" borderId="0" xfId="0" applyAlignment="1">
      <alignment vertical="top" wrapText="1"/>
    </xf>
    <xf numFmtId="0" fontId="57" fillId="0" borderId="0" xfId="0" applyFont="1" applyAlignment="1">
      <alignment vertical="top" wrapText="1"/>
    </xf>
    <xf numFmtId="0" fontId="17" fillId="0" borderId="0" xfId="0" applyFont="1" applyAlignment="1">
      <alignment vertical="center"/>
    </xf>
    <xf numFmtId="0" fontId="7" fillId="0" borderId="5" xfId="0" applyFont="1" applyBorder="1" applyAlignment="1">
      <alignment vertical="center"/>
    </xf>
    <xf numFmtId="0" fontId="34" fillId="0" borderId="0" xfId="0" applyFont="1"/>
    <xf numFmtId="0" fontId="34" fillId="0" borderId="0" xfId="0" applyFont="1" applyAlignment="1">
      <alignment vertical="top" wrapText="1"/>
    </xf>
    <xf numFmtId="0" fontId="38" fillId="0" borderId="0" xfId="0" applyFont="1" applyAlignment="1">
      <alignment vertical="top" wrapText="1"/>
    </xf>
    <xf numFmtId="0" fontId="60" fillId="0" borderId="0" xfId="0" applyFont="1" applyAlignment="1">
      <alignment vertical="center"/>
    </xf>
    <xf numFmtId="0" fontId="45" fillId="0" borderId="0" xfId="0" applyFont="1" applyAlignment="1">
      <alignment vertical="center"/>
    </xf>
    <xf numFmtId="0" fontId="60" fillId="0" borderId="0" xfId="0" applyFont="1"/>
    <xf numFmtId="0" fontId="61" fillId="0" borderId="0" xfId="0" applyFont="1" applyAlignment="1">
      <alignment vertical="center"/>
    </xf>
    <xf numFmtId="0" fontId="61" fillId="0" borderId="0" xfId="0" applyFont="1"/>
    <xf numFmtId="0" fontId="62" fillId="0" borderId="0" xfId="0" applyFont="1" applyAlignment="1">
      <alignment horizontal="right" vertical="center"/>
    </xf>
    <xf numFmtId="0" fontId="60" fillId="0" borderId="0" xfId="0" applyFont="1" applyAlignment="1">
      <alignment vertical="top"/>
    </xf>
    <xf numFmtId="0" fontId="60" fillId="0" borderId="0" xfId="0" applyFont="1" applyAlignment="1">
      <alignment horizontal="center" vertical="top"/>
    </xf>
    <xf numFmtId="0" fontId="45" fillId="0" borderId="23" xfId="7" applyFont="1" applyBorder="1" applyAlignment="1">
      <alignment horizontal="left" vertical="center"/>
    </xf>
    <xf numFmtId="0" fontId="34" fillId="0" borderId="23" xfId="6" applyFont="1" applyBorder="1" applyAlignment="1">
      <alignment horizontal="right" vertical="center"/>
    </xf>
    <xf numFmtId="0" fontId="34" fillId="0" borderId="23" xfId="6" applyFont="1" applyBorder="1" applyAlignment="1">
      <alignment horizontal="center" vertical="center" wrapText="1"/>
    </xf>
    <xf numFmtId="0" fontId="34" fillId="0" borderId="0" xfId="0" applyFont="1" applyAlignment="1">
      <alignment vertical="center" wrapText="1"/>
    </xf>
    <xf numFmtId="0" fontId="34" fillId="0" borderId="23" xfId="6" applyFont="1" applyBorder="1" applyAlignment="1">
      <alignment horizontal="center" vertical="center"/>
    </xf>
    <xf numFmtId="0" fontId="58" fillId="0" borderId="23" xfId="0" applyFont="1" applyBorder="1" applyAlignment="1">
      <alignment horizontal="left" vertical="center" wrapText="1"/>
    </xf>
    <xf numFmtId="0" fontId="34" fillId="0" borderId="24" xfId="0" applyFont="1" applyBorder="1" applyAlignment="1">
      <alignment vertical="center" wrapText="1"/>
    </xf>
    <xf numFmtId="0" fontId="50" fillId="0" borderId="26" xfId="6" applyFont="1" applyBorder="1" applyAlignment="1">
      <alignment vertical="center"/>
    </xf>
    <xf numFmtId="0" fontId="45" fillId="0" borderId="26" xfId="7" applyFont="1" applyBorder="1" applyAlignment="1">
      <alignment vertical="center"/>
    </xf>
    <xf numFmtId="0" fontId="34" fillId="0" borderId="25" xfId="7" applyFont="1" applyBorder="1" applyAlignment="1">
      <alignment horizontal="center" vertical="center"/>
    </xf>
    <xf numFmtId="0" fontId="36" fillId="0" borderId="25" xfId="6" applyFont="1" applyBorder="1" applyAlignment="1">
      <alignment horizontal="right" vertical="center"/>
    </xf>
    <xf numFmtId="0" fontId="34" fillId="0" borderId="27" xfId="7" applyFont="1" applyBorder="1" applyAlignment="1">
      <alignment horizontal="right" vertical="center"/>
    </xf>
    <xf numFmtId="0" fontId="34" fillId="0" borderId="25" xfId="6" applyFont="1" applyBorder="1" applyAlignment="1">
      <alignment horizontal="center" vertical="center"/>
    </xf>
    <xf numFmtId="0" fontId="34" fillId="0" borderId="27" xfId="6" applyFont="1" applyBorder="1" applyAlignment="1">
      <alignment horizontal="right" vertical="center"/>
    </xf>
    <xf numFmtId="0" fontId="45" fillId="0" borderId="27" xfId="7" applyFont="1" applyBorder="1" applyAlignment="1">
      <alignment horizontal="right" vertical="center"/>
    </xf>
    <xf numFmtId="0" fontId="34" fillId="0" borderId="26" xfId="6" applyFont="1" applyBorder="1" applyAlignment="1">
      <alignment horizontal="center" vertical="center" wrapText="1"/>
    </xf>
    <xf numFmtId="0" fontId="45" fillId="0" borderId="30" xfId="6" applyFont="1" applyBorder="1" applyAlignment="1">
      <alignment horizontal="right" vertical="center"/>
    </xf>
    <xf numFmtId="0" fontId="45" fillId="0" borderId="0" xfId="0" applyFont="1" applyAlignment="1">
      <alignment horizontal="center" vertical="center" textRotation="90" wrapText="1"/>
    </xf>
    <xf numFmtId="0" fontId="45" fillId="0" borderId="0" xfId="7" applyFont="1" applyAlignment="1">
      <alignment horizontal="left" vertical="center"/>
    </xf>
    <xf numFmtId="0" fontId="34" fillId="0" borderId="0" xfId="7" applyFont="1" applyAlignment="1">
      <alignment horizontal="right" vertical="center"/>
    </xf>
    <xf numFmtId="0" fontId="34" fillId="0" borderId="0" xfId="7" applyFont="1" applyAlignment="1">
      <alignment horizontal="center" vertical="center"/>
    </xf>
    <xf numFmtId="0" fontId="45" fillId="0" borderId="0" xfId="6" applyFont="1" applyAlignment="1">
      <alignment horizontal="center" vertical="center" wrapText="1"/>
    </xf>
    <xf numFmtId="0" fontId="45" fillId="0" borderId="0" xfId="6" applyFont="1" applyAlignment="1">
      <alignment horizontal="right" vertical="center"/>
    </xf>
    <xf numFmtId="0" fontId="34" fillId="0" borderId="0" xfId="6" applyFont="1" applyAlignment="1">
      <alignment horizontal="right" vertical="center"/>
    </xf>
    <xf numFmtId="0" fontId="34" fillId="0" borderId="0" xfId="6" applyFont="1" applyAlignment="1">
      <alignment horizontal="center" vertical="center"/>
    </xf>
    <xf numFmtId="165" fontId="34" fillId="0" borderId="26" xfId="7" applyNumberFormat="1" applyFont="1" applyBorder="1" applyAlignment="1">
      <alignment horizontal="center" vertical="center"/>
    </xf>
    <xf numFmtId="0" fontId="66" fillId="0" borderId="26" xfId="6" applyFont="1" applyBorder="1" applyAlignment="1">
      <alignment horizontal="center" vertical="center"/>
    </xf>
    <xf numFmtId="0" fontId="66" fillId="0" borderId="23" xfId="6" applyFont="1" applyBorder="1" applyAlignment="1">
      <alignment horizontal="center" vertical="center"/>
    </xf>
    <xf numFmtId="0" fontId="34" fillId="0" borderId="0" xfId="6" quotePrefix="1" applyFont="1" applyAlignment="1">
      <alignment horizontal="center"/>
    </xf>
    <xf numFmtId="0" fontId="11" fillId="0" borderId="0" xfId="1" applyFont="1" applyAlignment="1">
      <alignment horizontal="center"/>
    </xf>
    <xf numFmtId="0" fontId="4" fillId="0" borderId="0" xfId="1" quotePrefix="1" applyFont="1"/>
    <xf numFmtId="0" fontId="63" fillId="0" borderId="0" xfId="0" quotePrefix="1" applyFont="1" applyAlignment="1">
      <alignment horizontal="left" vertical="center"/>
    </xf>
    <xf numFmtId="0" fontId="4" fillId="0" borderId="0" xfId="1" applyFont="1" applyAlignment="1">
      <alignment horizontal="left"/>
    </xf>
    <xf numFmtId="0" fontId="116" fillId="0" borderId="0" xfId="2" applyFont="1" applyAlignment="1">
      <alignment horizontal="left"/>
    </xf>
    <xf numFmtId="0" fontId="54" fillId="0" borderId="10" xfId="0" applyFont="1" applyBorder="1" applyAlignment="1">
      <alignment vertical="center" wrapText="1"/>
    </xf>
    <xf numFmtId="0" fontId="5" fillId="0" borderId="0" xfId="2" applyAlignment="1">
      <alignment vertical="center"/>
    </xf>
    <xf numFmtId="0" fontId="28" fillId="0" borderId="0" xfId="1" applyFont="1" applyAlignment="1">
      <alignment vertical="center"/>
    </xf>
    <xf numFmtId="0" fontId="4" fillId="0" borderId="0" xfId="1" applyFont="1" applyAlignment="1">
      <alignment vertical="center"/>
    </xf>
    <xf numFmtId="0" fontId="4" fillId="0" borderId="0" xfId="1" quotePrefix="1" applyFont="1" applyAlignment="1">
      <alignment horizontal="center"/>
    </xf>
    <xf numFmtId="0" fontId="118" fillId="0" borderId="0" xfId="6" applyFont="1" applyAlignment="1">
      <alignment vertical="center"/>
    </xf>
    <xf numFmtId="0" fontId="15" fillId="0" borderId="0" xfId="1" applyFont="1" applyAlignment="1">
      <alignment horizontal="center" vertical="center"/>
    </xf>
    <xf numFmtId="0" fontId="15" fillId="0" borderId="0" xfId="1" quotePrefix="1" applyFont="1" applyAlignment="1">
      <alignment horizontal="center"/>
    </xf>
    <xf numFmtId="0" fontId="16" fillId="0" borderId="0" xfId="6" applyFont="1" applyAlignment="1">
      <alignment vertical="center"/>
    </xf>
    <xf numFmtId="0" fontId="118" fillId="0" borderId="0" xfId="0" applyFont="1"/>
    <xf numFmtId="0" fontId="16" fillId="0" borderId="0" xfId="0" applyFont="1" applyAlignment="1">
      <alignment vertical="center" wrapText="1"/>
    </xf>
    <xf numFmtId="0" fontId="66" fillId="0" borderId="0" xfId="6" applyFont="1" applyAlignment="1">
      <alignment horizontal="left" vertical="center" wrapText="1"/>
    </xf>
    <xf numFmtId="0" fontId="15" fillId="0" borderId="0" xfId="1" quotePrefix="1" applyFont="1" applyAlignment="1">
      <alignment horizontal="center" vertical="center"/>
    </xf>
    <xf numFmtId="0" fontId="11" fillId="0" borderId="0" xfId="1" quotePrefix="1" applyFont="1" applyAlignment="1">
      <alignment horizontal="center"/>
    </xf>
    <xf numFmtId="0" fontId="6" fillId="0" borderId="1" xfId="2" applyFont="1" applyBorder="1" applyAlignment="1">
      <alignment horizontal="center" vertical="center"/>
    </xf>
    <xf numFmtId="0" fontId="6" fillId="0" borderId="2" xfId="2" applyFont="1" applyBorder="1" applyAlignment="1">
      <alignment horizontal="center" vertical="center"/>
    </xf>
    <xf numFmtId="0" fontId="6" fillId="0" borderId="3" xfId="2" applyFont="1" applyBorder="1" applyAlignment="1">
      <alignment horizontal="center" vertical="center"/>
    </xf>
    <xf numFmtId="0" fontId="7" fillId="0" borderId="4" xfId="2" applyFont="1" applyBorder="1" applyAlignment="1">
      <alignment horizontal="center" vertical="center"/>
    </xf>
    <xf numFmtId="0" fontId="7" fillId="0" borderId="0" xfId="2" applyFont="1" applyAlignment="1">
      <alignment horizontal="center" vertical="center"/>
    </xf>
    <xf numFmtId="0" fontId="7" fillId="0" borderId="5" xfId="2" applyFont="1" applyBorder="1" applyAlignment="1">
      <alignment horizontal="center" vertical="center"/>
    </xf>
    <xf numFmtId="0" fontId="14" fillId="0" borderId="0" xfId="1" applyFont="1" applyAlignment="1">
      <alignment horizontal="center" vertical="center"/>
    </xf>
    <xf numFmtId="0" fontId="14" fillId="0" borderId="0" xfId="1" applyFont="1" applyAlignment="1">
      <alignment horizontal="center"/>
    </xf>
    <xf numFmtId="0" fontId="14" fillId="0" borderId="5" xfId="1" applyFont="1" applyBorder="1" applyAlignment="1">
      <alignment horizontal="center"/>
    </xf>
    <xf numFmtId="0" fontId="7" fillId="0" borderId="0" xfId="1" applyFont="1" applyAlignment="1">
      <alignment horizontal="left" vertical="center"/>
    </xf>
    <xf numFmtId="0" fontId="10" fillId="0" borderId="0" xfId="4" applyFont="1" applyAlignment="1">
      <alignment horizontal="left" vertical="center" wrapText="1"/>
    </xf>
    <xf numFmtId="0" fontId="10" fillId="0" borderId="5" xfId="4" applyFont="1" applyBorder="1" applyAlignment="1">
      <alignment horizontal="left" vertical="center" wrapText="1"/>
    </xf>
    <xf numFmtId="0" fontId="7" fillId="0" borderId="5" xfId="1" applyFont="1" applyBorder="1" applyAlignment="1">
      <alignment horizontal="left" vertical="center"/>
    </xf>
    <xf numFmtId="0" fontId="6" fillId="0" borderId="0" xfId="4" applyFont="1" applyAlignment="1">
      <alignment horizontal="left" vertical="center"/>
    </xf>
    <xf numFmtId="0" fontId="7" fillId="0" borderId="0" xfId="4" applyFont="1" applyAlignment="1">
      <alignment horizontal="left" vertical="center" wrapText="1"/>
    </xf>
    <xf numFmtId="0" fontId="7" fillId="0" borderId="5" xfId="4" applyFont="1" applyBorder="1" applyAlignment="1">
      <alignment horizontal="left" vertical="center" wrapText="1"/>
    </xf>
    <xf numFmtId="0" fontId="7" fillId="0" borderId="0" xfId="1" applyFont="1" applyAlignment="1">
      <alignment horizontal="justify" vertical="top" wrapText="1"/>
    </xf>
    <xf numFmtId="0" fontId="10" fillId="0" borderId="0" xfId="2" applyFont="1" applyAlignment="1">
      <alignment horizontal="left" vertical="top" wrapText="1"/>
    </xf>
    <xf numFmtId="0" fontId="10" fillId="0" borderId="5" xfId="2" applyFont="1" applyBorder="1" applyAlignment="1">
      <alignment horizontal="left" vertical="top" wrapText="1"/>
    </xf>
    <xf numFmtId="0" fontId="9" fillId="0" borderId="0" xfId="1" applyFont="1" applyAlignment="1">
      <alignment horizontal="center" vertical="center" wrapText="1"/>
    </xf>
    <xf numFmtId="0" fontId="9" fillId="0" borderId="0" xfId="1" applyFont="1" applyAlignment="1">
      <alignment horizontal="center" vertical="center"/>
    </xf>
    <xf numFmtId="0" fontId="9" fillId="0" borderId="5" xfId="1" applyFont="1" applyBorder="1" applyAlignment="1">
      <alignment horizontal="center" vertical="center"/>
    </xf>
    <xf numFmtId="0" fontId="21" fillId="0" borderId="0" xfId="1" applyFont="1" applyAlignment="1">
      <alignment horizontal="center" vertical="center"/>
    </xf>
    <xf numFmtId="0" fontId="21" fillId="0" borderId="5" xfId="1" applyFont="1" applyBorder="1" applyAlignment="1">
      <alignment horizontal="center" vertical="center"/>
    </xf>
    <xf numFmtId="0" fontId="10" fillId="0" borderId="0" xfId="2" applyFont="1" applyAlignment="1">
      <alignment horizontal="justify" vertical="top" wrapText="1"/>
    </xf>
    <xf numFmtId="0" fontId="10" fillId="0" borderId="5" xfId="2" applyFont="1" applyBorder="1" applyAlignment="1">
      <alignment horizontal="justify" vertical="top" wrapText="1"/>
    </xf>
    <xf numFmtId="0" fontId="11" fillId="0" borderId="0" xfId="1" applyFont="1" applyAlignment="1">
      <alignment horizontal="center"/>
    </xf>
    <xf numFmtId="0" fontId="11" fillId="0" borderId="5" xfId="1" applyFont="1" applyBorder="1" applyAlignment="1">
      <alignment horizontal="center"/>
    </xf>
    <xf numFmtId="0" fontId="13" fillId="0" borderId="0" xfId="1" applyFont="1" applyAlignment="1">
      <alignment horizontal="center" vertical="center"/>
    </xf>
    <xf numFmtId="0" fontId="13" fillId="0" borderId="5" xfId="1" applyFont="1" applyBorder="1" applyAlignment="1">
      <alignment horizontal="center" vertical="center"/>
    </xf>
    <xf numFmtId="0" fontId="14" fillId="0" borderId="5" xfId="1" applyFont="1" applyBorder="1" applyAlignment="1">
      <alignment horizontal="center" vertical="center"/>
    </xf>
    <xf numFmtId="0" fontId="4" fillId="0" borderId="0" xfId="1" applyFont="1" applyAlignment="1">
      <alignment horizontal="center" vertical="center"/>
    </xf>
    <xf numFmtId="0" fontId="7" fillId="0" borderId="0" xfId="0" applyFont="1" applyAlignment="1">
      <alignment horizontal="justify" vertical="top" wrapText="1"/>
    </xf>
    <xf numFmtId="0" fontId="7" fillId="0" borderId="5" xfId="0" applyFont="1" applyBorder="1" applyAlignment="1">
      <alignment horizontal="justify" vertical="top" wrapText="1"/>
    </xf>
    <xf numFmtId="0" fontId="53" fillId="0" borderId="0" xfId="0" applyFont="1" applyAlignment="1">
      <alignment horizontal="center"/>
    </xf>
    <xf numFmtId="0" fontId="53" fillId="0" borderId="5"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center"/>
    </xf>
    <xf numFmtId="0" fontId="7" fillId="0" borderId="5" xfId="0" applyFont="1" applyBorder="1" applyAlignment="1">
      <alignment horizontal="left" vertical="center"/>
    </xf>
    <xf numFmtId="0" fontId="4" fillId="0" borderId="0" xfId="0" applyFont="1" applyAlignment="1">
      <alignment horizontal="center"/>
    </xf>
    <xf numFmtId="0" fontId="4" fillId="0" borderId="0" xfId="0" applyFont="1" applyAlignment="1">
      <alignment horizontal="center" vertical="top"/>
    </xf>
    <xf numFmtId="0" fontId="4" fillId="0" borderId="4" xfId="0" applyFont="1" applyBorder="1" applyAlignment="1">
      <alignment horizontal="center"/>
    </xf>
    <xf numFmtId="0" fontId="4" fillId="0" borderId="5" xfId="0" applyFont="1" applyBorder="1" applyAlignment="1">
      <alignment horizontal="center"/>
    </xf>
    <xf numFmtId="0" fontId="7" fillId="0" borderId="2" xfId="0" applyFont="1" applyBorder="1" applyAlignment="1">
      <alignment horizontal="center"/>
    </xf>
    <xf numFmtId="0" fontId="19" fillId="0" borderId="0" xfId="1" applyFont="1" applyAlignment="1">
      <alignment horizontal="center" vertical="center"/>
    </xf>
    <xf numFmtId="0" fontId="23" fillId="0" borderId="0" xfId="2" applyFont="1" applyAlignment="1">
      <alignment horizontal="center"/>
    </xf>
    <xf numFmtId="0" fontId="23" fillId="0" borderId="0" xfId="2" applyFont="1" applyAlignment="1">
      <alignment horizontal="center" vertical="center"/>
    </xf>
    <xf numFmtId="0" fontId="18" fillId="0" borderId="0" xfId="1" applyFont="1" applyAlignment="1">
      <alignment horizontal="center" vertical="center" wrapText="1"/>
    </xf>
    <xf numFmtId="0" fontId="14" fillId="0" borderId="0" xfId="1" applyFont="1" applyAlignment="1">
      <alignment horizontal="center"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8" fillId="0" borderId="0" xfId="1" applyFont="1" applyAlignment="1">
      <alignment horizontal="center" vertical="center"/>
    </xf>
    <xf numFmtId="0" fontId="7" fillId="0" borderId="0" xfId="1" applyFont="1" applyAlignment="1">
      <alignment horizontal="center" wrapText="1"/>
    </xf>
    <xf numFmtId="0" fontId="34" fillId="0" borderId="12" xfId="2" applyFont="1" applyBorder="1" applyAlignment="1">
      <alignment horizontal="left" vertical="center"/>
    </xf>
    <xf numFmtId="0" fontId="34" fillId="0" borderId="12" xfId="2" applyFont="1" applyBorder="1" applyAlignment="1">
      <alignment horizontal="center"/>
    </xf>
    <xf numFmtId="0" fontId="33" fillId="0" borderId="12" xfId="2" applyFont="1" applyBorder="1" applyAlignment="1">
      <alignment horizontal="center"/>
    </xf>
    <xf numFmtId="0" fontId="33" fillId="0" borderId="11" xfId="2" applyFont="1" applyBorder="1" applyAlignment="1">
      <alignment horizontal="left" vertical="center"/>
    </xf>
    <xf numFmtId="0" fontId="33" fillId="0" borderId="11" xfId="2" applyFont="1" applyBorder="1" applyAlignment="1">
      <alignment horizontal="center"/>
    </xf>
    <xf numFmtId="0" fontId="35" fillId="0" borderId="12" xfId="2" applyFont="1" applyBorder="1" applyAlignment="1">
      <alignment horizontal="left"/>
    </xf>
    <xf numFmtId="0" fontId="16" fillId="0" borderId="12" xfId="2" applyFont="1" applyBorder="1" applyAlignment="1">
      <alignment horizontal="center"/>
    </xf>
    <xf numFmtId="0" fontId="34" fillId="0" borderId="12" xfId="2" applyFont="1" applyBorder="1" applyAlignment="1">
      <alignment horizontal="left" vertical="center" wrapText="1"/>
    </xf>
    <xf numFmtId="0" fontId="16" fillId="0" borderId="15" xfId="2" applyFont="1" applyBorder="1" applyAlignment="1">
      <alignment vertical="center"/>
    </xf>
    <xf numFmtId="0" fontId="16" fillId="0" borderId="14" xfId="2" applyFont="1" applyBorder="1" applyAlignment="1">
      <alignment vertical="center"/>
    </xf>
    <xf numFmtId="0" fontId="36" fillId="0" borderId="15" xfId="2" applyFont="1" applyBorder="1" applyAlignment="1">
      <alignment horizontal="left" vertical="center" wrapText="1"/>
    </xf>
    <xf numFmtId="0" fontId="36" fillId="0" borderId="14" xfId="2" applyFont="1" applyBorder="1" applyAlignment="1">
      <alignment horizontal="left" vertical="center" wrapText="1"/>
    </xf>
    <xf numFmtId="0" fontId="37" fillId="0" borderId="15" xfId="2" applyFont="1" applyBorder="1" applyAlignment="1">
      <alignment horizontal="center"/>
    </xf>
    <xf numFmtId="0" fontId="37" fillId="0" borderId="14" xfId="2" applyFont="1" applyBorder="1" applyAlignment="1">
      <alignment horizontal="center"/>
    </xf>
    <xf numFmtId="0" fontId="36" fillId="0" borderId="15" xfId="2" applyFont="1" applyBorder="1" applyAlignment="1">
      <alignment horizontal="left" vertical="center"/>
    </xf>
    <xf numFmtId="0" fontId="36" fillId="0" borderId="14" xfId="2" applyFont="1" applyBorder="1" applyAlignment="1">
      <alignment horizontal="left" vertical="center"/>
    </xf>
    <xf numFmtId="0" fontId="36" fillId="0" borderId="12" xfId="2" applyFont="1" applyBorder="1" applyAlignment="1">
      <alignment horizontal="left" vertical="center"/>
    </xf>
    <xf numFmtId="0" fontId="38" fillId="0" borderId="12" xfId="2" applyFont="1" applyBorder="1" applyAlignment="1">
      <alignment horizontal="left" vertical="center"/>
    </xf>
    <xf numFmtId="0" fontId="34" fillId="0" borderId="15" xfId="2" applyFont="1" applyBorder="1" applyAlignment="1">
      <alignment horizontal="left" vertical="center" wrapText="1"/>
    </xf>
    <xf numFmtId="0" fontId="34" fillId="0" borderId="14" xfId="2" applyFont="1" applyBorder="1" applyAlignment="1">
      <alignment horizontal="left" vertical="center" wrapText="1"/>
    </xf>
    <xf numFmtId="0" fontId="35" fillId="0" borderId="20" xfId="2" applyFont="1" applyBorder="1" applyAlignment="1">
      <alignment horizontal="center" vertical="center" wrapText="1"/>
    </xf>
    <xf numFmtId="0" fontId="35" fillId="0" borderId="19" xfId="2" applyFont="1" applyBorder="1" applyAlignment="1">
      <alignment horizontal="center" vertical="center" wrapText="1"/>
    </xf>
    <xf numFmtId="0" fontId="35" fillId="0" borderId="20" xfId="2" applyFont="1" applyBorder="1" applyAlignment="1">
      <alignment horizontal="center" vertical="center"/>
    </xf>
    <xf numFmtId="0" fontId="35" fillId="0" borderId="19" xfId="2" applyFont="1" applyBorder="1" applyAlignment="1">
      <alignment horizontal="center" vertical="center"/>
    </xf>
    <xf numFmtId="0" fontId="33" fillId="0" borderId="16" xfId="2" applyFont="1" applyBorder="1" applyAlignment="1">
      <alignment horizontal="center"/>
    </xf>
    <xf numFmtId="0" fontId="34" fillId="0" borderId="0" xfId="6" quotePrefix="1" applyFont="1" applyAlignment="1">
      <alignment horizontal="center"/>
    </xf>
    <xf numFmtId="0" fontId="58" fillId="0" borderId="25" xfId="0" applyFont="1" applyBorder="1" applyAlignment="1">
      <alignment horizontal="left" vertical="center" wrapText="1"/>
    </xf>
    <xf numFmtId="0" fontId="58" fillId="0" borderId="27" xfId="0" applyFont="1" applyBorder="1" applyAlignment="1">
      <alignment horizontal="left" vertical="center" wrapText="1"/>
    </xf>
    <xf numFmtId="0" fontId="58" fillId="0" borderId="0" xfId="0" applyFont="1" applyAlignment="1">
      <alignment horizontal="left" vertical="center" wrapText="1"/>
    </xf>
    <xf numFmtId="0" fontId="45" fillId="0" borderId="0" xfId="6" applyFont="1" applyAlignment="1">
      <alignment horizontal="left" vertical="center"/>
    </xf>
    <xf numFmtId="0" fontId="36" fillId="0" borderId="0" xfId="6" applyFont="1" applyAlignment="1">
      <alignment horizontal="left" vertical="center" wrapText="1"/>
    </xf>
    <xf numFmtId="0" fontId="45" fillId="0" borderId="22" xfId="6" applyFont="1" applyBorder="1" applyAlignment="1">
      <alignment horizontal="left" vertical="center" wrapText="1"/>
    </xf>
    <xf numFmtId="0" fontId="45" fillId="0" borderId="23" xfId="6" applyFont="1" applyBorder="1" applyAlignment="1">
      <alignment horizontal="left" vertical="center" wrapText="1"/>
    </xf>
    <xf numFmtId="0" fontId="45" fillId="0" borderId="0" xfId="1" applyFont="1" applyAlignment="1">
      <alignment horizontal="center" wrapText="1"/>
    </xf>
    <xf numFmtId="0" fontId="45" fillId="0" borderId="0" xfId="6" applyFont="1" applyAlignment="1">
      <alignment horizontal="center" vertical="center"/>
    </xf>
    <xf numFmtId="0" fontId="50" fillId="0" borderId="0" xfId="6" applyFont="1" applyAlignment="1">
      <alignment horizontal="center" vertical="center"/>
    </xf>
    <xf numFmtId="0" fontId="45" fillId="0" borderId="32" xfId="7" applyFont="1" applyBorder="1" applyAlignment="1">
      <alignment horizontal="center" vertical="center"/>
    </xf>
    <xf numFmtId="0" fontId="45" fillId="0" borderId="31" xfId="7" applyFont="1" applyBorder="1" applyAlignment="1">
      <alignment horizontal="center" vertical="center"/>
    </xf>
    <xf numFmtId="0" fontId="45" fillId="0" borderId="30" xfId="7" applyFont="1" applyBorder="1" applyAlignment="1">
      <alignment horizontal="center" vertical="center"/>
    </xf>
    <xf numFmtId="0" fontId="45" fillId="0" borderId="28" xfId="7" applyFont="1" applyBorder="1" applyAlignment="1">
      <alignment horizontal="center" vertical="center"/>
    </xf>
    <xf numFmtId="0" fontId="45" fillId="0" borderId="26" xfId="6" applyFont="1" applyBorder="1" applyAlignment="1">
      <alignment horizontal="center" vertical="center" wrapText="1"/>
    </xf>
    <xf numFmtId="0" fontId="45" fillId="0" borderId="27" xfId="6" applyFont="1" applyBorder="1" applyAlignment="1">
      <alignment horizontal="center" vertical="center"/>
    </xf>
    <xf numFmtId="0" fontId="50" fillId="0" borderId="23" xfId="6" applyFont="1" applyBorder="1" applyAlignment="1">
      <alignment horizontal="center" vertical="center"/>
    </xf>
    <xf numFmtId="0" fontId="50" fillId="0" borderId="25" xfId="6" applyFont="1" applyBorder="1" applyAlignment="1">
      <alignment horizontal="center" vertical="center"/>
    </xf>
    <xf numFmtId="0" fontId="45" fillId="0" borderId="0" xfId="7" applyFont="1" applyAlignment="1">
      <alignment horizontal="center" vertical="center"/>
    </xf>
    <xf numFmtId="0" fontId="34" fillId="0" borderId="23" xfId="0" applyFont="1" applyBorder="1" applyAlignment="1">
      <alignment horizontal="left" vertical="center" wrapText="1"/>
    </xf>
    <xf numFmtId="0" fontId="34" fillId="0" borderId="0" xfId="0" applyFont="1" applyAlignment="1">
      <alignment horizontal="left" vertical="center" wrapText="1"/>
    </xf>
    <xf numFmtId="0" fontId="45" fillId="0" borderId="23" xfId="0" applyFont="1" applyBorder="1" applyAlignment="1">
      <alignment horizontal="left" vertical="center" wrapText="1"/>
    </xf>
    <xf numFmtId="0" fontId="45" fillId="0" borderId="0" xfId="0" applyFont="1" applyAlignment="1">
      <alignment horizontal="left" vertical="center" wrapText="1"/>
    </xf>
    <xf numFmtId="0" fontId="45" fillId="0" borderId="23" xfId="7" applyFont="1" applyBorder="1" applyAlignment="1">
      <alignment horizontal="left" vertical="center"/>
    </xf>
    <xf numFmtId="0" fontId="45" fillId="0" borderId="0" xfId="7" applyFont="1" applyAlignment="1">
      <alignment horizontal="left" vertical="center"/>
    </xf>
    <xf numFmtId="0" fontId="50" fillId="0" borderId="0" xfId="6" applyFont="1" applyAlignment="1">
      <alignment horizontal="left" vertical="center"/>
    </xf>
    <xf numFmtId="0" fontId="36" fillId="0" borderId="0" xfId="6" quotePrefix="1" applyFont="1" applyAlignment="1">
      <alignment horizontal="left" vertical="center"/>
    </xf>
    <xf numFmtId="0" fontId="36" fillId="0" borderId="0" xfId="6" applyFont="1" applyAlignment="1">
      <alignment horizontal="left" vertical="center"/>
    </xf>
    <xf numFmtId="0" fontId="50" fillId="0" borderId="22" xfId="6" applyFont="1" applyBorder="1" applyAlignment="1">
      <alignment horizontal="left" vertical="center"/>
    </xf>
    <xf numFmtId="0" fontId="51" fillId="0" borderId="0" xfId="6" applyFont="1" applyAlignment="1">
      <alignment horizontal="left" vertical="center"/>
    </xf>
    <xf numFmtId="0" fontId="45" fillId="0" borderId="0" xfId="6" applyFont="1" applyAlignment="1">
      <alignment horizontal="left" vertical="center" wrapText="1"/>
    </xf>
    <xf numFmtId="0" fontId="36" fillId="0" borderId="10" xfId="6" applyFont="1" applyBorder="1" applyAlignment="1">
      <alignment horizontal="left" vertical="center" wrapText="1"/>
    </xf>
    <xf numFmtId="0" fontId="45" fillId="0" borderId="20" xfId="6" applyFont="1" applyBorder="1" applyAlignment="1">
      <alignment horizontal="center" vertical="center" wrapText="1"/>
    </xf>
    <xf numFmtId="0" fontId="45" fillId="0" borderId="21" xfId="6" applyFont="1" applyBorder="1" applyAlignment="1">
      <alignment horizontal="center" vertical="center" wrapText="1"/>
    </xf>
    <xf numFmtId="0" fontId="45" fillId="0" borderId="19" xfId="6" applyFont="1" applyBorder="1" applyAlignment="1">
      <alignment horizontal="center" vertical="center" wrapText="1"/>
    </xf>
    <xf numFmtId="0" fontId="36" fillId="0" borderId="10" xfId="6" applyFont="1" applyBorder="1" applyAlignment="1">
      <alignment horizontal="center" vertical="center" wrapText="1"/>
    </xf>
    <xf numFmtId="0" fontId="36" fillId="0" borderId="20" xfId="6" applyFont="1" applyBorder="1" applyAlignment="1">
      <alignment horizontal="center" vertical="center" wrapText="1"/>
    </xf>
    <xf numFmtId="0" fontId="36" fillId="0" borderId="21" xfId="6" applyFont="1" applyBorder="1" applyAlignment="1">
      <alignment horizontal="center" vertical="center" wrapText="1"/>
    </xf>
    <xf numFmtId="0" fontId="36" fillId="0" borderId="19" xfId="6" applyFont="1" applyBorder="1" applyAlignment="1">
      <alignment horizontal="center" vertical="center" wrapText="1"/>
    </xf>
    <xf numFmtId="0" fontId="43" fillId="0" borderId="0" xfId="6" applyFont="1" applyAlignment="1">
      <alignment horizontal="center" vertical="center"/>
    </xf>
    <xf numFmtId="0" fontId="117" fillId="0" borderId="0" xfId="6" applyFont="1" applyAlignment="1">
      <alignment horizontal="center" vertical="center"/>
    </xf>
    <xf numFmtId="0" fontId="24" fillId="0" borderId="0" xfId="6" applyFont="1" applyAlignment="1">
      <alignment horizontal="center" vertical="center"/>
    </xf>
    <xf numFmtId="0" fontId="45" fillId="0" borderId="10" xfId="6" applyFont="1" applyBorder="1" applyAlignment="1">
      <alignment horizontal="center" vertical="center" wrapText="1"/>
    </xf>
    <xf numFmtId="0" fontId="36" fillId="0" borderId="23" xfId="6" applyFont="1" applyBorder="1" applyAlignment="1">
      <alignment horizontal="left" vertical="center" wrapText="1"/>
    </xf>
    <xf numFmtId="0" fontId="45" fillId="0" borderId="0" xfId="6" applyFont="1" applyAlignment="1">
      <alignment horizontal="left"/>
    </xf>
    <xf numFmtId="0" fontId="45" fillId="0" borderId="0" xfId="6" applyFont="1" applyAlignment="1">
      <alignment horizontal="left" wrapText="1"/>
    </xf>
    <xf numFmtId="0" fontId="52" fillId="0" borderId="0" xfId="1" applyFont="1" applyAlignment="1">
      <alignment horizontal="center" vertical="center" wrapText="1"/>
    </xf>
    <xf numFmtId="0" fontId="51" fillId="0" borderId="0" xfId="1" applyFont="1" applyAlignment="1">
      <alignment horizontal="center" vertical="center" wrapText="1"/>
    </xf>
    <xf numFmtId="0" fontId="36" fillId="0" borderId="0" xfId="1" applyFont="1" applyAlignment="1">
      <alignment horizontal="center" vertical="center" wrapText="1"/>
    </xf>
    <xf numFmtId="0" fontId="7" fillId="0" borderId="0" xfId="0" applyFont="1" applyAlignment="1">
      <alignment vertical="top" wrapText="1"/>
    </xf>
    <xf numFmtId="0" fontId="7" fillId="0" borderId="5" xfId="0" applyFont="1" applyBorder="1" applyAlignment="1">
      <alignment vertical="top" wrapText="1"/>
    </xf>
  </cellXfs>
  <cellStyles count="165">
    <cellStyle name="          _x000d__x000a_shell=progman.exe_x000d__x000a_m" xfId="8" xr:uid="{00000000-0005-0000-0000-000000000000}"/>
    <cellStyle name="??" xfId="9" xr:uid="{00000000-0005-0000-0000-000001000000}"/>
    <cellStyle name="?? [0.00]_PRODUCT DETAIL Q1" xfId="10" xr:uid="{00000000-0005-0000-0000-000002000000}"/>
    <cellStyle name="?? [0]" xfId="11" xr:uid="{00000000-0005-0000-0000-000003000000}"/>
    <cellStyle name="???? [0.00]_PRODUCT DETAIL Q1" xfId="12" xr:uid="{00000000-0005-0000-0000-000004000000}"/>
    <cellStyle name="????_PRODUCT DETAIL Q1" xfId="13" xr:uid="{00000000-0005-0000-0000-000005000000}"/>
    <cellStyle name="???[0]_Book1" xfId="14" xr:uid="{00000000-0005-0000-0000-000006000000}"/>
    <cellStyle name="???_???" xfId="15" xr:uid="{00000000-0005-0000-0000-000007000000}"/>
    <cellStyle name="??_(????)??????" xfId="16" xr:uid="{00000000-0005-0000-0000-000008000000}"/>
    <cellStyle name="_Tong hop may cheu nganh 1" xfId="17" xr:uid="{00000000-0005-0000-0000-000009000000}"/>
    <cellStyle name="•W€_STDFOR" xfId="18" xr:uid="{00000000-0005-0000-0000-00000A000000}"/>
    <cellStyle name="W_STDFOR" xfId="19" xr:uid="{00000000-0005-0000-0000-00000B000000}"/>
    <cellStyle name="1" xfId="20" xr:uid="{00000000-0005-0000-0000-00000C000000}"/>
    <cellStyle name="¹éºÐÀ²_±âÅ¸" xfId="21" xr:uid="{00000000-0005-0000-0000-00000D000000}"/>
    <cellStyle name="2" xfId="22" xr:uid="{00000000-0005-0000-0000-00000E000000}"/>
    <cellStyle name="20" xfId="23" xr:uid="{00000000-0005-0000-0000-00000F000000}"/>
    <cellStyle name="3" xfId="24" xr:uid="{00000000-0005-0000-0000-000010000000}"/>
    <cellStyle name="4" xfId="25" xr:uid="{00000000-0005-0000-0000-000011000000}"/>
    <cellStyle name="6" xfId="26" xr:uid="{00000000-0005-0000-0000-000012000000}"/>
    <cellStyle name="ÅëÈ­ [0]_¿ì¹°Åë" xfId="27" xr:uid="{00000000-0005-0000-0000-000013000000}"/>
    <cellStyle name="AeE­ [0]_INQUIRY ¿µ¾÷AßAø " xfId="28" xr:uid="{00000000-0005-0000-0000-000014000000}"/>
    <cellStyle name="ÅëÈ­ [0]_Sheet1" xfId="29" xr:uid="{00000000-0005-0000-0000-000015000000}"/>
    <cellStyle name="ÅëÈ­_¿ì¹°Åë" xfId="30" xr:uid="{00000000-0005-0000-0000-000016000000}"/>
    <cellStyle name="AeE­_INQUIRY ¿µ¾÷AßAø " xfId="31" xr:uid="{00000000-0005-0000-0000-000017000000}"/>
    <cellStyle name="ÅëÈ­_Sheet1" xfId="32" xr:uid="{00000000-0005-0000-0000-000018000000}"/>
    <cellStyle name="ÄÞ¸¶ [0]_¿ì¹°Åë" xfId="33" xr:uid="{00000000-0005-0000-0000-000019000000}"/>
    <cellStyle name="AÞ¸¶ [0]_INQUIRY ¿?¾÷AßAø " xfId="34" xr:uid="{00000000-0005-0000-0000-00001A000000}"/>
    <cellStyle name="ÄÞ¸¶ [0]_L601CPT" xfId="35" xr:uid="{00000000-0005-0000-0000-00001B000000}"/>
    <cellStyle name="ÄÞ¸¶_¿ì¹°Åë" xfId="36" xr:uid="{00000000-0005-0000-0000-00001C000000}"/>
    <cellStyle name="AÞ¸¶_INQUIRY ¿?¾÷AßAø " xfId="37" xr:uid="{00000000-0005-0000-0000-00001D000000}"/>
    <cellStyle name="ÄÞ¸¶_L601CPT" xfId="38" xr:uid="{00000000-0005-0000-0000-00001E000000}"/>
    <cellStyle name="Bình thường 2" xfId="4" xr:uid="{00000000-0005-0000-0000-00001F000000}"/>
    <cellStyle name="C?AØ_¿?¾÷CoE² " xfId="39" xr:uid="{00000000-0005-0000-0000-000020000000}"/>
    <cellStyle name="Ç¥ÁØ_#2(M17)_1" xfId="40" xr:uid="{00000000-0005-0000-0000-000021000000}"/>
    <cellStyle name="C￥AØ_¿μ¾÷CoE² " xfId="41" xr:uid="{00000000-0005-0000-0000-000022000000}"/>
    <cellStyle name="Ç¥ÁØ_±³°¢¼ö·®" xfId="42" xr:uid="{00000000-0005-0000-0000-000023000000}"/>
    <cellStyle name="category" xfId="43" xr:uid="{00000000-0005-0000-0000-000024000000}"/>
    <cellStyle name="Comma 2" xfId="44" xr:uid="{00000000-0005-0000-0000-000025000000}"/>
    <cellStyle name="Comma 2 2" xfId="45" xr:uid="{00000000-0005-0000-0000-000026000000}"/>
    <cellStyle name="Comma 2 3" xfId="46" xr:uid="{00000000-0005-0000-0000-000027000000}"/>
    <cellStyle name="Comma 3" xfId="47" xr:uid="{00000000-0005-0000-0000-000028000000}"/>
    <cellStyle name="Comma 3 2" xfId="48" xr:uid="{00000000-0005-0000-0000-000029000000}"/>
    <cellStyle name="Comma 3 3" xfId="49" xr:uid="{00000000-0005-0000-0000-00002A000000}"/>
    <cellStyle name="Comma 4" xfId="50" xr:uid="{00000000-0005-0000-0000-00002B000000}"/>
    <cellStyle name="Comma 4 3" xfId="51" xr:uid="{00000000-0005-0000-0000-00002C000000}"/>
    <cellStyle name="Comma 5" xfId="52" xr:uid="{00000000-0005-0000-0000-00002D000000}"/>
    <cellStyle name="Comma 7" xfId="53" xr:uid="{00000000-0005-0000-0000-00002E000000}"/>
    <cellStyle name="comma zerodec" xfId="54" xr:uid="{00000000-0005-0000-0000-00002F000000}"/>
    <cellStyle name="Comma0" xfId="55" xr:uid="{00000000-0005-0000-0000-000030000000}"/>
    <cellStyle name="Currency0" xfId="56" xr:uid="{00000000-0005-0000-0000-000031000000}"/>
    <cellStyle name="Currency1" xfId="57" xr:uid="{00000000-0005-0000-0000-000032000000}"/>
    <cellStyle name="Chuẩn 2" xfId="58" xr:uid="{00000000-0005-0000-0000-000033000000}"/>
    <cellStyle name="D1" xfId="59" xr:uid="{00000000-0005-0000-0000-000034000000}"/>
    <cellStyle name="Date" xfId="60" xr:uid="{00000000-0005-0000-0000-000035000000}"/>
    <cellStyle name="Dezimal [0]_UXO VII" xfId="61" xr:uid="{00000000-0005-0000-0000-000036000000}"/>
    <cellStyle name="Dezimal_UXO VII" xfId="62" xr:uid="{00000000-0005-0000-0000-000037000000}"/>
    <cellStyle name="Dollar (zero dec)" xfId="63" xr:uid="{00000000-0005-0000-0000-000038000000}"/>
    <cellStyle name="e" xfId="64" xr:uid="{00000000-0005-0000-0000-000039000000}"/>
    <cellStyle name="f" xfId="65" xr:uid="{00000000-0005-0000-0000-00003A000000}"/>
    <cellStyle name="Fixed" xfId="66" xr:uid="{00000000-0005-0000-0000-00003B000000}"/>
    <cellStyle name="Grey" xfId="67" xr:uid="{00000000-0005-0000-0000-00003C000000}"/>
    <cellStyle name="GridMaintSchedulecolumn2" xfId="68" xr:uid="{00000000-0005-0000-0000-00003D000000}"/>
    <cellStyle name="HEADER" xfId="69" xr:uid="{00000000-0005-0000-0000-00003E000000}"/>
    <cellStyle name="Header1" xfId="70" xr:uid="{00000000-0005-0000-0000-00003F000000}"/>
    <cellStyle name="Header2" xfId="71" xr:uid="{00000000-0005-0000-0000-000040000000}"/>
    <cellStyle name="Heading1" xfId="72" xr:uid="{00000000-0005-0000-0000-000041000000}"/>
    <cellStyle name="Heading2" xfId="73" xr:uid="{00000000-0005-0000-0000-000042000000}"/>
    <cellStyle name="Hyperlink 2" xfId="74" xr:uid="{00000000-0005-0000-0000-000043000000}"/>
    <cellStyle name="Hyperlink 3" xfId="75" xr:uid="{00000000-0005-0000-0000-000044000000}"/>
    <cellStyle name="Input [yellow]" xfId="76" xr:uid="{00000000-0005-0000-0000-000045000000}"/>
    <cellStyle name="Millares [0]_Well Timing" xfId="77" xr:uid="{00000000-0005-0000-0000-000046000000}"/>
    <cellStyle name="Millares_Well Timing" xfId="78" xr:uid="{00000000-0005-0000-0000-000047000000}"/>
    <cellStyle name="Model" xfId="79" xr:uid="{00000000-0005-0000-0000-000048000000}"/>
    <cellStyle name="moi" xfId="80" xr:uid="{00000000-0005-0000-0000-000049000000}"/>
    <cellStyle name="Moneda [0]_Well Timing" xfId="81" xr:uid="{00000000-0005-0000-0000-00004A000000}"/>
    <cellStyle name="Moneda_Well Timing" xfId="82" xr:uid="{00000000-0005-0000-0000-00004B000000}"/>
    <cellStyle name="Monétaire [0]_TARIFFS DB" xfId="83" xr:uid="{00000000-0005-0000-0000-00004C000000}"/>
    <cellStyle name="Monétaire_TARIFFS DB" xfId="84" xr:uid="{00000000-0005-0000-0000-00004D000000}"/>
    <cellStyle name="n" xfId="85" xr:uid="{00000000-0005-0000-0000-00004E000000}"/>
    <cellStyle name="New Times Roman" xfId="86" xr:uid="{00000000-0005-0000-0000-00004F000000}"/>
    <cellStyle name="no dec" xfId="87" xr:uid="{00000000-0005-0000-0000-000050000000}"/>
    <cellStyle name="Normal" xfId="0" builtinId="0"/>
    <cellStyle name="Normal - Style1" xfId="88" xr:uid="{00000000-0005-0000-0000-000052000000}"/>
    <cellStyle name="Normal 10" xfId="1" xr:uid="{00000000-0005-0000-0000-000053000000}"/>
    <cellStyle name="Normal 10 2" xfId="89" xr:uid="{00000000-0005-0000-0000-000054000000}"/>
    <cellStyle name="Normal 10 3" xfId="6" xr:uid="{00000000-0005-0000-0000-000055000000}"/>
    <cellStyle name="Normal 10 3 3" xfId="90" xr:uid="{00000000-0005-0000-0000-000056000000}"/>
    <cellStyle name="Normal 102" xfId="91" xr:uid="{00000000-0005-0000-0000-000057000000}"/>
    <cellStyle name="Normal 11" xfId="92" xr:uid="{00000000-0005-0000-0000-000058000000}"/>
    <cellStyle name="Normal 12" xfId="93" xr:uid="{00000000-0005-0000-0000-000059000000}"/>
    <cellStyle name="Normal 13" xfId="94" xr:uid="{00000000-0005-0000-0000-00005A000000}"/>
    <cellStyle name="Normal 13 2" xfId="95" xr:uid="{00000000-0005-0000-0000-00005B000000}"/>
    <cellStyle name="Normal 14" xfId="96" xr:uid="{00000000-0005-0000-0000-00005C000000}"/>
    <cellStyle name="Normal 15" xfId="97" xr:uid="{00000000-0005-0000-0000-00005D000000}"/>
    <cellStyle name="Normal 16" xfId="98" xr:uid="{00000000-0005-0000-0000-00005E000000}"/>
    <cellStyle name="Normal 17" xfId="99" xr:uid="{00000000-0005-0000-0000-00005F000000}"/>
    <cellStyle name="Normal 18" xfId="100" xr:uid="{00000000-0005-0000-0000-000060000000}"/>
    <cellStyle name="Normal 19" xfId="101" xr:uid="{00000000-0005-0000-0000-000061000000}"/>
    <cellStyle name="Normal 2" xfId="2" xr:uid="{00000000-0005-0000-0000-000062000000}"/>
    <cellStyle name="Normal 2 2" xfId="103" xr:uid="{00000000-0005-0000-0000-000063000000}"/>
    <cellStyle name="Normal 2 2 2" xfId="104" xr:uid="{00000000-0005-0000-0000-000064000000}"/>
    <cellStyle name="Normal 2 2 3" xfId="105" xr:uid="{00000000-0005-0000-0000-000065000000}"/>
    <cellStyle name="Normal 2 3" xfId="106" xr:uid="{00000000-0005-0000-0000-000066000000}"/>
    <cellStyle name="Normal 2 4" xfId="102" xr:uid="{00000000-0005-0000-0000-000067000000}"/>
    <cellStyle name="Normal 20" xfId="107" xr:uid="{00000000-0005-0000-0000-000068000000}"/>
    <cellStyle name="Normal 3" xfId="108" xr:uid="{00000000-0005-0000-0000-000069000000}"/>
    <cellStyle name="Normal 3 2" xfId="109" xr:uid="{00000000-0005-0000-0000-00006A000000}"/>
    <cellStyle name="Normal 31" xfId="7" xr:uid="{00000000-0005-0000-0000-00006B000000}"/>
    <cellStyle name="Normal 4" xfId="110" xr:uid="{00000000-0005-0000-0000-00006C000000}"/>
    <cellStyle name="Normal 5" xfId="111" xr:uid="{00000000-0005-0000-0000-00006D000000}"/>
    <cellStyle name="Normal 5 2" xfId="112" xr:uid="{00000000-0005-0000-0000-00006E000000}"/>
    <cellStyle name="Normal 6" xfId="113" xr:uid="{00000000-0005-0000-0000-00006F000000}"/>
    <cellStyle name="Normal 7" xfId="114" xr:uid="{00000000-0005-0000-0000-000070000000}"/>
    <cellStyle name="Normal 7 2" xfId="5" xr:uid="{00000000-0005-0000-0000-000071000000}"/>
    <cellStyle name="Normal 7_DutoanGXD1" xfId="115" xr:uid="{00000000-0005-0000-0000-000072000000}"/>
    <cellStyle name="Normal 8" xfId="116" xr:uid="{00000000-0005-0000-0000-000073000000}"/>
    <cellStyle name="Normal 8 2" xfId="117" xr:uid="{00000000-0005-0000-0000-000074000000}"/>
    <cellStyle name="Normal 8_DutoanGXD1" xfId="118" xr:uid="{00000000-0005-0000-0000-000075000000}"/>
    <cellStyle name="Normal 9" xfId="3" xr:uid="{00000000-0005-0000-0000-000076000000}"/>
    <cellStyle name="Normal1" xfId="119" xr:uid="{00000000-0005-0000-0000-000077000000}"/>
    <cellStyle name="Œ…‹æØ‚è [0.00]_laroux" xfId="120" xr:uid="{00000000-0005-0000-0000-000078000000}"/>
    <cellStyle name="Œ…‹æØ‚è_laroux" xfId="121" xr:uid="{00000000-0005-0000-0000-000079000000}"/>
    <cellStyle name="oft Excel]_x000d__x000a_Comment=The open=/f lines load custom functions into the Paste Function list._x000d__x000a_Maximized=2_x000d__x000a_Basics=1_x000d__x000a_A" xfId="122" xr:uid="{00000000-0005-0000-0000-00007A000000}"/>
    <cellStyle name="oft Excel]_x000d__x000a_Comment=The open=/f lines load custom functions into the Paste Function list._x000d__x000a_Maximized=3_x000d__x000a_Basics=1_x000d__x000a_A" xfId="123" xr:uid="{00000000-0005-0000-0000-00007B000000}"/>
    <cellStyle name="omma [0]_Mktg Prog" xfId="124" xr:uid="{00000000-0005-0000-0000-00007C000000}"/>
    <cellStyle name="ormal_Sheet1_1" xfId="125" xr:uid="{00000000-0005-0000-0000-00007D000000}"/>
    <cellStyle name="Percent [2]" xfId="126" xr:uid="{00000000-0005-0000-0000-00007E000000}"/>
    <cellStyle name="Percent 2" xfId="127" xr:uid="{00000000-0005-0000-0000-00007F000000}"/>
    <cellStyle name="Percent 3" xfId="128" xr:uid="{00000000-0005-0000-0000-000080000000}"/>
    <cellStyle name="Percent 4" xfId="129" xr:uid="{00000000-0005-0000-0000-000081000000}"/>
    <cellStyle name="Percent 5" xfId="130" xr:uid="{00000000-0005-0000-0000-000082000000}"/>
    <cellStyle name="s]_x000d__x000a_spooler=yes_x000d__x000a_load=_x000d__x000a_Beep=yes_x000d__x000a_NullPort=None_x000d__x000a_BorderWidth=3_x000d__x000a_CursorBlinkRate=1200_x000d__x000a_DoubleClickSpeed=452_x000d__x000a_Programs=co" xfId="131" xr:uid="{00000000-0005-0000-0000-000083000000}"/>
    <cellStyle name="Style 1" xfId="132" xr:uid="{00000000-0005-0000-0000-000084000000}"/>
    <cellStyle name="style_1" xfId="133" xr:uid="{00000000-0005-0000-0000-000085000000}"/>
    <cellStyle name="subhead" xfId="134" xr:uid="{00000000-0005-0000-0000-000086000000}"/>
    <cellStyle name="T" xfId="135" xr:uid="{00000000-0005-0000-0000-000087000000}"/>
    <cellStyle name="T_DutoanGXD1" xfId="136" xr:uid="{00000000-0005-0000-0000-000088000000}"/>
    <cellStyle name="th" xfId="137" xr:uid="{00000000-0005-0000-0000-000089000000}"/>
    <cellStyle name="þ_x001d_ð·_x000c_æþ'_x000d_ßþU_x0001_Ø_x0005_ü_x0014__x0007__x0001__x0001_" xfId="138" xr:uid="{00000000-0005-0000-0000-00008A000000}"/>
    <cellStyle name="þ_x001d_ðÇ%Uý—&amp;Hý9_x0008_Ÿ s_x000a__x0007__x0001__x0001_" xfId="139" xr:uid="{00000000-0005-0000-0000-00008B000000}"/>
    <cellStyle name="viet" xfId="140" xr:uid="{00000000-0005-0000-0000-00008C000000}"/>
    <cellStyle name="viet2" xfId="141" xr:uid="{00000000-0005-0000-0000-00008D000000}"/>
    <cellStyle name="Währung [0]_UXO VII" xfId="142" xr:uid="{00000000-0005-0000-0000-00008E000000}"/>
    <cellStyle name="Währung_UXO VII" xfId="143" xr:uid="{00000000-0005-0000-0000-00008F000000}"/>
    <cellStyle name=" [0.00]_ Att. 1- Cover" xfId="144" xr:uid="{00000000-0005-0000-0000-000090000000}"/>
    <cellStyle name="_ Att. 1- Cover" xfId="145" xr:uid="{00000000-0005-0000-0000-000091000000}"/>
    <cellStyle name="?_ Att. 1- Cover" xfId="146" xr:uid="{00000000-0005-0000-0000-000092000000}"/>
    <cellStyle name="똿뗦먛귟 [0.00]_PRODUCT DETAIL Q1" xfId="147" xr:uid="{00000000-0005-0000-0000-000093000000}"/>
    <cellStyle name="똿뗦먛귟_PRODUCT DETAIL Q1" xfId="148" xr:uid="{00000000-0005-0000-0000-000094000000}"/>
    <cellStyle name="믅됞 [0.00]_PRODUCT DETAIL Q1" xfId="149" xr:uid="{00000000-0005-0000-0000-000095000000}"/>
    <cellStyle name="믅됞_PRODUCT DETAIL Q1" xfId="150" xr:uid="{00000000-0005-0000-0000-000096000000}"/>
    <cellStyle name="백분율_95" xfId="151" xr:uid="{00000000-0005-0000-0000-000097000000}"/>
    <cellStyle name="뷭?_BOOKSHIP" xfId="152" xr:uid="{00000000-0005-0000-0000-000098000000}"/>
    <cellStyle name="콤마 [0]_ 비목별 월별기술 " xfId="153" xr:uid="{00000000-0005-0000-0000-000099000000}"/>
    <cellStyle name="콤마_ 비목별 월별기술 " xfId="154" xr:uid="{00000000-0005-0000-0000-00009A000000}"/>
    <cellStyle name="통화 [0]_1202" xfId="155" xr:uid="{00000000-0005-0000-0000-00009B000000}"/>
    <cellStyle name="통화_1202" xfId="156" xr:uid="{00000000-0005-0000-0000-00009C000000}"/>
    <cellStyle name="표준_(정보부문)월별인원계획" xfId="157" xr:uid="{00000000-0005-0000-0000-00009D000000}"/>
    <cellStyle name="一般_00Q3902REV.1" xfId="158" xr:uid="{00000000-0005-0000-0000-00009E000000}"/>
    <cellStyle name="千分位[0]_00Q3902REV.1" xfId="159" xr:uid="{00000000-0005-0000-0000-00009F000000}"/>
    <cellStyle name="千分位_00Q3902REV.1" xfId="160" xr:uid="{00000000-0005-0000-0000-0000A0000000}"/>
    <cellStyle name="貨幣 [0]_00Q3902REV.1" xfId="161" xr:uid="{00000000-0005-0000-0000-0000A1000000}"/>
    <cellStyle name="貨幣[0]_BRE" xfId="162" xr:uid="{00000000-0005-0000-0000-0000A2000000}"/>
    <cellStyle name="貨幣_00Q3902REV.1" xfId="163" xr:uid="{00000000-0005-0000-0000-0000A3000000}"/>
    <cellStyle name="㼿㼿㼿㼿㼿㼿㼿㼿㼿㼿㼿㼿㼿㼿㼿㼿㼿㼿㼿㼿㼿㼿㼿㼿㼿㼿㼿㼿ԿȀȀ" xfId="164" xr:uid="{00000000-0005-0000-0000-0000A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Spin" dx="16" fmlaLink="#REF!" max="30000" min="1" page="10" val="4"/>
</file>

<file path=xl/ctrlProps/ctrlProp2.xml><?xml version="1.0" encoding="utf-8"?>
<formControlPr xmlns="http://schemas.microsoft.com/office/spreadsheetml/2009/9/main" objectType="Spin" dx="16" fmlaLink="#REF!" max="30000" min="1" page="1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9</xdr:col>
          <xdr:colOff>238125</xdr:colOff>
          <xdr:row>0</xdr:row>
          <xdr:rowOff>0</xdr:rowOff>
        </xdr:from>
        <xdr:to>
          <xdr:col>10</xdr:col>
          <xdr:colOff>190500</xdr:colOff>
          <xdr:row>4</xdr:row>
          <xdr:rowOff>47625</xdr:rowOff>
        </xdr:to>
        <xdr:sp macro="" textlink="">
          <xdr:nvSpPr>
            <xdr:cNvPr id="10241" name="Spinner 1" hidden="1">
              <a:extLst>
                <a:ext uri="{63B3BB69-23CF-44E3-9099-C40C66FF867C}">
                  <a14:compatExt spid="_x0000_s10241"/>
                </a:ext>
                <a:ext uri="{FF2B5EF4-FFF2-40B4-BE49-F238E27FC236}">
                  <a16:creationId xmlns:a16="http://schemas.microsoft.com/office/drawing/2014/main" id="{00000000-0008-0000-0000-0000012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4</xdr:col>
      <xdr:colOff>459528</xdr:colOff>
      <xdr:row>2</xdr:row>
      <xdr:rowOff>241787</xdr:rowOff>
    </xdr:from>
    <xdr:to>
      <xdr:col>8</xdr:col>
      <xdr:colOff>406774</xdr:colOff>
      <xdr:row>2</xdr:row>
      <xdr:rowOff>241787</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2868793" y="802081"/>
          <a:ext cx="198671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574675</xdr:colOff>
      <xdr:row>4</xdr:row>
      <xdr:rowOff>9525</xdr:rowOff>
    </xdr:from>
    <xdr:to>
      <xdr:col>8</xdr:col>
      <xdr:colOff>342900</xdr:colOff>
      <xdr:row>4</xdr:row>
      <xdr:rowOff>15874</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flipV="1">
          <a:off x="3203575" y="676275"/>
          <a:ext cx="1825625" cy="634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10</xdr:col>
          <xdr:colOff>85725</xdr:colOff>
          <xdr:row>0</xdr:row>
          <xdr:rowOff>0</xdr:rowOff>
        </xdr:from>
        <xdr:to>
          <xdr:col>10</xdr:col>
          <xdr:colOff>371475</xdr:colOff>
          <xdr:row>2</xdr:row>
          <xdr:rowOff>295275</xdr:rowOff>
        </xdr:to>
        <xdr:sp macro="" textlink="">
          <xdr:nvSpPr>
            <xdr:cNvPr id="46081" name="Spinner 1" hidden="1">
              <a:extLst>
                <a:ext uri="{63B3BB69-23CF-44E3-9099-C40C66FF867C}">
                  <a14:compatExt spid="_x0000_s46081"/>
                </a:ext>
                <a:ext uri="{FF2B5EF4-FFF2-40B4-BE49-F238E27FC236}">
                  <a16:creationId xmlns:a16="http://schemas.microsoft.com/office/drawing/2014/main" id="{00000000-0008-0000-0300-000001B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xdr:col>
      <xdr:colOff>224790</xdr:colOff>
      <xdr:row>59</xdr:row>
      <xdr:rowOff>47624</xdr:rowOff>
    </xdr:from>
    <xdr:to>
      <xdr:col>8</xdr:col>
      <xdr:colOff>356235</xdr:colOff>
      <xdr:row>59</xdr:row>
      <xdr:rowOff>209549</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1739265" y="19992974"/>
          <a:ext cx="3960495" cy="161925"/>
          <a:chOff x="1548765" y="17040224"/>
          <a:chExt cx="3427095" cy="161925"/>
        </a:xfrm>
      </xdr:grpSpPr>
      <xdr:sp macro="" textlink="">
        <xdr:nvSpPr>
          <xdr:cNvPr id="11" name="Rectangle 10">
            <a:extLst>
              <a:ext uri="{FF2B5EF4-FFF2-40B4-BE49-F238E27FC236}">
                <a16:creationId xmlns:a16="http://schemas.microsoft.com/office/drawing/2014/main" id="{00000000-0008-0000-0400-00000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00000000-0008-0000-0400-00001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00000000-0008-0000-0400-00001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61</xdr:row>
      <xdr:rowOff>47624</xdr:rowOff>
    </xdr:from>
    <xdr:to>
      <xdr:col>8</xdr:col>
      <xdr:colOff>356235</xdr:colOff>
      <xdr:row>61</xdr:row>
      <xdr:rowOff>209549</xdr:rowOff>
    </xdr:to>
    <xdr:grpSp>
      <xdr:nvGrpSpPr>
        <xdr:cNvPr id="31" name="Group 30">
          <a:extLst>
            <a:ext uri="{FF2B5EF4-FFF2-40B4-BE49-F238E27FC236}">
              <a16:creationId xmlns:a16="http://schemas.microsoft.com/office/drawing/2014/main" id="{00000000-0008-0000-0400-00001F000000}"/>
            </a:ext>
          </a:extLst>
        </xdr:cNvPr>
        <xdr:cNvGrpSpPr/>
      </xdr:nvGrpSpPr>
      <xdr:grpSpPr>
        <a:xfrm>
          <a:off x="1739265" y="20602574"/>
          <a:ext cx="3960495" cy="161925"/>
          <a:chOff x="1548765" y="17040224"/>
          <a:chExt cx="3427095" cy="161925"/>
        </a:xfrm>
      </xdr:grpSpPr>
      <xdr:sp macro="" textlink="">
        <xdr:nvSpPr>
          <xdr:cNvPr id="32" name="Rectangle 31">
            <a:extLst>
              <a:ext uri="{FF2B5EF4-FFF2-40B4-BE49-F238E27FC236}">
                <a16:creationId xmlns:a16="http://schemas.microsoft.com/office/drawing/2014/main" id="{00000000-0008-0000-0400-000020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00000000-0008-0000-0400-000021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extLst>
              <a:ext uri="{FF2B5EF4-FFF2-40B4-BE49-F238E27FC236}">
                <a16:creationId xmlns:a16="http://schemas.microsoft.com/office/drawing/2014/main" id="{00000000-0008-0000-0400-000022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129</xdr:row>
      <xdr:rowOff>47624</xdr:rowOff>
    </xdr:from>
    <xdr:to>
      <xdr:col>8</xdr:col>
      <xdr:colOff>356235</xdr:colOff>
      <xdr:row>129</xdr:row>
      <xdr:rowOff>209549</xdr:rowOff>
    </xdr:to>
    <xdr:grpSp>
      <xdr:nvGrpSpPr>
        <xdr:cNvPr id="42" name="Group 41">
          <a:extLst>
            <a:ext uri="{FF2B5EF4-FFF2-40B4-BE49-F238E27FC236}">
              <a16:creationId xmlns:a16="http://schemas.microsoft.com/office/drawing/2014/main" id="{00000000-0008-0000-0400-00002A000000}"/>
            </a:ext>
          </a:extLst>
        </xdr:cNvPr>
        <xdr:cNvGrpSpPr/>
      </xdr:nvGrpSpPr>
      <xdr:grpSpPr>
        <a:xfrm>
          <a:off x="1739265" y="43586399"/>
          <a:ext cx="3960495" cy="161925"/>
          <a:chOff x="1548765" y="17040224"/>
          <a:chExt cx="3427095" cy="161925"/>
        </a:xfrm>
      </xdr:grpSpPr>
      <xdr:sp macro="" textlink="">
        <xdr:nvSpPr>
          <xdr:cNvPr id="43" name="Rectangle 42">
            <a:extLst>
              <a:ext uri="{FF2B5EF4-FFF2-40B4-BE49-F238E27FC236}">
                <a16:creationId xmlns:a16="http://schemas.microsoft.com/office/drawing/2014/main" id="{00000000-0008-0000-0400-00002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extLst>
              <a:ext uri="{FF2B5EF4-FFF2-40B4-BE49-F238E27FC236}">
                <a16:creationId xmlns:a16="http://schemas.microsoft.com/office/drawing/2014/main" id="{00000000-0008-0000-0400-00002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extLst>
              <a:ext uri="{FF2B5EF4-FFF2-40B4-BE49-F238E27FC236}">
                <a16:creationId xmlns:a16="http://schemas.microsoft.com/office/drawing/2014/main" id="{00000000-0008-0000-0400-00002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131</xdr:row>
      <xdr:rowOff>47624</xdr:rowOff>
    </xdr:from>
    <xdr:to>
      <xdr:col>8</xdr:col>
      <xdr:colOff>356235</xdr:colOff>
      <xdr:row>131</xdr:row>
      <xdr:rowOff>209549</xdr:rowOff>
    </xdr:to>
    <xdr:grpSp>
      <xdr:nvGrpSpPr>
        <xdr:cNvPr id="46" name="Group 45">
          <a:extLst>
            <a:ext uri="{FF2B5EF4-FFF2-40B4-BE49-F238E27FC236}">
              <a16:creationId xmlns:a16="http://schemas.microsoft.com/office/drawing/2014/main" id="{00000000-0008-0000-0400-00002E000000}"/>
            </a:ext>
          </a:extLst>
        </xdr:cNvPr>
        <xdr:cNvGrpSpPr/>
      </xdr:nvGrpSpPr>
      <xdr:grpSpPr>
        <a:xfrm>
          <a:off x="1739265" y="44195999"/>
          <a:ext cx="3960495" cy="161925"/>
          <a:chOff x="1548765" y="17040224"/>
          <a:chExt cx="3427095" cy="161925"/>
        </a:xfrm>
      </xdr:grpSpPr>
      <xdr:sp macro="" textlink="">
        <xdr:nvSpPr>
          <xdr:cNvPr id="47" name="Rectangle 46">
            <a:extLst>
              <a:ext uri="{FF2B5EF4-FFF2-40B4-BE49-F238E27FC236}">
                <a16:creationId xmlns:a16="http://schemas.microsoft.com/office/drawing/2014/main" id="{00000000-0008-0000-0400-00002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47">
            <a:extLst>
              <a:ext uri="{FF2B5EF4-FFF2-40B4-BE49-F238E27FC236}">
                <a16:creationId xmlns:a16="http://schemas.microsoft.com/office/drawing/2014/main" id="{00000000-0008-0000-0400-00003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48">
            <a:extLst>
              <a:ext uri="{FF2B5EF4-FFF2-40B4-BE49-F238E27FC236}">
                <a16:creationId xmlns:a16="http://schemas.microsoft.com/office/drawing/2014/main" id="{00000000-0008-0000-0400-00003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199</xdr:row>
      <xdr:rowOff>47624</xdr:rowOff>
    </xdr:from>
    <xdr:to>
      <xdr:col>8</xdr:col>
      <xdr:colOff>356235</xdr:colOff>
      <xdr:row>199</xdr:row>
      <xdr:rowOff>209549</xdr:rowOff>
    </xdr:to>
    <xdr:grpSp>
      <xdr:nvGrpSpPr>
        <xdr:cNvPr id="50" name="Group 49">
          <a:extLst>
            <a:ext uri="{FF2B5EF4-FFF2-40B4-BE49-F238E27FC236}">
              <a16:creationId xmlns:a16="http://schemas.microsoft.com/office/drawing/2014/main" id="{00000000-0008-0000-0400-000032000000}"/>
            </a:ext>
          </a:extLst>
        </xdr:cNvPr>
        <xdr:cNvGrpSpPr/>
      </xdr:nvGrpSpPr>
      <xdr:grpSpPr>
        <a:xfrm>
          <a:off x="1739265" y="67656074"/>
          <a:ext cx="3960495" cy="161925"/>
          <a:chOff x="1548765" y="17040224"/>
          <a:chExt cx="3427095" cy="161925"/>
        </a:xfrm>
      </xdr:grpSpPr>
      <xdr:sp macro="" textlink="">
        <xdr:nvSpPr>
          <xdr:cNvPr id="51" name="Rectangle 50">
            <a:extLst>
              <a:ext uri="{FF2B5EF4-FFF2-40B4-BE49-F238E27FC236}">
                <a16:creationId xmlns:a16="http://schemas.microsoft.com/office/drawing/2014/main" id="{00000000-0008-0000-0400-00003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extLst>
              <a:ext uri="{FF2B5EF4-FFF2-40B4-BE49-F238E27FC236}">
                <a16:creationId xmlns:a16="http://schemas.microsoft.com/office/drawing/2014/main" id="{00000000-0008-0000-0400-00003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extLst>
              <a:ext uri="{FF2B5EF4-FFF2-40B4-BE49-F238E27FC236}">
                <a16:creationId xmlns:a16="http://schemas.microsoft.com/office/drawing/2014/main" id="{00000000-0008-0000-0400-00003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201</xdr:row>
      <xdr:rowOff>47624</xdr:rowOff>
    </xdr:from>
    <xdr:to>
      <xdr:col>8</xdr:col>
      <xdr:colOff>356235</xdr:colOff>
      <xdr:row>201</xdr:row>
      <xdr:rowOff>209549</xdr:rowOff>
    </xdr:to>
    <xdr:grpSp>
      <xdr:nvGrpSpPr>
        <xdr:cNvPr id="54" name="Group 53">
          <a:extLst>
            <a:ext uri="{FF2B5EF4-FFF2-40B4-BE49-F238E27FC236}">
              <a16:creationId xmlns:a16="http://schemas.microsoft.com/office/drawing/2014/main" id="{00000000-0008-0000-0400-000036000000}"/>
            </a:ext>
          </a:extLst>
        </xdr:cNvPr>
        <xdr:cNvGrpSpPr/>
      </xdr:nvGrpSpPr>
      <xdr:grpSpPr>
        <a:xfrm>
          <a:off x="1739265" y="68265674"/>
          <a:ext cx="3960495" cy="161925"/>
          <a:chOff x="1548765" y="17040224"/>
          <a:chExt cx="3427095" cy="161925"/>
        </a:xfrm>
      </xdr:grpSpPr>
      <xdr:sp macro="" textlink="">
        <xdr:nvSpPr>
          <xdr:cNvPr id="55" name="Rectangle 54">
            <a:extLst>
              <a:ext uri="{FF2B5EF4-FFF2-40B4-BE49-F238E27FC236}">
                <a16:creationId xmlns:a16="http://schemas.microsoft.com/office/drawing/2014/main" id="{00000000-0008-0000-0400-00003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55">
            <a:extLst>
              <a:ext uri="{FF2B5EF4-FFF2-40B4-BE49-F238E27FC236}">
                <a16:creationId xmlns:a16="http://schemas.microsoft.com/office/drawing/2014/main" id="{00000000-0008-0000-0400-00003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extLst>
              <a:ext uri="{FF2B5EF4-FFF2-40B4-BE49-F238E27FC236}">
                <a16:creationId xmlns:a16="http://schemas.microsoft.com/office/drawing/2014/main" id="{00000000-0008-0000-0400-00003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268</xdr:row>
      <xdr:rowOff>47624</xdr:rowOff>
    </xdr:from>
    <xdr:to>
      <xdr:col>8</xdr:col>
      <xdr:colOff>356235</xdr:colOff>
      <xdr:row>268</xdr:row>
      <xdr:rowOff>209549</xdr:rowOff>
    </xdr:to>
    <xdr:grpSp>
      <xdr:nvGrpSpPr>
        <xdr:cNvPr id="58" name="Group 57">
          <a:extLst>
            <a:ext uri="{FF2B5EF4-FFF2-40B4-BE49-F238E27FC236}">
              <a16:creationId xmlns:a16="http://schemas.microsoft.com/office/drawing/2014/main" id="{00000000-0008-0000-0400-00003A000000}"/>
            </a:ext>
          </a:extLst>
        </xdr:cNvPr>
        <xdr:cNvGrpSpPr/>
      </xdr:nvGrpSpPr>
      <xdr:grpSpPr>
        <a:xfrm>
          <a:off x="1739265" y="91192349"/>
          <a:ext cx="3960495" cy="161925"/>
          <a:chOff x="1548765" y="17040224"/>
          <a:chExt cx="3427095" cy="161925"/>
        </a:xfrm>
      </xdr:grpSpPr>
      <xdr:sp macro="" textlink="">
        <xdr:nvSpPr>
          <xdr:cNvPr id="59" name="Rectangle 58">
            <a:extLst>
              <a:ext uri="{FF2B5EF4-FFF2-40B4-BE49-F238E27FC236}">
                <a16:creationId xmlns:a16="http://schemas.microsoft.com/office/drawing/2014/main" id="{00000000-0008-0000-0400-00003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59">
            <a:extLst>
              <a:ext uri="{FF2B5EF4-FFF2-40B4-BE49-F238E27FC236}">
                <a16:creationId xmlns:a16="http://schemas.microsoft.com/office/drawing/2014/main" id="{00000000-0008-0000-0400-00003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60">
            <a:extLst>
              <a:ext uri="{FF2B5EF4-FFF2-40B4-BE49-F238E27FC236}">
                <a16:creationId xmlns:a16="http://schemas.microsoft.com/office/drawing/2014/main" id="{00000000-0008-0000-0400-00003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270</xdr:row>
      <xdr:rowOff>47624</xdr:rowOff>
    </xdr:from>
    <xdr:to>
      <xdr:col>8</xdr:col>
      <xdr:colOff>356235</xdr:colOff>
      <xdr:row>270</xdr:row>
      <xdr:rowOff>209549</xdr:rowOff>
    </xdr:to>
    <xdr:grpSp>
      <xdr:nvGrpSpPr>
        <xdr:cNvPr id="62" name="Group 61">
          <a:extLst>
            <a:ext uri="{FF2B5EF4-FFF2-40B4-BE49-F238E27FC236}">
              <a16:creationId xmlns:a16="http://schemas.microsoft.com/office/drawing/2014/main" id="{00000000-0008-0000-0400-00003E000000}"/>
            </a:ext>
          </a:extLst>
        </xdr:cNvPr>
        <xdr:cNvGrpSpPr/>
      </xdr:nvGrpSpPr>
      <xdr:grpSpPr>
        <a:xfrm>
          <a:off x="1739265" y="91801949"/>
          <a:ext cx="3960495" cy="161925"/>
          <a:chOff x="1548765" y="17040224"/>
          <a:chExt cx="3427095" cy="161925"/>
        </a:xfrm>
      </xdr:grpSpPr>
      <xdr:sp macro="" textlink="">
        <xdr:nvSpPr>
          <xdr:cNvPr id="63" name="Rectangle 62">
            <a:extLst>
              <a:ext uri="{FF2B5EF4-FFF2-40B4-BE49-F238E27FC236}">
                <a16:creationId xmlns:a16="http://schemas.microsoft.com/office/drawing/2014/main" id="{00000000-0008-0000-0400-00003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Rectangle 63">
            <a:extLst>
              <a:ext uri="{FF2B5EF4-FFF2-40B4-BE49-F238E27FC236}">
                <a16:creationId xmlns:a16="http://schemas.microsoft.com/office/drawing/2014/main" id="{00000000-0008-0000-0400-00004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64">
            <a:extLst>
              <a:ext uri="{FF2B5EF4-FFF2-40B4-BE49-F238E27FC236}">
                <a16:creationId xmlns:a16="http://schemas.microsoft.com/office/drawing/2014/main" id="{00000000-0008-0000-0400-00004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338</xdr:row>
      <xdr:rowOff>47624</xdr:rowOff>
    </xdr:from>
    <xdr:to>
      <xdr:col>8</xdr:col>
      <xdr:colOff>356235</xdr:colOff>
      <xdr:row>338</xdr:row>
      <xdr:rowOff>209549</xdr:rowOff>
    </xdr:to>
    <xdr:grpSp>
      <xdr:nvGrpSpPr>
        <xdr:cNvPr id="66" name="Group 65">
          <a:extLst>
            <a:ext uri="{FF2B5EF4-FFF2-40B4-BE49-F238E27FC236}">
              <a16:creationId xmlns:a16="http://schemas.microsoft.com/office/drawing/2014/main" id="{00000000-0008-0000-0400-000042000000}"/>
            </a:ext>
          </a:extLst>
        </xdr:cNvPr>
        <xdr:cNvGrpSpPr/>
      </xdr:nvGrpSpPr>
      <xdr:grpSpPr>
        <a:xfrm>
          <a:off x="1739265" y="115052474"/>
          <a:ext cx="3960495" cy="161925"/>
          <a:chOff x="1548765" y="17040224"/>
          <a:chExt cx="3427095" cy="161925"/>
        </a:xfrm>
      </xdr:grpSpPr>
      <xdr:sp macro="" textlink="">
        <xdr:nvSpPr>
          <xdr:cNvPr id="67" name="Rectangle 66">
            <a:extLst>
              <a:ext uri="{FF2B5EF4-FFF2-40B4-BE49-F238E27FC236}">
                <a16:creationId xmlns:a16="http://schemas.microsoft.com/office/drawing/2014/main" id="{00000000-0008-0000-0400-00004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67">
            <a:extLst>
              <a:ext uri="{FF2B5EF4-FFF2-40B4-BE49-F238E27FC236}">
                <a16:creationId xmlns:a16="http://schemas.microsoft.com/office/drawing/2014/main" id="{00000000-0008-0000-0400-00004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Rectangle 68">
            <a:extLst>
              <a:ext uri="{FF2B5EF4-FFF2-40B4-BE49-F238E27FC236}">
                <a16:creationId xmlns:a16="http://schemas.microsoft.com/office/drawing/2014/main" id="{00000000-0008-0000-0400-00004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340</xdr:row>
      <xdr:rowOff>47624</xdr:rowOff>
    </xdr:from>
    <xdr:to>
      <xdr:col>8</xdr:col>
      <xdr:colOff>356235</xdr:colOff>
      <xdr:row>340</xdr:row>
      <xdr:rowOff>209549</xdr:rowOff>
    </xdr:to>
    <xdr:grpSp>
      <xdr:nvGrpSpPr>
        <xdr:cNvPr id="70" name="Group 69">
          <a:extLst>
            <a:ext uri="{FF2B5EF4-FFF2-40B4-BE49-F238E27FC236}">
              <a16:creationId xmlns:a16="http://schemas.microsoft.com/office/drawing/2014/main" id="{00000000-0008-0000-0400-000046000000}"/>
            </a:ext>
          </a:extLst>
        </xdr:cNvPr>
        <xdr:cNvGrpSpPr/>
      </xdr:nvGrpSpPr>
      <xdr:grpSpPr>
        <a:xfrm>
          <a:off x="1739265" y="115662074"/>
          <a:ext cx="3960495" cy="161925"/>
          <a:chOff x="1548765" y="17040224"/>
          <a:chExt cx="3427095" cy="161925"/>
        </a:xfrm>
      </xdr:grpSpPr>
      <xdr:sp macro="" textlink="">
        <xdr:nvSpPr>
          <xdr:cNvPr id="71" name="Rectangle 70">
            <a:extLst>
              <a:ext uri="{FF2B5EF4-FFF2-40B4-BE49-F238E27FC236}">
                <a16:creationId xmlns:a16="http://schemas.microsoft.com/office/drawing/2014/main" id="{00000000-0008-0000-0400-00004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71">
            <a:extLst>
              <a:ext uri="{FF2B5EF4-FFF2-40B4-BE49-F238E27FC236}">
                <a16:creationId xmlns:a16="http://schemas.microsoft.com/office/drawing/2014/main" id="{00000000-0008-0000-0400-00004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Rectangle 72">
            <a:extLst>
              <a:ext uri="{FF2B5EF4-FFF2-40B4-BE49-F238E27FC236}">
                <a16:creationId xmlns:a16="http://schemas.microsoft.com/office/drawing/2014/main" id="{00000000-0008-0000-0400-00004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408</xdr:row>
      <xdr:rowOff>47624</xdr:rowOff>
    </xdr:from>
    <xdr:to>
      <xdr:col>8</xdr:col>
      <xdr:colOff>356235</xdr:colOff>
      <xdr:row>408</xdr:row>
      <xdr:rowOff>209549</xdr:rowOff>
    </xdr:to>
    <xdr:grpSp>
      <xdr:nvGrpSpPr>
        <xdr:cNvPr id="74" name="Group 73">
          <a:extLst>
            <a:ext uri="{FF2B5EF4-FFF2-40B4-BE49-F238E27FC236}">
              <a16:creationId xmlns:a16="http://schemas.microsoft.com/office/drawing/2014/main" id="{00000000-0008-0000-0400-00004A000000}"/>
            </a:ext>
          </a:extLst>
        </xdr:cNvPr>
        <xdr:cNvGrpSpPr/>
      </xdr:nvGrpSpPr>
      <xdr:grpSpPr>
        <a:xfrm>
          <a:off x="1739265" y="139045949"/>
          <a:ext cx="3960495" cy="161925"/>
          <a:chOff x="1548765" y="17040224"/>
          <a:chExt cx="3427095" cy="161925"/>
        </a:xfrm>
      </xdr:grpSpPr>
      <xdr:sp macro="" textlink="">
        <xdr:nvSpPr>
          <xdr:cNvPr id="75" name="Rectangle 74">
            <a:extLst>
              <a:ext uri="{FF2B5EF4-FFF2-40B4-BE49-F238E27FC236}">
                <a16:creationId xmlns:a16="http://schemas.microsoft.com/office/drawing/2014/main" id="{00000000-0008-0000-0400-00004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75">
            <a:extLst>
              <a:ext uri="{FF2B5EF4-FFF2-40B4-BE49-F238E27FC236}">
                <a16:creationId xmlns:a16="http://schemas.microsoft.com/office/drawing/2014/main" id="{00000000-0008-0000-0400-00004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76">
            <a:extLst>
              <a:ext uri="{FF2B5EF4-FFF2-40B4-BE49-F238E27FC236}">
                <a16:creationId xmlns:a16="http://schemas.microsoft.com/office/drawing/2014/main" id="{00000000-0008-0000-0400-00004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410</xdr:row>
      <xdr:rowOff>47624</xdr:rowOff>
    </xdr:from>
    <xdr:to>
      <xdr:col>8</xdr:col>
      <xdr:colOff>356235</xdr:colOff>
      <xdr:row>410</xdr:row>
      <xdr:rowOff>209549</xdr:rowOff>
    </xdr:to>
    <xdr:grpSp>
      <xdr:nvGrpSpPr>
        <xdr:cNvPr id="78" name="Group 77">
          <a:extLst>
            <a:ext uri="{FF2B5EF4-FFF2-40B4-BE49-F238E27FC236}">
              <a16:creationId xmlns:a16="http://schemas.microsoft.com/office/drawing/2014/main" id="{00000000-0008-0000-0400-00004E000000}"/>
            </a:ext>
          </a:extLst>
        </xdr:cNvPr>
        <xdr:cNvGrpSpPr/>
      </xdr:nvGrpSpPr>
      <xdr:grpSpPr>
        <a:xfrm>
          <a:off x="1739265" y="139655549"/>
          <a:ext cx="3960495" cy="161925"/>
          <a:chOff x="1548765" y="17040224"/>
          <a:chExt cx="3427095" cy="161925"/>
        </a:xfrm>
      </xdr:grpSpPr>
      <xdr:sp macro="" textlink="">
        <xdr:nvSpPr>
          <xdr:cNvPr id="79" name="Rectangle 78">
            <a:extLst>
              <a:ext uri="{FF2B5EF4-FFF2-40B4-BE49-F238E27FC236}">
                <a16:creationId xmlns:a16="http://schemas.microsoft.com/office/drawing/2014/main" id="{00000000-0008-0000-0400-00004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79">
            <a:extLst>
              <a:ext uri="{FF2B5EF4-FFF2-40B4-BE49-F238E27FC236}">
                <a16:creationId xmlns:a16="http://schemas.microsoft.com/office/drawing/2014/main" id="{00000000-0008-0000-0400-00005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80">
            <a:extLst>
              <a:ext uri="{FF2B5EF4-FFF2-40B4-BE49-F238E27FC236}">
                <a16:creationId xmlns:a16="http://schemas.microsoft.com/office/drawing/2014/main" id="{00000000-0008-0000-0400-00005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478</xdr:row>
      <xdr:rowOff>47624</xdr:rowOff>
    </xdr:from>
    <xdr:to>
      <xdr:col>8</xdr:col>
      <xdr:colOff>356235</xdr:colOff>
      <xdr:row>478</xdr:row>
      <xdr:rowOff>209549</xdr:rowOff>
    </xdr:to>
    <xdr:grpSp>
      <xdr:nvGrpSpPr>
        <xdr:cNvPr id="82" name="Group 81">
          <a:extLst>
            <a:ext uri="{FF2B5EF4-FFF2-40B4-BE49-F238E27FC236}">
              <a16:creationId xmlns:a16="http://schemas.microsoft.com/office/drawing/2014/main" id="{00000000-0008-0000-0400-000052000000}"/>
            </a:ext>
          </a:extLst>
        </xdr:cNvPr>
        <xdr:cNvGrpSpPr/>
      </xdr:nvGrpSpPr>
      <xdr:grpSpPr>
        <a:xfrm>
          <a:off x="1739265" y="162915599"/>
          <a:ext cx="3960495" cy="161925"/>
          <a:chOff x="1548765" y="17040224"/>
          <a:chExt cx="3427095" cy="161925"/>
        </a:xfrm>
      </xdr:grpSpPr>
      <xdr:sp macro="" textlink="">
        <xdr:nvSpPr>
          <xdr:cNvPr id="83" name="Rectangle 82">
            <a:extLst>
              <a:ext uri="{FF2B5EF4-FFF2-40B4-BE49-F238E27FC236}">
                <a16:creationId xmlns:a16="http://schemas.microsoft.com/office/drawing/2014/main" id="{00000000-0008-0000-0400-00005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83">
            <a:extLst>
              <a:ext uri="{FF2B5EF4-FFF2-40B4-BE49-F238E27FC236}">
                <a16:creationId xmlns:a16="http://schemas.microsoft.com/office/drawing/2014/main" id="{00000000-0008-0000-0400-00005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Rectangle 84">
            <a:extLst>
              <a:ext uri="{FF2B5EF4-FFF2-40B4-BE49-F238E27FC236}">
                <a16:creationId xmlns:a16="http://schemas.microsoft.com/office/drawing/2014/main" id="{00000000-0008-0000-0400-00005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480</xdr:row>
      <xdr:rowOff>47624</xdr:rowOff>
    </xdr:from>
    <xdr:to>
      <xdr:col>8</xdr:col>
      <xdr:colOff>356235</xdr:colOff>
      <xdr:row>480</xdr:row>
      <xdr:rowOff>209549</xdr:rowOff>
    </xdr:to>
    <xdr:grpSp>
      <xdr:nvGrpSpPr>
        <xdr:cNvPr id="86" name="Group 85">
          <a:extLst>
            <a:ext uri="{FF2B5EF4-FFF2-40B4-BE49-F238E27FC236}">
              <a16:creationId xmlns:a16="http://schemas.microsoft.com/office/drawing/2014/main" id="{00000000-0008-0000-0400-000056000000}"/>
            </a:ext>
          </a:extLst>
        </xdr:cNvPr>
        <xdr:cNvGrpSpPr/>
      </xdr:nvGrpSpPr>
      <xdr:grpSpPr>
        <a:xfrm>
          <a:off x="1739265" y="163525199"/>
          <a:ext cx="3960495" cy="161925"/>
          <a:chOff x="1548765" y="17040224"/>
          <a:chExt cx="3427095" cy="161925"/>
        </a:xfrm>
      </xdr:grpSpPr>
      <xdr:sp macro="" textlink="">
        <xdr:nvSpPr>
          <xdr:cNvPr id="87" name="Rectangle 86">
            <a:extLst>
              <a:ext uri="{FF2B5EF4-FFF2-40B4-BE49-F238E27FC236}">
                <a16:creationId xmlns:a16="http://schemas.microsoft.com/office/drawing/2014/main" id="{00000000-0008-0000-0400-00005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87">
            <a:extLst>
              <a:ext uri="{FF2B5EF4-FFF2-40B4-BE49-F238E27FC236}">
                <a16:creationId xmlns:a16="http://schemas.microsoft.com/office/drawing/2014/main" id="{00000000-0008-0000-0400-00005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Rectangle 88">
            <a:extLst>
              <a:ext uri="{FF2B5EF4-FFF2-40B4-BE49-F238E27FC236}">
                <a16:creationId xmlns:a16="http://schemas.microsoft.com/office/drawing/2014/main" id="{00000000-0008-0000-0400-00005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548</xdr:row>
      <xdr:rowOff>47624</xdr:rowOff>
    </xdr:from>
    <xdr:to>
      <xdr:col>8</xdr:col>
      <xdr:colOff>356235</xdr:colOff>
      <xdr:row>548</xdr:row>
      <xdr:rowOff>209549</xdr:rowOff>
    </xdr:to>
    <xdr:grpSp>
      <xdr:nvGrpSpPr>
        <xdr:cNvPr id="90" name="Group 89">
          <a:extLst>
            <a:ext uri="{FF2B5EF4-FFF2-40B4-BE49-F238E27FC236}">
              <a16:creationId xmlns:a16="http://schemas.microsoft.com/office/drawing/2014/main" id="{00000000-0008-0000-0400-00005A000000}"/>
            </a:ext>
          </a:extLst>
        </xdr:cNvPr>
        <xdr:cNvGrpSpPr/>
      </xdr:nvGrpSpPr>
      <xdr:grpSpPr>
        <a:xfrm>
          <a:off x="1739265" y="186756674"/>
          <a:ext cx="3960495" cy="161925"/>
          <a:chOff x="1548765" y="17040224"/>
          <a:chExt cx="3427095" cy="161925"/>
        </a:xfrm>
      </xdr:grpSpPr>
      <xdr:sp macro="" textlink="">
        <xdr:nvSpPr>
          <xdr:cNvPr id="91" name="Rectangle 90">
            <a:extLst>
              <a:ext uri="{FF2B5EF4-FFF2-40B4-BE49-F238E27FC236}">
                <a16:creationId xmlns:a16="http://schemas.microsoft.com/office/drawing/2014/main" id="{00000000-0008-0000-0400-00005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2" name="Rectangle 91">
            <a:extLst>
              <a:ext uri="{FF2B5EF4-FFF2-40B4-BE49-F238E27FC236}">
                <a16:creationId xmlns:a16="http://schemas.microsoft.com/office/drawing/2014/main" id="{00000000-0008-0000-0400-00005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Rectangle 92">
            <a:extLst>
              <a:ext uri="{FF2B5EF4-FFF2-40B4-BE49-F238E27FC236}">
                <a16:creationId xmlns:a16="http://schemas.microsoft.com/office/drawing/2014/main" id="{00000000-0008-0000-0400-00005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550</xdr:row>
      <xdr:rowOff>47624</xdr:rowOff>
    </xdr:from>
    <xdr:to>
      <xdr:col>8</xdr:col>
      <xdr:colOff>356235</xdr:colOff>
      <xdr:row>550</xdr:row>
      <xdr:rowOff>209549</xdr:rowOff>
    </xdr:to>
    <xdr:grpSp>
      <xdr:nvGrpSpPr>
        <xdr:cNvPr id="94" name="Group 93">
          <a:extLst>
            <a:ext uri="{FF2B5EF4-FFF2-40B4-BE49-F238E27FC236}">
              <a16:creationId xmlns:a16="http://schemas.microsoft.com/office/drawing/2014/main" id="{00000000-0008-0000-0400-00005E000000}"/>
            </a:ext>
          </a:extLst>
        </xdr:cNvPr>
        <xdr:cNvGrpSpPr/>
      </xdr:nvGrpSpPr>
      <xdr:grpSpPr>
        <a:xfrm>
          <a:off x="1739265" y="187366274"/>
          <a:ext cx="3960495" cy="161925"/>
          <a:chOff x="1548765" y="17040224"/>
          <a:chExt cx="3427095" cy="161925"/>
        </a:xfrm>
      </xdr:grpSpPr>
      <xdr:sp macro="" textlink="">
        <xdr:nvSpPr>
          <xdr:cNvPr id="95" name="Rectangle 94">
            <a:extLst>
              <a:ext uri="{FF2B5EF4-FFF2-40B4-BE49-F238E27FC236}">
                <a16:creationId xmlns:a16="http://schemas.microsoft.com/office/drawing/2014/main" id="{00000000-0008-0000-0400-00005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Rectangle 95">
            <a:extLst>
              <a:ext uri="{FF2B5EF4-FFF2-40B4-BE49-F238E27FC236}">
                <a16:creationId xmlns:a16="http://schemas.microsoft.com/office/drawing/2014/main" id="{00000000-0008-0000-0400-00006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Rectangle 96">
            <a:extLst>
              <a:ext uri="{FF2B5EF4-FFF2-40B4-BE49-F238E27FC236}">
                <a16:creationId xmlns:a16="http://schemas.microsoft.com/office/drawing/2014/main" id="{00000000-0008-0000-0400-00006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618</xdr:row>
      <xdr:rowOff>47624</xdr:rowOff>
    </xdr:from>
    <xdr:to>
      <xdr:col>8</xdr:col>
      <xdr:colOff>356235</xdr:colOff>
      <xdr:row>618</xdr:row>
      <xdr:rowOff>209549</xdr:rowOff>
    </xdr:to>
    <xdr:grpSp>
      <xdr:nvGrpSpPr>
        <xdr:cNvPr id="98" name="Group 97">
          <a:extLst>
            <a:ext uri="{FF2B5EF4-FFF2-40B4-BE49-F238E27FC236}">
              <a16:creationId xmlns:a16="http://schemas.microsoft.com/office/drawing/2014/main" id="{00000000-0008-0000-0400-000062000000}"/>
            </a:ext>
          </a:extLst>
        </xdr:cNvPr>
        <xdr:cNvGrpSpPr/>
      </xdr:nvGrpSpPr>
      <xdr:grpSpPr>
        <a:xfrm>
          <a:off x="1739265" y="210931124"/>
          <a:ext cx="3960495" cy="161925"/>
          <a:chOff x="1548765" y="17040224"/>
          <a:chExt cx="3427095" cy="161925"/>
        </a:xfrm>
      </xdr:grpSpPr>
      <xdr:sp macro="" textlink="">
        <xdr:nvSpPr>
          <xdr:cNvPr id="99" name="Rectangle 98">
            <a:extLst>
              <a:ext uri="{FF2B5EF4-FFF2-40B4-BE49-F238E27FC236}">
                <a16:creationId xmlns:a16="http://schemas.microsoft.com/office/drawing/2014/main" id="{00000000-0008-0000-0400-00006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Rectangle 99">
            <a:extLst>
              <a:ext uri="{FF2B5EF4-FFF2-40B4-BE49-F238E27FC236}">
                <a16:creationId xmlns:a16="http://schemas.microsoft.com/office/drawing/2014/main" id="{00000000-0008-0000-0400-00006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Rectangle 100">
            <a:extLst>
              <a:ext uri="{FF2B5EF4-FFF2-40B4-BE49-F238E27FC236}">
                <a16:creationId xmlns:a16="http://schemas.microsoft.com/office/drawing/2014/main" id="{00000000-0008-0000-0400-00006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620</xdr:row>
      <xdr:rowOff>47624</xdr:rowOff>
    </xdr:from>
    <xdr:to>
      <xdr:col>8</xdr:col>
      <xdr:colOff>356235</xdr:colOff>
      <xdr:row>620</xdr:row>
      <xdr:rowOff>209549</xdr:rowOff>
    </xdr:to>
    <xdr:grpSp>
      <xdr:nvGrpSpPr>
        <xdr:cNvPr id="102" name="Group 101">
          <a:extLst>
            <a:ext uri="{FF2B5EF4-FFF2-40B4-BE49-F238E27FC236}">
              <a16:creationId xmlns:a16="http://schemas.microsoft.com/office/drawing/2014/main" id="{00000000-0008-0000-0400-000066000000}"/>
            </a:ext>
          </a:extLst>
        </xdr:cNvPr>
        <xdr:cNvGrpSpPr/>
      </xdr:nvGrpSpPr>
      <xdr:grpSpPr>
        <a:xfrm>
          <a:off x="1739265" y="211540724"/>
          <a:ext cx="3960495" cy="161925"/>
          <a:chOff x="1548765" y="17040224"/>
          <a:chExt cx="3427095" cy="161925"/>
        </a:xfrm>
      </xdr:grpSpPr>
      <xdr:sp macro="" textlink="">
        <xdr:nvSpPr>
          <xdr:cNvPr id="103" name="Rectangle 102">
            <a:extLst>
              <a:ext uri="{FF2B5EF4-FFF2-40B4-BE49-F238E27FC236}">
                <a16:creationId xmlns:a16="http://schemas.microsoft.com/office/drawing/2014/main" id="{00000000-0008-0000-0400-00006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Rectangle 103">
            <a:extLst>
              <a:ext uri="{FF2B5EF4-FFF2-40B4-BE49-F238E27FC236}">
                <a16:creationId xmlns:a16="http://schemas.microsoft.com/office/drawing/2014/main" id="{00000000-0008-0000-0400-00006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5" name="Rectangle 104">
            <a:extLst>
              <a:ext uri="{FF2B5EF4-FFF2-40B4-BE49-F238E27FC236}">
                <a16:creationId xmlns:a16="http://schemas.microsoft.com/office/drawing/2014/main" id="{00000000-0008-0000-0400-00006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688</xdr:row>
      <xdr:rowOff>47624</xdr:rowOff>
    </xdr:from>
    <xdr:to>
      <xdr:col>8</xdr:col>
      <xdr:colOff>356235</xdr:colOff>
      <xdr:row>688</xdr:row>
      <xdr:rowOff>209549</xdr:rowOff>
    </xdr:to>
    <xdr:grpSp>
      <xdr:nvGrpSpPr>
        <xdr:cNvPr id="106" name="Group 105">
          <a:extLst>
            <a:ext uri="{FF2B5EF4-FFF2-40B4-BE49-F238E27FC236}">
              <a16:creationId xmlns:a16="http://schemas.microsoft.com/office/drawing/2014/main" id="{00000000-0008-0000-0400-00006A000000}"/>
            </a:ext>
          </a:extLst>
        </xdr:cNvPr>
        <xdr:cNvGrpSpPr/>
      </xdr:nvGrpSpPr>
      <xdr:grpSpPr>
        <a:xfrm>
          <a:off x="1739265" y="234772199"/>
          <a:ext cx="3960495" cy="161925"/>
          <a:chOff x="1548765" y="17040224"/>
          <a:chExt cx="3427095" cy="161925"/>
        </a:xfrm>
      </xdr:grpSpPr>
      <xdr:sp macro="" textlink="">
        <xdr:nvSpPr>
          <xdr:cNvPr id="107" name="Rectangle 106">
            <a:extLst>
              <a:ext uri="{FF2B5EF4-FFF2-40B4-BE49-F238E27FC236}">
                <a16:creationId xmlns:a16="http://schemas.microsoft.com/office/drawing/2014/main" id="{00000000-0008-0000-0400-00006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Rectangle 107">
            <a:extLst>
              <a:ext uri="{FF2B5EF4-FFF2-40B4-BE49-F238E27FC236}">
                <a16:creationId xmlns:a16="http://schemas.microsoft.com/office/drawing/2014/main" id="{00000000-0008-0000-0400-00006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9" name="Rectangle 108">
            <a:extLst>
              <a:ext uri="{FF2B5EF4-FFF2-40B4-BE49-F238E27FC236}">
                <a16:creationId xmlns:a16="http://schemas.microsoft.com/office/drawing/2014/main" id="{00000000-0008-0000-0400-00006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690</xdr:row>
      <xdr:rowOff>47624</xdr:rowOff>
    </xdr:from>
    <xdr:to>
      <xdr:col>8</xdr:col>
      <xdr:colOff>356235</xdr:colOff>
      <xdr:row>690</xdr:row>
      <xdr:rowOff>209549</xdr:rowOff>
    </xdr:to>
    <xdr:grpSp>
      <xdr:nvGrpSpPr>
        <xdr:cNvPr id="110" name="Group 109">
          <a:extLst>
            <a:ext uri="{FF2B5EF4-FFF2-40B4-BE49-F238E27FC236}">
              <a16:creationId xmlns:a16="http://schemas.microsoft.com/office/drawing/2014/main" id="{00000000-0008-0000-0400-00006E000000}"/>
            </a:ext>
          </a:extLst>
        </xdr:cNvPr>
        <xdr:cNvGrpSpPr/>
      </xdr:nvGrpSpPr>
      <xdr:grpSpPr>
        <a:xfrm>
          <a:off x="1739265" y="235381799"/>
          <a:ext cx="3960495" cy="161925"/>
          <a:chOff x="1548765" y="17040224"/>
          <a:chExt cx="3427095" cy="161925"/>
        </a:xfrm>
      </xdr:grpSpPr>
      <xdr:sp macro="" textlink="">
        <xdr:nvSpPr>
          <xdr:cNvPr id="111" name="Rectangle 110">
            <a:extLst>
              <a:ext uri="{FF2B5EF4-FFF2-40B4-BE49-F238E27FC236}">
                <a16:creationId xmlns:a16="http://schemas.microsoft.com/office/drawing/2014/main" id="{00000000-0008-0000-0400-00006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 name="Rectangle 111">
            <a:extLst>
              <a:ext uri="{FF2B5EF4-FFF2-40B4-BE49-F238E27FC236}">
                <a16:creationId xmlns:a16="http://schemas.microsoft.com/office/drawing/2014/main" id="{00000000-0008-0000-0400-00007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3" name="Rectangle 112">
            <a:extLst>
              <a:ext uri="{FF2B5EF4-FFF2-40B4-BE49-F238E27FC236}">
                <a16:creationId xmlns:a16="http://schemas.microsoft.com/office/drawing/2014/main" id="{00000000-0008-0000-0400-00007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758</xdr:row>
      <xdr:rowOff>47624</xdr:rowOff>
    </xdr:from>
    <xdr:to>
      <xdr:col>8</xdr:col>
      <xdr:colOff>356235</xdr:colOff>
      <xdr:row>758</xdr:row>
      <xdr:rowOff>209549</xdr:rowOff>
    </xdr:to>
    <xdr:grpSp>
      <xdr:nvGrpSpPr>
        <xdr:cNvPr id="114" name="Group 113">
          <a:extLst>
            <a:ext uri="{FF2B5EF4-FFF2-40B4-BE49-F238E27FC236}">
              <a16:creationId xmlns:a16="http://schemas.microsoft.com/office/drawing/2014/main" id="{00000000-0008-0000-0400-000072000000}"/>
            </a:ext>
          </a:extLst>
        </xdr:cNvPr>
        <xdr:cNvGrpSpPr/>
      </xdr:nvGrpSpPr>
      <xdr:grpSpPr>
        <a:xfrm>
          <a:off x="1739265" y="258632324"/>
          <a:ext cx="3960495" cy="161925"/>
          <a:chOff x="1548765" y="17040224"/>
          <a:chExt cx="3427095" cy="161925"/>
        </a:xfrm>
      </xdr:grpSpPr>
      <xdr:sp macro="" textlink="">
        <xdr:nvSpPr>
          <xdr:cNvPr id="115" name="Rectangle 114">
            <a:extLst>
              <a:ext uri="{FF2B5EF4-FFF2-40B4-BE49-F238E27FC236}">
                <a16:creationId xmlns:a16="http://schemas.microsoft.com/office/drawing/2014/main" id="{00000000-0008-0000-0400-00007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115">
            <a:extLst>
              <a:ext uri="{FF2B5EF4-FFF2-40B4-BE49-F238E27FC236}">
                <a16:creationId xmlns:a16="http://schemas.microsoft.com/office/drawing/2014/main" id="{00000000-0008-0000-0400-00007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Rectangle 116">
            <a:extLst>
              <a:ext uri="{FF2B5EF4-FFF2-40B4-BE49-F238E27FC236}">
                <a16:creationId xmlns:a16="http://schemas.microsoft.com/office/drawing/2014/main" id="{00000000-0008-0000-0400-00007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760</xdr:row>
      <xdr:rowOff>47624</xdr:rowOff>
    </xdr:from>
    <xdr:to>
      <xdr:col>8</xdr:col>
      <xdr:colOff>356235</xdr:colOff>
      <xdr:row>760</xdr:row>
      <xdr:rowOff>209549</xdr:rowOff>
    </xdr:to>
    <xdr:grpSp>
      <xdr:nvGrpSpPr>
        <xdr:cNvPr id="118" name="Group 117">
          <a:extLst>
            <a:ext uri="{FF2B5EF4-FFF2-40B4-BE49-F238E27FC236}">
              <a16:creationId xmlns:a16="http://schemas.microsoft.com/office/drawing/2014/main" id="{00000000-0008-0000-0400-000076000000}"/>
            </a:ext>
          </a:extLst>
        </xdr:cNvPr>
        <xdr:cNvGrpSpPr/>
      </xdr:nvGrpSpPr>
      <xdr:grpSpPr>
        <a:xfrm>
          <a:off x="1739265" y="259241924"/>
          <a:ext cx="3960495" cy="161925"/>
          <a:chOff x="1548765" y="17040224"/>
          <a:chExt cx="3427095" cy="161925"/>
        </a:xfrm>
      </xdr:grpSpPr>
      <xdr:sp macro="" textlink="">
        <xdr:nvSpPr>
          <xdr:cNvPr id="119" name="Rectangle 118">
            <a:extLst>
              <a:ext uri="{FF2B5EF4-FFF2-40B4-BE49-F238E27FC236}">
                <a16:creationId xmlns:a16="http://schemas.microsoft.com/office/drawing/2014/main" id="{00000000-0008-0000-0400-00007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0" name="Rectangle 119">
            <a:extLst>
              <a:ext uri="{FF2B5EF4-FFF2-40B4-BE49-F238E27FC236}">
                <a16:creationId xmlns:a16="http://schemas.microsoft.com/office/drawing/2014/main" id="{00000000-0008-0000-0400-00007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1" name="Rectangle 120">
            <a:extLst>
              <a:ext uri="{FF2B5EF4-FFF2-40B4-BE49-F238E27FC236}">
                <a16:creationId xmlns:a16="http://schemas.microsoft.com/office/drawing/2014/main" id="{00000000-0008-0000-0400-00007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828</xdr:row>
      <xdr:rowOff>47624</xdr:rowOff>
    </xdr:from>
    <xdr:to>
      <xdr:col>8</xdr:col>
      <xdr:colOff>356235</xdr:colOff>
      <xdr:row>828</xdr:row>
      <xdr:rowOff>209549</xdr:rowOff>
    </xdr:to>
    <xdr:grpSp>
      <xdr:nvGrpSpPr>
        <xdr:cNvPr id="122" name="Group 121">
          <a:extLst>
            <a:ext uri="{FF2B5EF4-FFF2-40B4-BE49-F238E27FC236}">
              <a16:creationId xmlns:a16="http://schemas.microsoft.com/office/drawing/2014/main" id="{00000000-0008-0000-0400-00007A000000}"/>
            </a:ext>
          </a:extLst>
        </xdr:cNvPr>
        <xdr:cNvGrpSpPr/>
      </xdr:nvGrpSpPr>
      <xdr:grpSpPr>
        <a:xfrm>
          <a:off x="1739265" y="282806774"/>
          <a:ext cx="3960495" cy="161925"/>
          <a:chOff x="1548765" y="17040224"/>
          <a:chExt cx="3427095" cy="161925"/>
        </a:xfrm>
      </xdr:grpSpPr>
      <xdr:sp macro="" textlink="">
        <xdr:nvSpPr>
          <xdr:cNvPr id="123" name="Rectangle 122">
            <a:extLst>
              <a:ext uri="{FF2B5EF4-FFF2-40B4-BE49-F238E27FC236}">
                <a16:creationId xmlns:a16="http://schemas.microsoft.com/office/drawing/2014/main" id="{00000000-0008-0000-0400-00007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4" name="Rectangle 123">
            <a:extLst>
              <a:ext uri="{FF2B5EF4-FFF2-40B4-BE49-F238E27FC236}">
                <a16:creationId xmlns:a16="http://schemas.microsoft.com/office/drawing/2014/main" id="{00000000-0008-0000-0400-00007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5" name="Rectangle 124">
            <a:extLst>
              <a:ext uri="{FF2B5EF4-FFF2-40B4-BE49-F238E27FC236}">
                <a16:creationId xmlns:a16="http://schemas.microsoft.com/office/drawing/2014/main" id="{00000000-0008-0000-0400-00007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830</xdr:row>
      <xdr:rowOff>47624</xdr:rowOff>
    </xdr:from>
    <xdr:to>
      <xdr:col>8</xdr:col>
      <xdr:colOff>356235</xdr:colOff>
      <xdr:row>830</xdr:row>
      <xdr:rowOff>209549</xdr:rowOff>
    </xdr:to>
    <xdr:grpSp>
      <xdr:nvGrpSpPr>
        <xdr:cNvPr id="126" name="Group 125">
          <a:extLst>
            <a:ext uri="{FF2B5EF4-FFF2-40B4-BE49-F238E27FC236}">
              <a16:creationId xmlns:a16="http://schemas.microsoft.com/office/drawing/2014/main" id="{00000000-0008-0000-0400-00007E000000}"/>
            </a:ext>
          </a:extLst>
        </xdr:cNvPr>
        <xdr:cNvGrpSpPr/>
      </xdr:nvGrpSpPr>
      <xdr:grpSpPr>
        <a:xfrm>
          <a:off x="1739265" y="283416374"/>
          <a:ext cx="3960495" cy="161925"/>
          <a:chOff x="1548765" y="17040224"/>
          <a:chExt cx="3427095" cy="161925"/>
        </a:xfrm>
      </xdr:grpSpPr>
      <xdr:sp macro="" textlink="">
        <xdr:nvSpPr>
          <xdr:cNvPr id="127" name="Rectangle 126">
            <a:extLst>
              <a:ext uri="{FF2B5EF4-FFF2-40B4-BE49-F238E27FC236}">
                <a16:creationId xmlns:a16="http://schemas.microsoft.com/office/drawing/2014/main" id="{00000000-0008-0000-0400-00007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8" name="Rectangle 127">
            <a:extLst>
              <a:ext uri="{FF2B5EF4-FFF2-40B4-BE49-F238E27FC236}">
                <a16:creationId xmlns:a16="http://schemas.microsoft.com/office/drawing/2014/main" id="{00000000-0008-0000-0400-00008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9" name="Rectangle 128">
            <a:extLst>
              <a:ext uri="{FF2B5EF4-FFF2-40B4-BE49-F238E27FC236}">
                <a16:creationId xmlns:a16="http://schemas.microsoft.com/office/drawing/2014/main" id="{00000000-0008-0000-0400-00008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898</xdr:row>
      <xdr:rowOff>47624</xdr:rowOff>
    </xdr:from>
    <xdr:to>
      <xdr:col>8</xdr:col>
      <xdr:colOff>356235</xdr:colOff>
      <xdr:row>898</xdr:row>
      <xdr:rowOff>209549</xdr:rowOff>
    </xdr:to>
    <xdr:grpSp>
      <xdr:nvGrpSpPr>
        <xdr:cNvPr id="130" name="Group 129">
          <a:extLst>
            <a:ext uri="{FF2B5EF4-FFF2-40B4-BE49-F238E27FC236}">
              <a16:creationId xmlns:a16="http://schemas.microsoft.com/office/drawing/2014/main" id="{00000000-0008-0000-0400-000082000000}"/>
            </a:ext>
          </a:extLst>
        </xdr:cNvPr>
        <xdr:cNvGrpSpPr/>
      </xdr:nvGrpSpPr>
      <xdr:grpSpPr>
        <a:xfrm>
          <a:off x="1739265" y="306552599"/>
          <a:ext cx="3960495" cy="161925"/>
          <a:chOff x="1548765" y="17040224"/>
          <a:chExt cx="3427095" cy="161925"/>
        </a:xfrm>
      </xdr:grpSpPr>
      <xdr:sp macro="" textlink="">
        <xdr:nvSpPr>
          <xdr:cNvPr id="131" name="Rectangle 130">
            <a:extLst>
              <a:ext uri="{FF2B5EF4-FFF2-40B4-BE49-F238E27FC236}">
                <a16:creationId xmlns:a16="http://schemas.microsoft.com/office/drawing/2014/main" id="{00000000-0008-0000-0400-00008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2" name="Rectangle 131">
            <a:extLst>
              <a:ext uri="{FF2B5EF4-FFF2-40B4-BE49-F238E27FC236}">
                <a16:creationId xmlns:a16="http://schemas.microsoft.com/office/drawing/2014/main" id="{00000000-0008-0000-0400-00008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3" name="Rectangle 132">
            <a:extLst>
              <a:ext uri="{FF2B5EF4-FFF2-40B4-BE49-F238E27FC236}">
                <a16:creationId xmlns:a16="http://schemas.microsoft.com/office/drawing/2014/main" id="{00000000-0008-0000-0400-00008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900</xdr:row>
      <xdr:rowOff>47624</xdr:rowOff>
    </xdr:from>
    <xdr:to>
      <xdr:col>8</xdr:col>
      <xdr:colOff>356235</xdr:colOff>
      <xdr:row>900</xdr:row>
      <xdr:rowOff>209549</xdr:rowOff>
    </xdr:to>
    <xdr:grpSp>
      <xdr:nvGrpSpPr>
        <xdr:cNvPr id="134" name="Group 133">
          <a:extLst>
            <a:ext uri="{FF2B5EF4-FFF2-40B4-BE49-F238E27FC236}">
              <a16:creationId xmlns:a16="http://schemas.microsoft.com/office/drawing/2014/main" id="{00000000-0008-0000-0400-000086000000}"/>
            </a:ext>
          </a:extLst>
        </xdr:cNvPr>
        <xdr:cNvGrpSpPr/>
      </xdr:nvGrpSpPr>
      <xdr:grpSpPr>
        <a:xfrm>
          <a:off x="1739265" y="307162199"/>
          <a:ext cx="3960495" cy="161925"/>
          <a:chOff x="1548765" y="17040224"/>
          <a:chExt cx="3427095" cy="161925"/>
        </a:xfrm>
      </xdr:grpSpPr>
      <xdr:sp macro="" textlink="">
        <xdr:nvSpPr>
          <xdr:cNvPr id="135" name="Rectangle 134">
            <a:extLst>
              <a:ext uri="{FF2B5EF4-FFF2-40B4-BE49-F238E27FC236}">
                <a16:creationId xmlns:a16="http://schemas.microsoft.com/office/drawing/2014/main" id="{00000000-0008-0000-0400-00008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6" name="Rectangle 135">
            <a:extLst>
              <a:ext uri="{FF2B5EF4-FFF2-40B4-BE49-F238E27FC236}">
                <a16:creationId xmlns:a16="http://schemas.microsoft.com/office/drawing/2014/main" id="{00000000-0008-0000-0400-00008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7" name="Rectangle 136">
            <a:extLst>
              <a:ext uri="{FF2B5EF4-FFF2-40B4-BE49-F238E27FC236}">
                <a16:creationId xmlns:a16="http://schemas.microsoft.com/office/drawing/2014/main" id="{00000000-0008-0000-0400-00008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968</xdr:row>
      <xdr:rowOff>47624</xdr:rowOff>
    </xdr:from>
    <xdr:to>
      <xdr:col>8</xdr:col>
      <xdr:colOff>356235</xdr:colOff>
      <xdr:row>968</xdr:row>
      <xdr:rowOff>209549</xdr:rowOff>
    </xdr:to>
    <xdr:grpSp>
      <xdr:nvGrpSpPr>
        <xdr:cNvPr id="138" name="Group 137">
          <a:extLst>
            <a:ext uri="{FF2B5EF4-FFF2-40B4-BE49-F238E27FC236}">
              <a16:creationId xmlns:a16="http://schemas.microsoft.com/office/drawing/2014/main" id="{00000000-0008-0000-0400-00008A000000}"/>
            </a:ext>
          </a:extLst>
        </xdr:cNvPr>
        <xdr:cNvGrpSpPr/>
      </xdr:nvGrpSpPr>
      <xdr:grpSpPr>
        <a:xfrm>
          <a:off x="1739265" y="330393674"/>
          <a:ext cx="3960495" cy="161925"/>
          <a:chOff x="1548765" y="17040224"/>
          <a:chExt cx="3427095" cy="161925"/>
        </a:xfrm>
      </xdr:grpSpPr>
      <xdr:sp macro="" textlink="">
        <xdr:nvSpPr>
          <xdr:cNvPr id="139" name="Rectangle 138">
            <a:extLst>
              <a:ext uri="{FF2B5EF4-FFF2-40B4-BE49-F238E27FC236}">
                <a16:creationId xmlns:a16="http://schemas.microsoft.com/office/drawing/2014/main" id="{00000000-0008-0000-0400-00008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0" name="Rectangle 139">
            <a:extLst>
              <a:ext uri="{FF2B5EF4-FFF2-40B4-BE49-F238E27FC236}">
                <a16:creationId xmlns:a16="http://schemas.microsoft.com/office/drawing/2014/main" id="{00000000-0008-0000-0400-00008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1" name="Rectangle 140">
            <a:extLst>
              <a:ext uri="{FF2B5EF4-FFF2-40B4-BE49-F238E27FC236}">
                <a16:creationId xmlns:a16="http://schemas.microsoft.com/office/drawing/2014/main" id="{00000000-0008-0000-0400-00008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970</xdr:row>
      <xdr:rowOff>47624</xdr:rowOff>
    </xdr:from>
    <xdr:to>
      <xdr:col>8</xdr:col>
      <xdr:colOff>356235</xdr:colOff>
      <xdr:row>970</xdr:row>
      <xdr:rowOff>209549</xdr:rowOff>
    </xdr:to>
    <xdr:grpSp>
      <xdr:nvGrpSpPr>
        <xdr:cNvPr id="142" name="Group 141">
          <a:extLst>
            <a:ext uri="{FF2B5EF4-FFF2-40B4-BE49-F238E27FC236}">
              <a16:creationId xmlns:a16="http://schemas.microsoft.com/office/drawing/2014/main" id="{00000000-0008-0000-0400-00008E000000}"/>
            </a:ext>
          </a:extLst>
        </xdr:cNvPr>
        <xdr:cNvGrpSpPr/>
      </xdr:nvGrpSpPr>
      <xdr:grpSpPr>
        <a:xfrm>
          <a:off x="1739265" y="331003274"/>
          <a:ext cx="3960495" cy="161925"/>
          <a:chOff x="1548765" y="17040224"/>
          <a:chExt cx="3427095" cy="161925"/>
        </a:xfrm>
      </xdr:grpSpPr>
      <xdr:sp macro="" textlink="">
        <xdr:nvSpPr>
          <xdr:cNvPr id="143" name="Rectangle 142">
            <a:extLst>
              <a:ext uri="{FF2B5EF4-FFF2-40B4-BE49-F238E27FC236}">
                <a16:creationId xmlns:a16="http://schemas.microsoft.com/office/drawing/2014/main" id="{00000000-0008-0000-0400-00008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4" name="Rectangle 143">
            <a:extLst>
              <a:ext uri="{FF2B5EF4-FFF2-40B4-BE49-F238E27FC236}">
                <a16:creationId xmlns:a16="http://schemas.microsoft.com/office/drawing/2014/main" id="{00000000-0008-0000-0400-00009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5" name="Rectangle 144">
            <a:extLst>
              <a:ext uri="{FF2B5EF4-FFF2-40B4-BE49-F238E27FC236}">
                <a16:creationId xmlns:a16="http://schemas.microsoft.com/office/drawing/2014/main" id="{00000000-0008-0000-0400-00009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1038</xdr:row>
      <xdr:rowOff>47624</xdr:rowOff>
    </xdr:from>
    <xdr:to>
      <xdr:col>8</xdr:col>
      <xdr:colOff>356235</xdr:colOff>
      <xdr:row>1038</xdr:row>
      <xdr:rowOff>209549</xdr:rowOff>
    </xdr:to>
    <xdr:grpSp>
      <xdr:nvGrpSpPr>
        <xdr:cNvPr id="146" name="Group 145">
          <a:extLst>
            <a:ext uri="{FF2B5EF4-FFF2-40B4-BE49-F238E27FC236}">
              <a16:creationId xmlns:a16="http://schemas.microsoft.com/office/drawing/2014/main" id="{00000000-0008-0000-0400-000092000000}"/>
            </a:ext>
          </a:extLst>
        </xdr:cNvPr>
        <xdr:cNvGrpSpPr/>
      </xdr:nvGrpSpPr>
      <xdr:grpSpPr>
        <a:xfrm>
          <a:off x="1739265" y="354568124"/>
          <a:ext cx="3960495" cy="161925"/>
          <a:chOff x="1548765" y="17040224"/>
          <a:chExt cx="3427095" cy="161925"/>
        </a:xfrm>
      </xdr:grpSpPr>
      <xdr:sp macro="" textlink="">
        <xdr:nvSpPr>
          <xdr:cNvPr id="147" name="Rectangle 146">
            <a:extLst>
              <a:ext uri="{FF2B5EF4-FFF2-40B4-BE49-F238E27FC236}">
                <a16:creationId xmlns:a16="http://schemas.microsoft.com/office/drawing/2014/main" id="{00000000-0008-0000-0400-00009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8" name="Rectangle 147">
            <a:extLst>
              <a:ext uri="{FF2B5EF4-FFF2-40B4-BE49-F238E27FC236}">
                <a16:creationId xmlns:a16="http://schemas.microsoft.com/office/drawing/2014/main" id="{00000000-0008-0000-0400-00009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9" name="Rectangle 148">
            <a:extLst>
              <a:ext uri="{FF2B5EF4-FFF2-40B4-BE49-F238E27FC236}">
                <a16:creationId xmlns:a16="http://schemas.microsoft.com/office/drawing/2014/main" id="{00000000-0008-0000-0400-00009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1040</xdr:row>
      <xdr:rowOff>47624</xdr:rowOff>
    </xdr:from>
    <xdr:to>
      <xdr:col>8</xdr:col>
      <xdr:colOff>356235</xdr:colOff>
      <xdr:row>1040</xdr:row>
      <xdr:rowOff>209549</xdr:rowOff>
    </xdr:to>
    <xdr:grpSp>
      <xdr:nvGrpSpPr>
        <xdr:cNvPr id="150" name="Group 149">
          <a:extLst>
            <a:ext uri="{FF2B5EF4-FFF2-40B4-BE49-F238E27FC236}">
              <a16:creationId xmlns:a16="http://schemas.microsoft.com/office/drawing/2014/main" id="{00000000-0008-0000-0400-000096000000}"/>
            </a:ext>
          </a:extLst>
        </xdr:cNvPr>
        <xdr:cNvGrpSpPr/>
      </xdr:nvGrpSpPr>
      <xdr:grpSpPr>
        <a:xfrm>
          <a:off x="1739265" y="355177724"/>
          <a:ext cx="3960495" cy="161925"/>
          <a:chOff x="1548765" y="17040224"/>
          <a:chExt cx="3427095" cy="161925"/>
        </a:xfrm>
      </xdr:grpSpPr>
      <xdr:sp macro="" textlink="">
        <xdr:nvSpPr>
          <xdr:cNvPr id="151" name="Rectangle 150">
            <a:extLst>
              <a:ext uri="{FF2B5EF4-FFF2-40B4-BE49-F238E27FC236}">
                <a16:creationId xmlns:a16="http://schemas.microsoft.com/office/drawing/2014/main" id="{00000000-0008-0000-0400-00009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2" name="Rectangle 151">
            <a:extLst>
              <a:ext uri="{FF2B5EF4-FFF2-40B4-BE49-F238E27FC236}">
                <a16:creationId xmlns:a16="http://schemas.microsoft.com/office/drawing/2014/main" id="{00000000-0008-0000-0400-00009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3" name="Rectangle 152">
            <a:extLst>
              <a:ext uri="{FF2B5EF4-FFF2-40B4-BE49-F238E27FC236}">
                <a16:creationId xmlns:a16="http://schemas.microsoft.com/office/drawing/2014/main" id="{00000000-0008-0000-0400-00009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1108</xdr:row>
      <xdr:rowOff>47624</xdr:rowOff>
    </xdr:from>
    <xdr:to>
      <xdr:col>8</xdr:col>
      <xdr:colOff>356235</xdr:colOff>
      <xdr:row>1108</xdr:row>
      <xdr:rowOff>209549</xdr:rowOff>
    </xdr:to>
    <xdr:grpSp>
      <xdr:nvGrpSpPr>
        <xdr:cNvPr id="154" name="Group 153">
          <a:extLst>
            <a:ext uri="{FF2B5EF4-FFF2-40B4-BE49-F238E27FC236}">
              <a16:creationId xmlns:a16="http://schemas.microsoft.com/office/drawing/2014/main" id="{00000000-0008-0000-0400-00009A000000}"/>
            </a:ext>
          </a:extLst>
        </xdr:cNvPr>
        <xdr:cNvGrpSpPr/>
      </xdr:nvGrpSpPr>
      <xdr:grpSpPr>
        <a:xfrm>
          <a:off x="1739265" y="378399674"/>
          <a:ext cx="3960495" cy="161925"/>
          <a:chOff x="1548765" y="17040224"/>
          <a:chExt cx="3427095" cy="161925"/>
        </a:xfrm>
      </xdr:grpSpPr>
      <xdr:sp macro="" textlink="">
        <xdr:nvSpPr>
          <xdr:cNvPr id="155" name="Rectangle 154">
            <a:extLst>
              <a:ext uri="{FF2B5EF4-FFF2-40B4-BE49-F238E27FC236}">
                <a16:creationId xmlns:a16="http://schemas.microsoft.com/office/drawing/2014/main" id="{00000000-0008-0000-0400-00009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6" name="Rectangle 155">
            <a:extLst>
              <a:ext uri="{FF2B5EF4-FFF2-40B4-BE49-F238E27FC236}">
                <a16:creationId xmlns:a16="http://schemas.microsoft.com/office/drawing/2014/main" id="{00000000-0008-0000-0400-00009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7" name="Rectangle 156">
            <a:extLst>
              <a:ext uri="{FF2B5EF4-FFF2-40B4-BE49-F238E27FC236}">
                <a16:creationId xmlns:a16="http://schemas.microsoft.com/office/drawing/2014/main" id="{00000000-0008-0000-0400-00009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1110</xdr:row>
      <xdr:rowOff>47624</xdr:rowOff>
    </xdr:from>
    <xdr:to>
      <xdr:col>8</xdr:col>
      <xdr:colOff>356235</xdr:colOff>
      <xdr:row>1110</xdr:row>
      <xdr:rowOff>209549</xdr:rowOff>
    </xdr:to>
    <xdr:grpSp>
      <xdr:nvGrpSpPr>
        <xdr:cNvPr id="158" name="Group 157">
          <a:extLst>
            <a:ext uri="{FF2B5EF4-FFF2-40B4-BE49-F238E27FC236}">
              <a16:creationId xmlns:a16="http://schemas.microsoft.com/office/drawing/2014/main" id="{00000000-0008-0000-0400-00009E000000}"/>
            </a:ext>
          </a:extLst>
        </xdr:cNvPr>
        <xdr:cNvGrpSpPr/>
      </xdr:nvGrpSpPr>
      <xdr:grpSpPr>
        <a:xfrm>
          <a:off x="1739265" y="379009274"/>
          <a:ext cx="3960495" cy="161925"/>
          <a:chOff x="1548765" y="17040224"/>
          <a:chExt cx="3427095" cy="161925"/>
        </a:xfrm>
      </xdr:grpSpPr>
      <xdr:sp macro="" textlink="">
        <xdr:nvSpPr>
          <xdr:cNvPr id="159" name="Rectangle 158">
            <a:extLst>
              <a:ext uri="{FF2B5EF4-FFF2-40B4-BE49-F238E27FC236}">
                <a16:creationId xmlns:a16="http://schemas.microsoft.com/office/drawing/2014/main" id="{00000000-0008-0000-0400-00009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0" name="Rectangle 159">
            <a:extLst>
              <a:ext uri="{FF2B5EF4-FFF2-40B4-BE49-F238E27FC236}">
                <a16:creationId xmlns:a16="http://schemas.microsoft.com/office/drawing/2014/main" id="{00000000-0008-0000-0400-0000A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1" name="Rectangle 160">
            <a:extLst>
              <a:ext uri="{FF2B5EF4-FFF2-40B4-BE49-F238E27FC236}">
                <a16:creationId xmlns:a16="http://schemas.microsoft.com/office/drawing/2014/main" id="{00000000-0008-0000-0400-0000A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1178</xdr:row>
      <xdr:rowOff>47624</xdr:rowOff>
    </xdr:from>
    <xdr:to>
      <xdr:col>8</xdr:col>
      <xdr:colOff>356235</xdr:colOff>
      <xdr:row>1178</xdr:row>
      <xdr:rowOff>209549</xdr:rowOff>
    </xdr:to>
    <xdr:grpSp>
      <xdr:nvGrpSpPr>
        <xdr:cNvPr id="162" name="Group 161">
          <a:extLst>
            <a:ext uri="{FF2B5EF4-FFF2-40B4-BE49-F238E27FC236}">
              <a16:creationId xmlns:a16="http://schemas.microsoft.com/office/drawing/2014/main" id="{00000000-0008-0000-0400-0000A2000000}"/>
            </a:ext>
          </a:extLst>
        </xdr:cNvPr>
        <xdr:cNvGrpSpPr/>
      </xdr:nvGrpSpPr>
      <xdr:grpSpPr>
        <a:xfrm>
          <a:off x="1739265" y="402259799"/>
          <a:ext cx="3960495" cy="161925"/>
          <a:chOff x="1548765" y="17040224"/>
          <a:chExt cx="3427095" cy="161925"/>
        </a:xfrm>
      </xdr:grpSpPr>
      <xdr:sp macro="" textlink="">
        <xdr:nvSpPr>
          <xdr:cNvPr id="163" name="Rectangle 162">
            <a:extLst>
              <a:ext uri="{FF2B5EF4-FFF2-40B4-BE49-F238E27FC236}">
                <a16:creationId xmlns:a16="http://schemas.microsoft.com/office/drawing/2014/main" id="{00000000-0008-0000-0400-0000A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4" name="Rectangle 163">
            <a:extLst>
              <a:ext uri="{FF2B5EF4-FFF2-40B4-BE49-F238E27FC236}">
                <a16:creationId xmlns:a16="http://schemas.microsoft.com/office/drawing/2014/main" id="{00000000-0008-0000-0400-0000A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5" name="Rectangle 164">
            <a:extLst>
              <a:ext uri="{FF2B5EF4-FFF2-40B4-BE49-F238E27FC236}">
                <a16:creationId xmlns:a16="http://schemas.microsoft.com/office/drawing/2014/main" id="{00000000-0008-0000-0400-0000A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1180</xdr:row>
      <xdr:rowOff>47624</xdr:rowOff>
    </xdr:from>
    <xdr:to>
      <xdr:col>8</xdr:col>
      <xdr:colOff>356235</xdr:colOff>
      <xdr:row>1180</xdr:row>
      <xdr:rowOff>209549</xdr:rowOff>
    </xdr:to>
    <xdr:grpSp>
      <xdr:nvGrpSpPr>
        <xdr:cNvPr id="166" name="Group 165">
          <a:extLst>
            <a:ext uri="{FF2B5EF4-FFF2-40B4-BE49-F238E27FC236}">
              <a16:creationId xmlns:a16="http://schemas.microsoft.com/office/drawing/2014/main" id="{00000000-0008-0000-0400-0000A6000000}"/>
            </a:ext>
          </a:extLst>
        </xdr:cNvPr>
        <xdr:cNvGrpSpPr/>
      </xdr:nvGrpSpPr>
      <xdr:grpSpPr>
        <a:xfrm>
          <a:off x="1739265" y="402869399"/>
          <a:ext cx="3960495" cy="161925"/>
          <a:chOff x="1548765" y="17040224"/>
          <a:chExt cx="3427095" cy="161925"/>
        </a:xfrm>
      </xdr:grpSpPr>
      <xdr:sp macro="" textlink="">
        <xdr:nvSpPr>
          <xdr:cNvPr id="167" name="Rectangle 166">
            <a:extLst>
              <a:ext uri="{FF2B5EF4-FFF2-40B4-BE49-F238E27FC236}">
                <a16:creationId xmlns:a16="http://schemas.microsoft.com/office/drawing/2014/main" id="{00000000-0008-0000-0400-0000A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8" name="Rectangle 167">
            <a:extLst>
              <a:ext uri="{FF2B5EF4-FFF2-40B4-BE49-F238E27FC236}">
                <a16:creationId xmlns:a16="http://schemas.microsoft.com/office/drawing/2014/main" id="{00000000-0008-0000-0400-0000A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9" name="Rectangle 168">
            <a:extLst>
              <a:ext uri="{FF2B5EF4-FFF2-40B4-BE49-F238E27FC236}">
                <a16:creationId xmlns:a16="http://schemas.microsoft.com/office/drawing/2014/main" id="{00000000-0008-0000-0400-0000A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1248</xdr:row>
      <xdr:rowOff>47624</xdr:rowOff>
    </xdr:from>
    <xdr:to>
      <xdr:col>8</xdr:col>
      <xdr:colOff>356235</xdr:colOff>
      <xdr:row>1248</xdr:row>
      <xdr:rowOff>209549</xdr:rowOff>
    </xdr:to>
    <xdr:grpSp>
      <xdr:nvGrpSpPr>
        <xdr:cNvPr id="170" name="Group 169">
          <a:extLst>
            <a:ext uri="{FF2B5EF4-FFF2-40B4-BE49-F238E27FC236}">
              <a16:creationId xmlns:a16="http://schemas.microsoft.com/office/drawing/2014/main" id="{00000000-0008-0000-0400-0000AA000000}"/>
            </a:ext>
          </a:extLst>
        </xdr:cNvPr>
        <xdr:cNvGrpSpPr/>
      </xdr:nvGrpSpPr>
      <xdr:grpSpPr>
        <a:xfrm>
          <a:off x="1739265" y="426434249"/>
          <a:ext cx="3960495" cy="161925"/>
          <a:chOff x="1548765" y="17040224"/>
          <a:chExt cx="3427095" cy="161925"/>
        </a:xfrm>
      </xdr:grpSpPr>
      <xdr:sp macro="" textlink="">
        <xdr:nvSpPr>
          <xdr:cNvPr id="171" name="Rectangle 170">
            <a:extLst>
              <a:ext uri="{FF2B5EF4-FFF2-40B4-BE49-F238E27FC236}">
                <a16:creationId xmlns:a16="http://schemas.microsoft.com/office/drawing/2014/main" id="{00000000-0008-0000-0400-0000A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2" name="Rectangle 171">
            <a:extLst>
              <a:ext uri="{FF2B5EF4-FFF2-40B4-BE49-F238E27FC236}">
                <a16:creationId xmlns:a16="http://schemas.microsoft.com/office/drawing/2014/main" id="{00000000-0008-0000-0400-0000A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3" name="Rectangle 172">
            <a:extLst>
              <a:ext uri="{FF2B5EF4-FFF2-40B4-BE49-F238E27FC236}">
                <a16:creationId xmlns:a16="http://schemas.microsoft.com/office/drawing/2014/main" id="{00000000-0008-0000-0400-0000A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1250</xdr:row>
      <xdr:rowOff>47624</xdr:rowOff>
    </xdr:from>
    <xdr:to>
      <xdr:col>8</xdr:col>
      <xdr:colOff>356235</xdr:colOff>
      <xdr:row>1250</xdr:row>
      <xdr:rowOff>209549</xdr:rowOff>
    </xdr:to>
    <xdr:grpSp>
      <xdr:nvGrpSpPr>
        <xdr:cNvPr id="174" name="Group 173">
          <a:extLst>
            <a:ext uri="{FF2B5EF4-FFF2-40B4-BE49-F238E27FC236}">
              <a16:creationId xmlns:a16="http://schemas.microsoft.com/office/drawing/2014/main" id="{00000000-0008-0000-0400-0000AE000000}"/>
            </a:ext>
          </a:extLst>
        </xdr:cNvPr>
        <xdr:cNvGrpSpPr/>
      </xdr:nvGrpSpPr>
      <xdr:grpSpPr>
        <a:xfrm>
          <a:off x="1739265" y="427043849"/>
          <a:ext cx="3960495" cy="161925"/>
          <a:chOff x="1548765" y="17040224"/>
          <a:chExt cx="3427095" cy="161925"/>
        </a:xfrm>
      </xdr:grpSpPr>
      <xdr:sp macro="" textlink="">
        <xdr:nvSpPr>
          <xdr:cNvPr id="175" name="Rectangle 174">
            <a:extLst>
              <a:ext uri="{FF2B5EF4-FFF2-40B4-BE49-F238E27FC236}">
                <a16:creationId xmlns:a16="http://schemas.microsoft.com/office/drawing/2014/main" id="{00000000-0008-0000-0400-0000A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6" name="Rectangle 175">
            <a:extLst>
              <a:ext uri="{FF2B5EF4-FFF2-40B4-BE49-F238E27FC236}">
                <a16:creationId xmlns:a16="http://schemas.microsoft.com/office/drawing/2014/main" id="{00000000-0008-0000-0400-0000B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7" name="Rectangle 176">
            <a:extLst>
              <a:ext uri="{FF2B5EF4-FFF2-40B4-BE49-F238E27FC236}">
                <a16:creationId xmlns:a16="http://schemas.microsoft.com/office/drawing/2014/main" id="{00000000-0008-0000-0400-0000B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1318</xdr:row>
      <xdr:rowOff>47624</xdr:rowOff>
    </xdr:from>
    <xdr:to>
      <xdr:col>8</xdr:col>
      <xdr:colOff>356235</xdr:colOff>
      <xdr:row>1318</xdr:row>
      <xdr:rowOff>209549</xdr:rowOff>
    </xdr:to>
    <xdr:grpSp>
      <xdr:nvGrpSpPr>
        <xdr:cNvPr id="178" name="Group 177">
          <a:extLst>
            <a:ext uri="{FF2B5EF4-FFF2-40B4-BE49-F238E27FC236}">
              <a16:creationId xmlns:a16="http://schemas.microsoft.com/office/drawing/2014/main" id="{00000000-0008-0000-0400-0000B2000000}"/>
            </a:ext>
          </a:extLst>
        </xdr:cNvPr>
        <xdr:cNvGrpSpPr/>
      </xdr:nvGrpSpPr>
      <xdr:grpSpPr>
        <a:xfrm>
          <a:off x="1739265" y="450246749"/>
          <a:ext cx="3960495" cy="161925"/>
          <a:chOff x="1548765" y="17040224"/>
          <a:chExt cx="3427095" cy="161925"/>
        </a:xfrm>
      </xdr:grpSpPr>
      <xdr:sp macro="" textlink="">
        <xdr:nvSpPr>
          <xdr:cNvPr id="179" name="Rectangle 178">
            <a:extLst>
              <a:ext uri="{FF2B5EF4-FFF2-40B4-BE49-F238E27FC236}">
                <a16:creationId xmlns:a16="http://schemas.microsoft.com/office/drawing/2014/main" id="{00000000-0008-0000-0400-0000B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0" name="Rectangle 179">
            <a:extLst>
              <a:ext uri="{FF2B5EF4-FFF2-40B4-BE49-F238E27FC236}">
                <a16:creationId xmlns:a16="http://schemas.microsoft.com/office/drawing/2014/main" id="{00000000-0008-0000-0400-0000B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1" name="Rectangle 180">
            <a:extLst>
              <a:ext uri="{FF2B5EF4-FFF2-40B4-BE49-F238E27FC236}">
                <a16:creationId xmlns:a16="http://schemas.microsoft.com/office/drawing/2014/main" id="{00000000-0008-0000-0400-0000B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1320</xdr:row>
      <xdr:rowOff>47624</xdr:rowOff>
    </xdr:from>
    <xdr:to>
      <xdr:col>8</xdr:col>
      <xdr:colOff>356235</xdr:colOff>
      <xdr:row>1320</xdr:row>
      <xdr:rowOff>209549</xdr:rowOff>
    </xdr:to>
    <xdr:grpSp>
      <xdr:nvGrpSpPr>
        <xdr:cNvPr id="182" name="Group 181">
          <a:extLst>
            <a:ext uri="{FF2B5EF4-FFF2-40B4-BE49-F238E27FC236}">
              <a16:creationId xmlns:a16="http://schemas.microsoft.com/office/drawing/2014/main" id="{00000000-0008-0000-0400-0000B6000000}"/>
            </a:ext>
          </a:extLst>
        </xdr:cNvPr>
        <xdr:cNvGrpSpPr/>
      </xdr:nvGrpSpPr>
      <xdr:grpSpPr>
        <a:xfrm>
          <a:off x="1739265" y="450856349"/>
          <a:ext cx="3960495" cy="161925"/>
          <a:chOff x="1548765" y="17040224"/>
          <a:chExt cx="3427095" cy="161925"/>
        </a:xfrm>
      </xdr:grpSpPr>
      <xdr:sp macro="" textlink="">
        <xdr:nvSpPr>
          <xdr:cNvPr id="183" name="Rectangle 182">
            <a:extLst>
              <a:ext uri="{FF2B5EF4-FFF2-40B4-BE49-F238E27FC236}">
                <a16:creationId xmlns:a16="http://schemas.microsoft.com/office/drawing/2014/main" id="{00000000-0008-0000-0400-0000B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4" name="Rectangle 183">
            <a:extLst>
              <a:ext uri="{FF2B5EF4-FFF2-40B4-BE49-F238E27FC236}">
                <a16:creationId xmlns:a16="http://schemas.microsoft.com/office/drawing/2014/main" id="{00000000-0008-0000-0400-0000B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5" name="Rectangle 184">
            <a:extLst>
              <a:ext uri="{FF2B5EF4-FFF2-40B4-BE49-F238E27FC236}">
                <a16:creationId xmlns:a16="http://schemas.microsoft.com/office/drawing/2014/main" id="{00000000-0008-0000-0400-0000B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1388</xdr:row>
      <xdr:rowOff>47624</xdr:rowOff>
    </xdr:from>
    <xdr:to>
      <xdr:col>8</xdr:col>
      <xdr:colOff>356235</xdr:colOff>
      <xdr:row>1388</xdr:row>
      <xdr:rowOff>209549</xdr:rowOff>
    </xdr:to>
    <xdr:grpSp>
      <xdr:nvGrpSpPr>
        <xdr:cNvPr id="186" name="Group 185">
          <a:extLst>
            <a:ext uri="{FF2B5EF4-FFF2-40B4-BE49-F238E27FC236}">
              <a16:creationId xmlns:a16="http://schemas.microsoft.com/office/drawing/2014/main" id="{00000000-0008-0000-0400-0000BA000000}"/>
            </a:ext>
          </a:extLst>
        </xdr:cNvPr>
        <xdr:cNvGrpSpPr/>
      </xdr:nvGrpSpPr>
      <xdr:grpSpPr>
        <a:xfrm>
          <a:off x="1739265" y="474278324"/>
          <a:ext cx="3960495" cy="161925"/>
          <a:chOff x="1548765" y="17040224"/>
          <a:chExt cx="3427095" cy="161925"/>
        </a:xfrm>
      </xdr:grpSpPr>
      <xdr:sp macro="" textlink="">
        <xdr:nvSpPr>
          <xdr:cNvPr id="187" name="Rectangle 186">
            <a:extLst>
              <a:ext uri="{FF2B5EF4-FFF2-40B4-BE49-F238E27FC236}">
                <a16:creationId xmlns:a16="http://schemas.microsoft.com/office/drawing/2014/main" id="{00000000-0008-0000-0400-0000B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8" name="Rectangle 187">
            <a:extLst>
              <a:ext uri="{FF2B5EF4-FFF2-40B4-BE49-F238E27FC236}">
                <a16:creationId xmlns:a16="http://schemas.microsoft.com/office/drawing/2014/main" id="{00000000-0008-0000-0400-0000B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9" name="Rectangle 188">
            <a:extLst>
              <a:ext uri="{FF2B5EF4-FFF2-40B4-BE49-F238E27FC236}">
                <a16:creationId xmlns:a16="http://schemas.microsoft.com/office/drawing/2014/main" id="{00000000-0008-0000-0400-0000B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1390</xdr:row>
      <xdr:rowOff>47624</xdr:rowOff>
    </xdr:from>
    <xdr:to>
      <xdr:col>8</xdr:col>
      <xdr:colOff>356235</xdr:colOff>
      <xdr:row>1390</xdr:row>
      <xdr:rowOff>209549</xdr:rowOff>
    </xdr:to>
    <xdr:grpSp>
      <xdr:nvGrpSpPr>
        <xdr:cNvPr id="190" name="Group 189">
          <a:extLst>
            <a:ext uri="{FF2B5EF4-FFF2-40B4-BE49-F238E27FC236}">
              <a16:creationId xmlns:a16="http://schemas.microsoft.com/office/drawing/2014/main" id="{00000000-0008-0000-0400-0000BE000000}"/>
            </a:ext>
          </a:extLst>
        </xdr:cNvPr>
        <xdr:cNvGrpSpPr/>
      </xdr:nvGrpSpPr>
      <xdr:grpSpPr>
        <a:xfrm>
          <a:off x="1739265" y="474887924"/>
          <a:ext cx="3960495" cy="161925"/>
          <a:chOff x="1548765" y="17040224"/>
          <a:chExt cx="3427095" cy="161925"/>
        </a:xfrm>
      </xdr:grpSpPr>
      <xdr:sp macro="" textlink="">
        <xdr:nvSpPr>
          <xdr:cNvPr id="191" name="Rectangle 190">
            <a:extLst>
              <a:ext uri="{FF2B5EF4-FFF2-40B4-BE49-F238E27FC236}">
                <a16:creationId xmlns:a16="http://schemas.microsoft.com/office/drawing/2014/main" id="{00000000-0008-0000-0400-0000B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2" name="Rectangle 191">
            <a:extLst>
              <a:ext uri="{FF2B5EF4-FFF2-40B4-BE49-F238E27FC236}">
                <a16:creationId xmlns:a16="http://schemas.microsoft.com/office/drawing/2014/main" id="{00000000-0008-0000-0400-0000C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3" name="Rectangle 192">
            <a:extLst>
              <a:ext uri="{FF2B5EF4-FFF2-40B4-BE49-F238E27FC236}">
                <a16:creationId xmlns:a16="http://schemas.microsoft.com/office/drawing/2014/main" id="{00000000-0008-0000-0400-0000C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1458</xdr:row>
      <xdr:rowOff>47624</xdr:rowOff>
    </xdr:from>
    <xdr:to>
      <xdr:col>8</xdr:col>
      <xdr:colOff>356235</xdr:colOff>
      <xdr:row>1458</xdr:row>
      <xdr:rowOff>209549</xdr:rowOff>
    </xdr:to>
    <xdr:grpSp>
      <xdr:nvGrpSpPr>
        <xdr:cNvPr id="194" name="Group 193">
          <a:extLst>
            <a:ext uri="{FF2B5EF4-FFF2-40B4-BE49-F238E27FC236}">
              <a16:creationId xmlns:a16="http://schemas.microsoft.com/office/drawing/2014/main" id="{00000000-0008-0000-0400-0000C2000000}"/>
            </a:ext>
          </a:extLst>
        </xdr:cNvPr>
        <xdr:cNvGrpSpPr/>
      </xdr:nvGrpSpPr>
      <xdr:grpSpPr>
        <a:xfrm>
          <a:off x="1739265" y="498452774"/>
          <a:ext cx="3960495" cy="161925"/>
          <a:chOff x="1548765" y="17040224"/>
          <a:chExt cx="3427095" cy="161925"/>
        </a:xfrm>
      </xdr:grpSpPr>
      <xdr:sp macro="" textlink="">
        <xdr:nvSpPr>
          <xdr:cNvPr id="195" name="Rectangle 194">
            <a:extLst>
              <a:ext uri="{FF2B5EF4-FFF2-40B4-BE49-F238E27FC236}">
                <a16:creationId xmlns:a16="http://schemas.microsoft.com/office/drawing/2014/main" id="{00000000-0008-0000-0400-0000C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6" name="Rectangle 195">
            <a:extLst>
              <a:ext uri="{FF2B5EF4-FFF2-40B4-BE49-F238E27FC236}">
                <a16:creationId xmlns:a16="http://schemas.microsoft.com/office/drawing/2014/main" id="{00000000-0008-0000-0400-0000C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7" name="Rectangle 196">
            <a:extLst>
              <a:ext uri="{FF2B5EF4-FFF2-40B4-BE49-F238E27FC236}">
                <a16:creationId xmlns:a16="http://schemas.microsoft.com/office/drawing/2014/main" id="{00000000-0008-0000-0400-0000C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1460</xdr:row>
      <xdr:rowOff>47624</xdr:rowOff>
    </xdr:from>
    <xdr:to>
      <xdr:col>8</xdr:col>
      <xdr:colOff>356235</xdr:colOff>
      <xdr:row>1460</xdr:row>
      <xdr:rowOff>209549</xdr:rowOff>
    </xdr:to>
    <xdr:grpSp>
      <xdr:nvGrpSpPr>
        <xdr:cNvPr id="198" name="Group 197">
          <a:extLst>
            <a:ext uri="{FF2B5EF4-FFF2-40B4-BE49-F238E27FC236}">
              <a16:creationId xmlns:a16="http://schemas.microsoft.com/office/drawing/2014/main" id="{00000000-0008-0000-0400-0000C6000000}"/>
            </a:ext>
          </a:extLst>
        </xdr:cNvPr>
        <xdr:cNvGrpSpPr/>
      </xdr:nvGrpSpPr>
      <xdr:grpSpPr>
        <a:xfrm>
          <a:off x="1739265" y="499062374"/>
          <a:ext cx="3960495" cy="161925"/>
          <a:chOff x="1548765" y="17040224"/>
          <a:chExt cx="3427095" cy="161925"/>
        </a:xfrm>
      </xdr:grpSpPr>
      <xdr:sp macro="" textlink="">
        <xdr:nvSpPr>
          <xdr:cNvPr id="199" name="Rectangle 198">
            <a:extLst>
              <a:ext uri="{FF2B5EF4-FFF2-40B4-BE49-F238E27FC236}">
                <a16:creationId xmlns:a16="http://schemas.microsoft.com/office/drawing/2014/main" id="{00000000-0008-0000-0400-0000C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0" name="Rectangle 199">
            <a:extLst>
              <a:ext uri="{FF2B5EF4-FFF2-40B4-BE49-F238E27FC236}">
                <a16:creationId xmlns:a16="http://schemas.microsoft.com/office/drawing/2014/main" id="{00000000-0008-0000-0400-0000C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1" name="Rectangle 200">
            <a:extLst>
              <a:ext uri="{FF2B5EF4-FFF2-40B4-BE49-F238E27FC236}">
                <a16:creationId xmlns:a16="http://schemas.microsoft.com/office/drawing/2014/main" id="{00000000-0008-0000-0400-0000C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1528</xdr:row>
      <xdr:rowOff>47624</xdr:rowOff>
    </xdr:from>
    <xdr:to>
      <xdr:col>8</xdr:col>
      <xdr:colOff>356235</xdr:colOff>
      <xdr:row>1528</xdr:row>
      <xdr:rowOff>209549</xdr:rowOff>
    </xdr:to>
    <xdr:grpSp>
      <xdr:nvGrpSpPr>
        <xdr:cNvPr id="202" name="Group 201">
          <a:extLst>
            <a:ext uri="{FF2B5EF4-FFF2-40B4-BE49-F238E27FC236}">
              <a16:creationId xmlns:a16="http://schemas.microsoft.com/office/drawing/2014/main" id="{00000000-0008-0000-0400-0000CA000000}"/>
            </a:ext>
          </a:extLst>
        </xdr:cNvPr>
        <xdr:cNvGrpSpPr/>
      </xdr:nvGrpSpPr>
      <xdr:grpSpPr>
        <a:xfrm>
          <a:off x="1739265" y="522284324"/>
          <a:ext cx="3960495" cy="161925"/>
          <a:chOff x="1548765" y="17040224"/>
          <a:chExt cx="3427095" cy="161925"/>
        </a:xfrm>
      </xdr:grpSpPr>
      <xdr:sp macro="" textlink="">
        <xdr:nvSpPr>
          <xdr:cNvPr id="203" name="Rectangle 202">
            <a:extLst>
              <a:ext uri="{FF2B5EF4-FFF2-40B4-BE49-F238E27FC236}">
                <a16:creationId xmlns:a16="http://schemas.microsoft.com/office/drawing/2014/main" id="{00000000-0008-0000-0400-0000C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4" name="Rectangle 203">
            <a:extLst>
              <a:ext uri="{FF2B5EF4-FFF2-40B4-BE49-F238E27FC236}">
                <a16:creationId xmlns:a16="http://schemas.microsoft.com/office/drawing/2014/main" id="{00000000-0008-0000-0400-0000C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5" name="Rectangle 204">
            <a:extLst>
              <a:ext uri="{FF2B5EF4-FFF2-40B4-BE49-F238E27FC236}">
                <a16:creationId xmlns:a16="http://schemas.microsoft.com/office/drawing/2014/main" id="{00000000-0008-0000-0400-0000C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1530</xdr:row>
      <xdr:rowOff>47624</xdr:rowOff>
    </xdr:from>
    <xdr:to>
      <xdr:col>8</xdr:col>
      <xdr:colOff>356235</xdr:colOff>
      <xdr:row>1530</xdr:row>
      <xdr:rowOff>209549</xdr:rowOff>
    </xdr:to>
    <xdr:grpSp>
      <xdr:nvGrpSpPr>
        <xdr:cNvPr id="206" name="Group 205">
          <a:extLst>
            <a:ext uri="{FF2B5EF4-FFF2-40B4-BE49-F238E27FC236}">
              <a16:creationId xmlns:a16="http://schemas.microsoft.com/office/drawing/2014/main" id="{00000000-0008-0000-0400-0000CE000000}"/>
            </a:ext>
          </a:extLst>
        </xdr:cNvPr>
        <xdr:cNvGrpSpPr/>
      </xdr:nvGrpSpPr>
      <xdr:grpSpPr>
        <a:xfrm>
          <a:off x="1739265" y="522893924"/>
          <a:ext cx="3960495" cy="161925"/>
          <a:chOff x="1548765" y="17040224"/>
          <a:chExt cx="3427095" cy="161925"/>
        </a:xfrm>
      </xdr:grpSpPr>
      <xdr:sp macro="" textlink="">
        <xdr:nvSpPr>
          <xdr:cNvPr id="207" name="Rectangle 206">
            <a:extLst>
              <a:ext uri="{FF2B5EF4-FFF2-40B4-BE49-F238E27FC236}">
                <a16:creationId xmlns:a16="http://schemas.microsoft.com/office/drawing/2014/main" id="{00000000-0008-0000-0400-0000C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8" name="Rectangle 207">
            <a:extLst>
              <a:ext uri="{FF2B5EF4-FFF2-40B4-BE49-F238E27FC236}">
                <a16:creationId xmlns:a16="http://schemas.microsoft.com/office/drawing/2014/main" id="{00000000-0008-0000-0400-0000D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9" name="Rectangle 208">
            <a:extLst>
              <a:ext uri="{FF2B5EF4-FFF2-40B4-BE49-F238E27FC236}">
                <a16:creationId xmlns:a16="http://schemas.microsoft.com/office/drawing/2014/main" id="{00000000-0008-0000-0400-0000D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1598</xdr:row>
      <xdr:rowOff>47624</xdr:rowOff>
    </xdr:from>
    <xdr:to>
      <xdr:col>8</xdr:col>
      <xdr:colOff>356235</xdr:colOff>
      <xdr:row>1598</xdr:row>
      <xdr:rowOff>209549</xdr:rowOff>
    </xdr:to>
    <xdr:grpSp>
      <xdr:nvGrpSpPr>
        <xdr:cNvPr id="210" name="Group 209">
          <a:extLst>
            <a:ext uri="{FF2B5EF4-FFF2-40B4-BE49-F238E27FC236}">
              <a16:creationId xmlns:a16="http://schemas.microsoft.com/office/drawing/2014/main" id="{00000000-0008-0000-0400-0000D2000000}"/>
            </a:ext>
          </a:extLst>
        </xdr:cNvPr>
        <xdr:cNvGrpSpPr/>
      </xdr:nvGrpSpPr>
      <xdr:grpSpPr>
        <a:xfrm>
          <a:off x="1739265" y="546058724"/>
          <a:ext cx="3960495" cy="161925"/>
          <a:chOff x="1548765" y="17040224"/>
          <a:chExt cx="3427095" cy="161925"/>
        </a:xfrm>
      </xdr:grpSpPr>
      <xdr:sp macro="" textlink="">
        <xdr:nvSpPr>
          <xdr:cNvPr id="211" name="Rectangle 210">
            <a:extLst>
              <a:ext uri="{FF2B5EF4-FFF2-40B4-BE49-F238E27FC236}">
                <a16:creationId xmlns:a16="http://schemas.microsoft.com/office/drawing/2014/main" id="{00000000-0008-0000-0400-0000D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2" name="Rectangle 211">
            <a:extLst>
              <a:ext uri="{FF2B5EF4-FFF2-40B4-BE49-F238E27FC236}">
                <a16:creationId xmlns:a16="http://schemas.microsoft.com/office/drawing/2014/main" id="{00000000-0008-0000-0400-0000D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3" name="Rectangle 212">
            <a:extLst>
              <a:ext uri="{FF2B5EF4-FFF2-40B4-BE49-F238E27FC236}">
                <a16:creationId xmlns:a16="http://schemas.microsoft.com/office/drawing/2014/main" id="{00000000-0008-0000-0400-0000D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1600</xdr:row>
      <xdr:rowOff>47624</xdr:rowOff>
    </xdr:from>
    <xdr:to>
      <xdr:col>8</xdr:col>
      <xdr:colOff>356235</xdr:colOff>
      <xdr:row>1600</xdr:row>
      <xdr:rowOff>209549</xdr:rowOff>
    </xdr:to>
    <xdr:grpSp>
      <xdr:nvGrpSpPr>
        <xdr:cNvPr id="214" name="Group 213">
          <a:extLst>
            <a:ext uri="{FF2B5EF4-FFF2-40B4-BE49-F238E27FC236}">
              <a16:creationId xmlns:a16="http://schemas.microsoft.com/office/drawing/2014/main" id="{00000000-0008-0000-0400-0000D6000000}"/>
            </a:ext>
          </a:extLst>
        </xdr:cNvPr>
        <xdr:cNvGrpSpPr/>
      </xdr:nvGrpSpPr>
      <xdr:grpSpPr>
        <a:xfrm>
          <a:off x="1739265" y="546668324"/>
          <a:ext cx="3960495" cy="161925"/>
          <a:chOff x="1548765" y="17040224"/>
          <a:chExt cx="3427095" cy="161925"/>
        </a:xfrm>
      </xdr:grpSpPr>
      <xdr:sp macro="" textlink="">
        <xdr:nvSpPr>
          <xdr:cNvPr id="215" name="Rectangle 214">
            <a:extLst>
              <a:ext uri="{FF2B5EF4-FFF2-40B4-BE49-F238E27FC236}">
                <a16:creationId xmlns:a16="http://schemas.microsoft.com/office/drawing/2014/main" id="{00000000-0008-0000-0400-0000D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6" name="Rectangle 215">
            <a:extLst>
              <a:ext uri="{FF2B5EF4-FFF2-40B4-BE49-F238E27FC236}">
                <a16:creationId xmlns:a16="http://schemas.microsoft.com/office/drawing/2014/main" id="{00000000-0008-0000-0400-0000D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7" name="Rectangle 216">
            <a:extLst>
              <a:ext uri="{FF2B5EF4-FFF2-40B4-BE49-F238E27FC236}">
                <a16:creationId xmlns:a16="http://schemas.microsoft.com/office/drawing/2014/main" id="{00000000-0008-0000-0400-0000D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1668</xdr:row>
      <xdr:rowOff>47624</xdr:rowOff>
    </xdr:from>
    <xdr:to>
      <xdr:col>8</xdr:col>
      <xdr:colOff>356235</xdr:colOff>
      <xdr:row>1668</xdr:row>
      <xdr:rowOff>209549</xdr:rowOff>
    </xdr:to>
    <xdr:grpSp>
      <xdr:nvGrpSpPr>
        <xdr:cNvPr id="218" name="Group 217">
          <a:extLst>
            <a:ext uri="{FF2B5EF4-FFF2-40B4-BE49-F238E27FC236}">
              <a16:creationId xmlns:a16="http://schemas.microsoft.com/office/drawing/2014/main" id="{00000000-0008-0000-0400-0000DA000000}"/>
            </a:ext>
          </a:extLst>
        </xdr:cNvPr>
        <xdr:cNvGrpSpPr/>
      </xdr:nvGrpSpPr>
      <xdr:grpSpPr>
        <a:xfrm>
          <a:off x="1739265" y="570233174"/>
          <a:ext cx="3960495" cy="161925"/>
          <a:chOff x="1548765" y="17040224"/>
          <a:chExt cx="3427095" cy="161925"/>
        </a:xfrm>
      </xdr:grpSpPr>
      <xdr:sp macro="" textlink="">
        <xdr:nvSpPr>
          <xdr:cNvPr id="219" name="Rectangle 218">
            <a:extLst>
              <a:ext uri="{FF2B5EF4-FFF2-40B4-BE49-F238E27FC236}">
                <a16:creationId xmlns:a16="http://schemas.microsoft.com/office/drawing/2014/main" id="{00000000-0008-0000-0400-0000D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0" name="Rectangle 219">
            <a:extLst>
              <a:ext uri="{FF2B5EF4-FFF2-40B4-BE49-F238E27FC236}">
                <a16:creationId xmlns:a16="http://schemas.microsoft.com/office/drawing/2014/main" id="{00000000-0008-0000-0400-0000D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1" name="Rectangle 220">
            <a:extLst>
              <a:ext uri="{FF2B5EF4-FFF2-40B4-BE49-F238E27FC236}">
                <a16:creationId xmlns:a16="http://schemas.microsoft.com/office/drawing/2014/main" id="{00000000-0008-0000-0400-0000D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1670</xdr:row>
      <xdr:rowOff>47624</xdr:rowOff>
    </xdr:from>
    <xdr:to>
      <xdr:col>8</xdr:col>
      <xdr:colOff>356235</xdr:colOff>
      <xdr:row>1670</xdr:row>
      <xdr:rowOff>209549</xdr:rowOff>
    </xdr:to>
    <xdr:grpSp>
      <xdr:nvGrpSpPr>
        <xdr:cNvPr id="222" name="Group 221">
          <a:extLst>
            <a:ext uri="{FF2B5EF4-FFF2-40B4-BE49-F238E27FC236}">
              <a16:creationId xmlns:a16="http://schemas.microsoft.com/office/drawing/2014/main" id="{00000000-0008-0000-0400-0000DE000000}"/>
            </a:ext>
          </a:extLst>
        </xdr:cNvPr>
        <xdr:cNvGrpSpPr/>
      </xdr:nvGrpSpPr>
      <xdr:grpSpPr>
        <a:xfrm>
          <a:off x="1739265" y="570842774"/>
          <a:ext cx="3960495" cy="161925"/>
          <a:chOff x="1548765" y="17040224"/>
          <a:chExt cx="3427095" cy="161925"/>
        </a:xfrm>
      </xdr:grpSpPr>
      <xdr:sp macro="" textlink="">
        <xdr:nvSpPr>
          <xdr:cNvPr id="223" name="Rectangle 222">
            <a:extLst>
              <a:ext uri="{FF2B5EF4-FFF2-40B4-BE49-F238E27FC236}">
                <a16:creationId xmlns:a16="http://schemas.microsoft.com/office/drawing/2014/main" id="{00000000-0008-0000-0400-0000D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4" name="Rectangle 223">
            <a:extLst>
              <a:ext uri="{FF2B5EF4-FFF2-40B4-BE49-F238E27FC236}">
                <a16:creationId xmlns:a16="http://schemas.microsoft.com/office/drawing/2014/main" id="{00000000-0008-0000-0400-0000E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5" name="Rectangle 224">
            <a:extLst>
              <a:ext uri="{FF2B5EF4-FFF2-40B4-BE49-F238E27FC236}">
                <a16:creationId xmlns:a16="http://schemas.microsoft.com/office/drawing/2014/main" id="{00000000-0008-0000-0400-0000E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1738</xdr:row>
      <xdr:rowOff>47624</xdr:rowOff>
    </xdr:from>
    <xdr:to>
      <xdr:col>8</xdr:col>
      <xdr:colOff>356235</xdr:colOff>
      <xdr:row>1738</xdr:row>
      <xdr:rowOff>209549</xdr:rowOff>
    </xdr:to>
    <xdr:grpSp>
      <xdr:nvGrpSpPr>
        <xdr:cNvPr id="226" name="Group 225">
          <a:extLst>
            <a:ext uri="{FF2B5EF4-FFF2-40B4-BE49-F238E27FC236}">
              <a16:creationId xmlns:a16="http://schemas.microsoft.com/office/drawing/2014/main" id="{00000000-0008-0000-0400-0000E2000000}"/>
            </a:ext>
          </a:extLst>
        </xdr:cNvPr>
        <xdr:cNvGrpSpPr/>
      </xdr:nvGrpSpPr>
      <xdr:grpSpPr>
        <a:xfrm>
          <a:off x="1739265" y="594045674"/>
          <a:ext cx="3960495" cy="161925"/>
          <a:chOff x="1548765" y="17040224"/>
          <a:chExt cx="3427095" cy="161925"/>
        </a:xfrm>
      </xdr:grpSpPr>
      <xdr:sp macro="" textlink="">
        <xdr:nvSpPr>
          <xdr:cNvPr id="227" name="Rectangle 226">
            <a:extLst>
              <a:ext uri="{FF2B5EF4-FFF2-40B4-BE49-F238E27FC236}">
                <a16:creationId xmlns:a16="http://schemas.microsoft.com/office/drawing/2014/main" id="{00000000-0008-0000-0400-0000E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8" name="Rectangle 227">
            <a:extLst>
              <a:ext uri="{FF2B5EF4-FFF2-40B4-BE49-F238E27FC236}">
                <a16:creationId xmlns:a16="http://schemas.microsoft.com/office/drawing/2014/main" id="{00000000-0008-0000-0400-0000E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9" name="Rectangle 228">
            <a:extLst>
              <a:ext uri="{FF2B5EF4-FFF2-40B4-BE49-F238E27FC236}">
                <a16:creationId xmlns:a16="http://schemas.microsoft.com/office/drawing/2014/main" id="{00000000-0008-0000-0400-0000E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1740</xdr:row>
      <xdr:rowOff>47624</xdr:rowOff>
    </xdr:from>
    <xdr:to>
      <xdr:col>8</xdr:col>
      <xdr:colOff>356235</xdr:colOff>
      <xdr:row>1740</xdr:row>
      <xdr:rowOff>209549</xdr:rowOff>
    </xdr:to>
    <xdr:grpSp>
      <xdr:nvGrpSpPr>
        <xdr:cNvPr id="230" name="Group 229">
          <a:extLst>
            <a:ext uri="{FF2B5EF4-FFF2-40B4-BE49-F238E27FC236}">
              <a16:creationId xmlns:a16="http://schemas.microsoft.com/office/drawing/2014/main" id="{00000000-0008-0000-0400-0000E6000000}"/>
            </a:ext>
          </a:extLst>
        </xdr:cNvPr>
        <xdr:cNvGrpSpPr/>
      </xdr:nvGrpSpPr>
      <xdr:grpSpPr>
        <a:xfrm>
          <a:off x="1739265" y="594655274"/>
          <a:ext cx="3960495" cy="161925"/>
          <a:chOff x="1548765" y="17040224"/>
          <a:chExt cx="3427095" cy="161925"/>
        </a:xfrm>
      </xdr:grpSpPr>
      <xdr:sp macro="" textlink="">
        <xdr:nvSpPr>
          <xdr:cNvPr id="231" name="Rectangle 230">
            <a:extLst>
              <a:ext uri="{FF2B5EF4-FFF2-40B4-BE49-F238E27FC236}">
                <a16:creationId xmlns:a16="http://schemas.microsoft.com/office/drawing/2014/main" id="{00000000-0008-0000-0400-0000E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2" name="Rectangle 231">
            <a:extLst>
              <a:ext uri="{FF2B5EF4-FFF2-40B4-BE49-F238E27FC236}">
                <a16:creationId xmlns:a16="http://schemas.microsoft.com/office/drawing/2014/main" id="{00000000-0008-0000-0400-0000E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3" name="Rectangle 232">
            <a:extLst>
              <a:ext uri="{FF2B5EF4-FFF2-40B4-BE49-F238E27FC236}">
                <a16:creationId xmlns:a16="http://schemas.microsoft.com/office/drawing/2014/main" id="{00000000-0008-0000-0400-0000E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1808</xdr:row>
      <xdr:rowOff>47624</xdr:rowOff>
    </xdr:from>
    <xdr:to>
      <xdr:col>8</xdr:col>
      <xdr:colOff>356235</xdr:colOff>
      <xdr:row>1808</xdr:row>
      <xdr:rowOff>209549</xdr:rowOff>
    </xdr:to>
    <xdr:grpSp>
      <xdr:nvGrpSpPr>
        <xdr:cNvPr id="234" name="Group 233">
          <a:extLst>
            <a:ext uri="{FF2B5EF4-FFF2-40B4-BE49-F238E27FC236}">
              <a16:creationId xmlns:a16="http://schemas.microsoft.com/office/drawing/2014/main" id="{00000000-0008-0000-0400-0000EA000000}"/>
            </a:ext>
          </a:extLst>
        </xdr:cNvPr>
        <xdr:cNvGrpSpPr/>
      </xdr:nvGrpSpPr>
      <xdr:grpSpPr>
        <a:xfrm>
          <a:off x="1739265" y="617905799"/>
          <a:ext cx="3960495" cy="161925"/>
          <a:chOff x="1548765" y="17040224"/>
          <a:chExt cx="3427095" cy="161925"/>
        </a:xfrm>
      </xdr:grpSpPr>
      <xdr:sp macro="" textlink="">
        <xdr:nvSpPr>
          <xdr:cNvPr id="235" name="Rectangle 234">
            <a:extLst>
              <a:ext uri="{FF2B5EF4-FFF2-40B4-BE49-F238E27FC236}">
                <a16:creationId xmlns:a16="http://schemas.microsoft.com/office/drawing/2014/main" id="{00000000-0008-0000-0400-0000E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6" name="Rectangle 235">
            <a:extLst>
              <a:ext uri="{FF2B5EF4-FFF2-40B4-BE49-F238E27FC236}">
                <a16:creationId xmlns:a16="http://schemas.microsoft.com/office/drawing/2014/main" id="{00000000-0008-0000-0400-0000E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7" name="Rectangle 236">
            <a:extLst>
              <a:ext uri="{FF2B5EF4-FFF2-40B4-BE49-F238E27FC236}">
                <a16:creationId xmlns:a16="http://schemas.microsoft.com/office/drawing/2014/main" id="{00000000-0008-0000-0400-0000E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1810</xdr:row>
      <xdr:rowOff>47624</xdr:rowOff>
    </xdr:from>
    <xdr:to>
      <xdr:col>8</xdr:col>
      <xdr:colOff>356235</xdr:colOff>
      <xdr:row>1810</xdr:row>
      <xdr:rowOff>209549</xdr:rowOff>
    </xdr:to>
    <xdr:grpSp>
      <xdr:nvGrpSpPr>
        <xdr:cNvPr id="238" name="Group 237">
          <a:extLst>
            <a:ext uri="{FF2B5EF4-FFF2-40B4-BE49-F238E27FC236}">
              <a16:creationId xmlns:a16="http://schemas.microsoft.com/office/drawing/2014/main" id="{00000000-0008-0000-0400-0000EE000000}"/>
            </a:ext>
          </a:extLst>
        </xdr:cNvPr>
        <xdr:cNvGrpSpPr/>
      </xdr:nvGrpSpPr>
      <xdr:grpSpPr>
        <a:xfrm>
          <a:off x="1739265" y="618515399"/>
          <a:ext cx="3960495" cy="161925"/>
          <a:chOff x="1548765" y="17040224"/>
          <a:chExt cx="3427095" cy="161925"/>
        </a:xfrm>
      </xdr:grpSpPr>
      <xdr:sp macro="" textlink="">
        <xdr:nvSpPr>
          <xdr:cNvPr id="239" name="Rectangle 238">
            <a:extLst>
              <a:ext uri="{FF2B5EF4-FFF2-40B4-BE49-F238E27FC236}">
                <a16:creationId xmlns:a16="http://schemas.microsoft.com/office/drawing/2014/main" id="{00000000-0008-0000-0400-0000E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0" name="Rectangle 239">
            <a:extLst>
              <a:ext uri="{FF2B5EF4-FFF2-40B4-BE49-F238E27FC236}">
                <a16:creationId xmlns:a16="http://schemas.microsoft.com/office/drawing/2014/main" id="{00000000-0008-0000-0400-0000F0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1" name="Rectangle 240">
            <a:extLst>
              <a:ext uri="{FF2B5EF4-FFF2-40B4-BE49-F238E27FC236}">
                <a16:creationId xmlns:a16="http://schemas.microsoft.com/office/drawing/2014/main" id="{00000000-0008-0000-0400-0000F1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1878</xdr:row>
      <xdr:rowOff>47624</xdr:rowOff>
    </xdr:from>
    <xdr:to>
      <xdr:col>8</xdr:col>
      <xdr:colOff>356235</xdr:colOff>
      <xdr:row>1878</xdr:row>
      <xdr:rowOff>209549</xdr:rowOff>
    </xdr:to>
    <xdr:grpSp>
      <xdr:nvGrpSpPr>
        <xdr:cNvPr id="242" name="Group 241">
          <a:extLst>
            <a:ext uri="{FF2B5EF4-FFF2-40B4-BE49-F238E27FC236}">
              <a16:creationId xmlns:a16="http://schemas.microsoft.com/office/drawing/2014/main" id="{00000000-0008-0000-0400-0000F2000000}"/>
            </a:ext>
          </a:extLst>
        </xdr:cNvPr>
        <xdr:cNvGrpSpPr/>
      </xdr:nvGrpSpPr>
      <xdr:grpSpPr>
        <a:xfrm>
          <a:off x="1739265" y="642080249"/>
          <a:ext cx="3960495" cy="161925"/>
          <a:chOff x="1548765" y="17040224"/>
          <a:chExt cx="3427095" cy="161925"/>
        </a:xfrm>
      </xdr:grpSpPr>
      <xdr:sp macro="" textlink="">
        <xdr:nvSpPr>
          <xdr:cNvPr id="243" name="Rectangle 242">
            <a:extLst>
              <a:ext uri="{FF2B5EF4-FFF2-40B4-BE49-F238E27FC236}">
                <a16:creationId xmlns:a16="http://schemas.microsoft.com/office/drawing/2014/main" id="{00000000-0008-0000-0400-0000F3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4" name="Rectangle 243">
            <a:extLst>
              <a:ext uri="{FF2B5EF4-FFF2-40B4-BE49-F238E27FC236}">
                <a16:creationId xmlns:a16="http://schemas.microsoft.com/office/drawing/2014/main" id="{00000000-0008-0000-0400-0000F4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5" name="Rectangle 244">
            <a:extLst>
              <a:ext uri="{FF2B5EF4-FFF2-40B4-BE49-F238E27FC236}">
                <a16:creationId xmlns:a16="http://schemas.microsoft.com/office/drawing/2014/main" id="{00000000-0008-0000-0400-0000F5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1880</xdr:row>
      <xdr:rowOff>47624</xdr:rowOff>
    </xdr:from>
    <xdr:to>
      <xdr:col>8</xdr:col>
      <xdr:colOff>356235</xdr:colOff>
      <xdr:row>1880</xdr:row>
      <xdr:rowOff>209549</xdr:rowOff>
    </xdr:to>
    <xdr:grpSp>
      <xdr:nvGrpSpPr>
        <xdr:cNvPr id="246" name="Group 245">
          <a:extLst>
            <a:ext uri="{FF2B5EF4-FFF2-40B4-BE49-F238E27FC236}">
              <a16:creationId xmlns:a16="http://schemas.microsoft.com/office/drawing/2014/main" id="{00000000-0008-0000-0400-0000F6000000}"/>
            </a:ext>
          </a:extLst>
        </xdr:cNvPr>
        <xdr:cNvGrpSpPr/>
      </xdr:nvGrpSpPr>
      <xdr:grpSpPr>
        <a:xfrm>
          <a:off x="1739265" y="642689849"/>
          <a:ext cx="3960495" cy="161925"/>
          <a:chOff x="1548765" y="17040224"/>
          <a:chExt cx="3427095" cy="161925"/>
        </a:xfrm>
      </xdr:grpSpPr>
      <xdr:sp macro="" textlink="">
        <xdr:nvSpPr>
          <xdr:cNvPr id="247" name="Rectangle 246">
            <a:extLst>
              <a:ext uri="{FF2B5EF4-FFF2-40B4-BE49-F238E27FC236}">
                <a16:creationId xmlns:a16="http://schemas.microsoft.com/office/drawing/2014/main" id="{00000000-0008-0000-0400-0000F7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8" name="Rectangle 247">
            <a:extLst>
              <a:ext uri="{FF2B5EF4-FFF2-40B4-BE49-F238E27FC236}">
                <a16:creationId xmlns:a16="http://schemas.microsoft.com/office/drawing/2014/main" id="{00000000-0008-0000-0400-0000F8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9" name="Rectangle 248">
            <a:extLst>
              <a:ext uri="{FF2B5EF4-FFF2-40B4-BE49-F238E27FC236}">
                <a16:creationId xmlns:a16="http://schemas.microsoft.com/office/drawing/2014/main" id="{00000000-0008-0000-0400-0000F9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1948</xdr:row>
      <xdr:rowOff>47624</xdr:rowOff>
    </xdr:from>
    <xdr:to>
      <xdr:col>8</xdr:col>
      <xdr:colOff>356235</xdr:colOff>
      <xdr:row>1948</xdr:row>
      <xdr:rowOff>209549</xdr:rowOff>
    </xdr:to>
    <xdr:grpSp>
      <xdr:nvGrpSpPr>
        <xdr:cNvPr id="250" name="Group 249">
          <a:extLst>
            <a:ext uri="{FF2B5EF4-FFF2-40B4-BE49-F238E27FC236}">
              <a16:creationId xmlns:a16="http://schemas.microsoft.com/office/drawing/2014/main" id="{00000000-0008-0000-0400-0000FA000000}"/>
            </a:ext>
          </a:extLst>
        </xdr:cNvPr>
        <xdr:cNvGrpSpPr/>
      </xdr:nvGrpSpPr>
      <xdr:grpSpPr>
        <a:xfrm>
          <a:off x="1739265" y="665968949"/>
          <a:ext cx="3960495" cy="161925"/>
          <a:chOff x="1548765" y="17040224"/>
          <a:chExt cx="3427095" cy="161925"/>
        </a:xfrm>
      </xdr:grpSpPr>
      <xdr:sp macro="" textlink="">
        <xdr:nvSpPr>
          <xdr:cNvPr id="251" name="Rectangle 250">
            <a:extLst>
              <a:ext uri="{FF2B5EF4-FFF2-40B4-BE49-F238E27FC236}">
                <a16:creationId xmlns:a16="http://schemas.microsoft.com/office/drawing/2014/main" id="{00000000-0008-0000-0400-0000FB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2" name="Rectangle 251">
            <a:extLst>
              <a:ext uri="{FF2B5EF4-FFF2-40B4-BE49-F238E27FC236}">
                <a16:creationId xmlns:a16="http://schemas.microsoft.com/office/drawing/2014/main" id="{00000000-0008-0000-0400-0000FC00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3" name="Rectangle 252">
            <a:extLst>
              <a:ext uri="{FF2B5EF4-FFF2-40B4-BE49-F238E27FC236}">
                <a16:creationId xmlns:a16="http://schemas.microsoft.com/office/drawing/2014/main" id="{00000000-0008-0000-0400-0000FD00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1950</xdr:row>
      <xdr:rowOff>47624</xdr:rowOff>
    </xdr:from>
    <xdr:to>
      <xdr:col>8</xdr:col>
      <xdr:colOff>356235</xdr:colOff>
      <xdr:row>1950</xdr:row>
      <xdr:rowOff>209549</xdr:rowOff>
    </xdr:to>
    <xdr:grpSp>
      <xdr:nvGrpSpPr>
        <xdr:cNvPr id="254" name="Group 253">
          <a:extLst>
            <a:ext uri="{FF2B5EF4-FFF2-40B4-BE49-F238E27FC236}">
              <a16:creationId xmlns:a16="http://schemas.microsoft.com/office/drawing/2014/main" id="{00000000-0008-0000-0400-0000FE000000}"/>
            </a:ext>
          </a:extLst>
        </xdr:cNvPr>
        <xdr:cNvGrpSpPr/>
      </xdr:nvGrpSpPr>
      <xdr:grpSpPr>
        <a:xfrm>
          <a:off x="1739265" y="666578549"/>
          <a:ext cx="3960495" cy="161925"/>
          <a:chOff x="1548765" y="17040224"/>
          <a:chExt cx="3427095" cy="161925"/>
        </a:xfrm>
      </xdr:grpSpPr>
      <xdr:sp macro="" textlink="">
        <xdr:nvSpPr>
          <xdr:cNvPr id="255" name="Rectangle 254">
            <a:extLst>
              <a:ext uri="{FF2B5EF4-FFF2-40B4-BE49-F238E27FC236}">
                <a16:creationId xmlns:a16="http://schemas.microsoft.com/office/drawing/2014/main" id="{00000000-0008-0000-0400-0000FF00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6" name="Rectangle 255">
            <a:extLst>
              <a:ext uri="{FF2B5EF4-FFF2-40B4-BE49-F238E27FC236}">
                <a16:creationId xmlns:a16="http://schemas.microsoft.com/office/drawing/2014/main" id="{00000000-0008-0000-0400-000000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7" name="Rectangle 256">
            <a:extLst>
              <a:ext uri="{FF2B5EF4-FFF2-40B4-BE49-F238E27FC236}">
                <a16:creationId xmlns:a16="http://schemas.microsoft.com/office/drawing/2014/main" id="{00000000-0008-0000-0400-000001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2018</xdr:row>
      <xdr:rowOff>47624</xdr:rowOff>
    </xdr:from>
    <xdr:to>
      <xdr:col>8</xdr:col>
      <xdr:colOff>356235</xdr:colOff>
      <xdr:row>2018</xdr:row>
      <xdr:rowOff>209549</xdr:rowOff>
    </xdr:to>
    <xdr:grpSp>
      <xdr:nvGrpSpPr>
        <xdr:cNvPr id="258" name="Group 257">
          <a:extLst>
            <a:ext uri="{FF2B5EF4-FFF2-40B4-BE49-F238E27FC236}">
              <a16:creationId xmlns:a16="http://schemas.microsoft.com/office/drawing/2014/main" id="{00000000-0008-0000-0400-000002010000}"/>
            </a:ext>
          </a:extLst>
        </xdr:cNvPr>
        <xdr:cNvGrpSpPr/>
      </xdr:nvGrpSpPr>
      <xdr:grpSpPr>
        <a:xfrm>
          <a:off x="1739265" y="689819549"/>
          <a:ext cx="3960495" cy="161925"/>
          <a:chOff x="1548765" y="17040224"/>
          <a:chExt cx="3427095" cy="161925"/>
        </a:xfrm>
      </xdr:grpSpPr>
      <xdr:sp macro="" textlink="">
        <xdr:nvSpPr>
          <xdr:cNvPr id="259" name="Rectangle 258">
            <a:extLst>
              <a:ext uri="{FF2B5EF4-FFF2-40B4-BE49-F238E27FC236}">
                <a16:creationId xmlns:a16="http://schemas.microsoft.com/office/drawing/2014/main" id="{00000000-0008-0000-0400-000003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0" name="Rectangle 259">
            <a:extLst>
              <a:ext uri="{FF2B5EF4-FFF2-40B4-BE49-F238E27FC236}">
                <a16:creationId xmlns:a16="http://schemas.microsoft.com/office/drawing/2014/main" id="{00000000-0008-0000-0400-000004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1" name="Rectangle 260">
            <a:extLst>
              <a:ext uri="{FF2B5EF4-FFF2-40B4-BE49-F238E27FC236}">
                <a16:creationId xmlns:a16="http://schemas.microsoft.com/office/drawing/2014/main" id="{00000000-0008-0000-0400-000005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2020</xdr:row>
      <xdr:rowOff>47624</xdr:rowOff>
    </xdr:from>
    <xdr:to>
      <xdr:col>8</xdr:col>
      <xdr:colOff>356235</xdr:colOff>
      <xdr:row>2020</xdr:row>
      <xdr:rowOff>209549</xdr:rowOff>
    </xdr:to>
    <xdr:grpSp>
      <xdr:nvGrpSpPr>
        <xdr:cNvPr id="262" name="Group 261">
          <a:extLst>
            <a:ext uri="{FF2B5EF4-FFF2-40B4-BE49-F238E27FC236}">
              <a16:creationId xmlns:a16="http://schemas.microsoft.com/office/drawing/2014/main" id="{00000000-0008-0000-0400-000006010000}"/>
            </a:ext>
          </a:extLst>
        </xdr:cNvPr>
        <xdr:cNvGrpSpPr/>
      </xdr:nvGrpSpPr>
      <xdr:grpSpPr>
        <a:xfrm>
          <a:off x="1739265" y="690429149"/>
          <a:ext cx="3960495" cy="161925"/>
          <a:chOff x="1548765" y="17040224"/>
          <a:chExt cx="3427095" cy="161925"/>
        </a:xfrm>
      </xdr:grpSpPr>
      <xdr:sp macro="" textlink="">
        <xdr:nvSpPr>
          <xdr:cNvPr id="263" name="Rectangle 262">
            <a:extLst>
              <a:ext uri="{FF2B5EF4-FFF2-40B4-BE49-F238E27FC236}">
                <a16:creationId xmlns:a16="http://schemas.microsoft.com/office/drawing/2014/main" id="{00000000-0008-0000-0400-000007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4" name="Rectangle 263">
            <a:extLst>
              <a:ext uri="{FF2B5EF4-FFF2-40B4-BE49-F238E27FC236}">
                <a16:creationId xmlns:a16="http://schemas.microsoft.com/office/drawing/2014/main" id="{00000000-0008-0000-0400-000008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5" name="Rectangle 264">
            <a:extLst>
              <a:ext uri="{FF2B5EF4-FFF2-40B4-BE49-F238E27FC236}">
                <a16:creationId xmlns:a16="http://schemas.microsoft.com/office/drawing/2014/main" id="{00000000-0008-0000-0400-000009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2088</xdr:row>
      <xdr:rowOff>47624</xdr:rowOff>
    </xdr:from>
    <xdr:to>
      <xdr:col>8</xdr:col>
      <xdr:colOff>356235</xdr:colOff>
      <xdr:row>2088</xdr:row>
      <xdr:rowOff>209549</xdr:rowOff>
    </xdr:to>
    <xdr:grpSp>
      <xdr:nvGrpSpPr>
        <xdr:cNvPr id="266" name="Group 265">
          <a:extLst>
            <a:ext uri="{FF2B5EF4-FFF2-40B4-BE49-F238E27FC236}">
              <a16:creationId xmlns:a16="http://schemas.microsoft.com/office/drawing/2014/main" id="{00000000-0008-0000-0400-00000A010000}"/>
            </a:ext>
          </a:extLst>
        </xdr:cNvPr>
        <xdr:cNvGrpSpPr/>
      </xdr:nvGrpSpPr>
      <xdr:grpSpPr>
        <a:xfrm>
          <a:off x="1739265" y="713993999"/>
          <a:ext cx="3960495" cy="161925"/>
          <a:chOff x="1548765" y="17040224"/>
          <a:chExt cx="3427095" cy="161925"/>
        </a:xfrm>
      </xdr:grpSpPr>
      <xdr:sp macro="" textlink="">
        <xdr:nvSpPr>
          <xdr:cNvPr id="267" name="Rectangle 266">
            <a:extLst>
              <a:ext uri="{FF2B5EF4-FFF2-40B4-BE49-F238E27FC236}">
                <a16:creationId xmlns:a16="http://schemas.microsoft.com/office/drawing/2014/main" id="{00000000-0008-0000-0400-00000B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8" name="Rectangle 267">
            <a:extLst>
              <a:ext uri="{FF2B5EF4-FFF2-40B4-BE49-F238E27FC236}">
                <a16:creationId xmlns:a16="http://schemas.microsoft.com/office/drawing/2014/main" id="{00000000-0008-0000-0400-00000C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9" name="Rectangle 268">
            <a:extLst>
              <a:ext uri="{FF2B5EF4-FFF2-40B4-BE49-F238E27FC236}">
                <a16:creationId xmlns:a16="http://schemas.microsoft.com/office/drawing/2014/main" id="{00000000-0008-0000-0400-00000D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2090</xdr:row>
      <xdr:rowOff>47624</xdr:rowOff>
    </xdr:from>
    <xdr:to>
      <xdr:col>8</xdr:col>
      <xdr:colOff>356235</xdr:colOff>
      <xdr:row>2090</xdr:row>
      <xdr:rowOff>209549</xdr:rowOff>
    </xdr:to>
    <xdr:grpSp>
      <xdr:nvGrpSpPr>
        <xdr:cNvPr id="270" name="Group 269">
          <a:extLst>
            <a:ext uri="{FF2B5EF4-FFF2-40B4-BE49-F238E27FC236}">
              <a16:creationId xmlns:a16="http://schemas.microsoft.com/office/drawing/2014/main" id="{00000000-0008-0000-0400-00000E010000}"/>
            </a:ext>
          </a:extLst>
        </xdr:cNvPr>
        <xdr:cNvGrpSpPr/>
      </xdr:nvGrpSpPr>
      <xdr:grpSpPr>
        <a:xfrm>
          <a:off x="1739265" y="714603599"/>
          <a:ext cx="3960495" cy="161925"/>
          <a:chOff x="1548765" y="17040224"/>
          <a:chExt cx="3427095" cy="161925"/>
        </a:xfrm>
      </xdr:grpSpPr>
      <xdr:sp macro="" textlink="">
        <xdr:nvSpPr>
          <xdr:cNvPr id="271" name="Rectangle 270">
            <a:extLst>
              <a:ext uri="{FF2B5EF4-FFF2-40B4-BE49-F238E27FC236}">
                <a16:creationId xmlns:a16="http://schemas.microsoft.com/office/drawing/2014/main" id="{00000000-0008-0000-0400-00000F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2" name="Rectangle 271">
            <a:extLst>
              <a:ext uri="{FF2B5EF4-FFF2-40B4-BE49-F238E27FC236}">
                <a16:creationId xmlns:a16="http://schemas.microsoft.com/office/drawing/2014/main" id="{00000000-0008-0000-0400-000010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3" name="Rectangle 272">
            <a:extLst>
              <a:ext uri="{FF2B5EF4-FFF2-40B4-BE49-F238E27FC236}">
                <a16:creationId xmlns:a16="http://schemas.microsoft.com/office/drawing/2014/main" id="{00000000-0008-0000-0400-000011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2158</xdr:row>
      <xdr:rowOff>47624</xdr:rowOff>
    </xdr:from>
    <xdr:to>
      <xdr:col>8</xdr:col>
      <xdr:colOff>356235</xdr:colOff>
      <xdr:row>2158</xdr:row>
      <xdr:rowOff>209549</xdr:rowOff>
    </xdr:to>
    <xdr:grpSp>
      <xdr:nvGrpSpPr>
        <xdr:cNvPr id="274" name="Group 273">
          <a:extLst>
            <a:ext uri="{FF2B5EF4-FFF2-40B4-BE49-F238E27FC236}">
              <a16:creationId xmlns:a16="http://schemas.microsoft.com/office/drawing/2014/main" id="{00000000-0008-0000-0400-000012010000}"/>
            </a:ext>
          </a:extLst>
        </xdr:cNvPr>
        <xdr:cNvGrpSpPr/>
      </xdr:nvGrpSpPr>
      <xdr:grpSpPr>
        <a:xfrm>
          <a:off x="1739265" y="737606474"/>
          <a:ext cx="3960495" cy="161925"/>
          <a:chOff x="1548765" y="17040224"/>
          <a:chExt cx="3427095" cy="161925"/>
        </a:xfrm>
      </xdr:grpSpPr>
      <xdr:sp macro="" textlink="">
        <xdr:nvSpPr>
          <xdr:cNvPr id="275" name="Rectangle 274">
            <a:extLst>
              <a:ext uri="{FF2B5EF4-FFF2-40B4-BE49-F238E27FC236}">
                <a16:creationId xmlns:a16="http://schemas.microsoft.com/office/drawing/2014/main" id="{00000000-0008-0000-0400-000013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6" name="Rectangle 275">
            <a:extLst>
              <a:ext uri="{FF2B5EF4-FFF2-40B4-BE49-F238E27FC236}">
                <a16:creationId xmlns:a16="http://schemas.microsoft.com/office/drawing/2014/main" id="{00000000-0008-0000-0400-000014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7" name="Rectangle 276">
            <a:extLst>
              <a:ext uri="{FF2B5EF4-FFF2-40B4-BE49-F238E27FC236}">
                <a16:creationId xmlns:a16="http://schemas.microsoft.com/office/drawing/2014/main" id="{00000000-0008-0000-0400-000015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2160</xdr:row>
      <xdr:rowOff>47624</xdr:rowOff>
    </xdr:from>
    <xdr:to>
      <xdr:col>8</xdr:col>
      <xdr:colOff>356235</xdr:colOff>
      <xdr:row>2160</xdr:row>
      <xdr:rowOff>209549</xdr:rowOff>
    </xdr:to>
    <xdr:grpSp>
      <xdr:nvGrpSpPr>
        <xdr:cNvPr id="278" name="Group 277">
          <a:extLst>
            <a:ext uri="{FF2B5EF4-FFF2-40B4-BE49-F238E27FC236}">
              <a16:creationId xmlns:a16="http://schemas.microsoft.com/office/drawing/2014/main" id="{00000000-0008-0000-0400-000016010000}"/>
            </a:ext>
          </a:extLst>
        </xdr:cNvPr>
        <xdr:cNvGrpSpPr/>
      </xdr:nvGrpSpPr>
      <xdr:grpSpPr>
        <a:xfrm>
          <a:off x="1739265" y="738216074"/>
          <a:ext cx="3960495" cy="161925"/>
          <a:chOff x="1548765" y="17040224"/>
          <a:chExt cx="3427095" cy="161925"/>
        </a:xfrm>
      </xdr:grpSpPr>
      <xdr:sp macro="" textlink="">
        <xdr:nvSpPr>
          <xdr:cNvPr id="279" name="Rectangle 278">
            <a:extLst>
              <a:ext uri="{FF2B5EF4-FFF2-40B4-BE49-F238E27FC236}">
                <a16:creationId xmlns:a16="http://schemas.microsoft.com/office/drawing/2014/main" id="{00000000-0008-0000-0400-000017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0" name="Rectangle 279">
            <a:extLst>
              <a:ext uri="{FF2B5EF4-FFF2-40B4-BE49-F238E27FC236}">
                <a16:creationId xmlns:a16="http://schemas.microsoft.com/office/drawing/2014/main" id="{00000000-0008-0000-0400-000018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1" name="Rectangle 280">
            <a:extLst>
              <a:ext uri="{FF2B5EF4-FFF2-40B4-BE49-F238E27FC236}">
                <a16:creationId xmlns:a16="http://schemas.microsoft.com/office/drawing/2014/main" id="{00000000-0008-0000-0400-000019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2228</xdr:row>
      <xdr:rowOff>47624</xdr:rowOff>
    </xdr:from>
    <xdr:to>
      <xdr:col>8</xdr:col>
      <xdr:colOff>356235</xdr:colOff>
      <xdr:row>2228</xdr:row>
      <xdr:rowOff>209549</xdr:rowOff>
    </xdr:to>
    <xdr:grpSp>
      <xdr:nvGrpSpPr>
        <xdr:cNvPr id="282" name="Group 281">
          <a:extLst>
            <a:ext uri="{FF2B5EF4-FFF2-40B4-BE49-F238E27FC236}">
              <a16:creationId xmlns:a16="http://schemas.microsoft.com/office/drawing/2014/main" id="{00000000-0008-0000-0400-00001A010000}"/>
            </a:ext>
          </a:extLst>
        </xdr:cNvPr>
        <xdr:cNvGrpSpPr/>
      </xdr:nvGrpSpPr>
      <xdr:grpSpPr>
        <a:xfrm>
          <a:off x="1739265" y="761609474"/>
          <a:ext cx="3960495" cy="161925"/>
          <a:chOff x="1548765" y="17040224"/>
          <a:chExt cx="3427095" cy="161925"/>
        </a:xfrm>
      </xdr:grpSpPr>
      <xdr:sp macro="" textlink="">
        <xdr:nvSpPr>
          <xdr:cNvPr id="283" name="Rectangle 282">
            <a:extLst>
              <a:ext uri="{FF2B5EF4-FFF2-40B4-BE49-F238E27FC236}">
                <a16:creationId xmlns:a16="http://schemas.microsoft.com/office/drawing/2014/main" id="{00000000-0008-0000-0400-00001B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4" name="Rectangle 283">
            <a:extLst>
              <a:ext uri="{FF2B5EF4-FFF2-40B4-BE49-F238E27FC236}">
                <a16:creationId xmlns:a16="http://schemas.microsoft.com/office/drawing/2014/main" id="{00000000-0008-0000-0400-00001C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5" name="Rectangle 284">
            <a:extLst>
              <a:ext uri="{FF2B5EF4-FFF2-40B4-BE49-F238E27FC236}">
                <a16:creationId xmlns:a16="http://schemas.microsoft.com/office/drawing/2014/main" id="{00000000-0008-0000-0400-00001D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2230</xdr:row>
      <xdr:rowOff>47624</xdr:rowOff>
    </xdr:from>
    <xdr:to>
      <xdr:col>8</xdr:col>
      <xdr:colOff>356235</xdr:colOff>
      <xdr:row>2230</xdr:row>
      <xdr:rowOff>209549</xdr:rowOff>
    </xdr:to>
    <xdr:grpSp>
      <xdr:nvGrpSpPr>
        <xdr:cNvPr id="286" name="Group 285">
          <a:extLst>
            <a:ext uri="{FF2B5EF4-FFF2-40B4-BE49-F238E27FC236}">
              <a16:creationId xmlns:a16="http://schemas.microsoft.com/office/drawing/2014/main" id="{00000000-0008-0000-0400-00001E010000}"/>
            </a:ext>
          </a:extLst>
        </xdr:cNvPr>
        <xdr:cNvGrpSpPr/>
      </xdr:nvGrpSpPr>
      <xdr:grpSpPr>
        <a:xfrm>
          <a:off x="1739265" y="762219074"/>
          <a:ext cx="3960495" cy="161925"/>
          <a:chOff x="1548765" y="17040224"/>
          <a:chExt cx="3427095" cy="161925"/>
        </a:xfrm>
      </xdr:grpSpPr>
      <xdr:sp macro="" textlink="">
        <xdr:nvSpPr>
          <xdr:cNvPr id="287" name="Rectangle 286">
            <a:extLst>
              <a:ext uri="{FF2B5EF4-FFF2-40B4-BE49-F238E27FC236}">
                <a16:creationId xmlns:a16="http://schemas.microsoft.com/office/drawing/2014/main" id="{00000000-0008-0000-0400-00001F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8" name="Rectangle 287">
            <a:extLst>
              <a:ext uri="{FF2B5EF4-FFF2-40B4-BE49-F238E27FC236}">
                <a16:creationId xmlns:a16="http://schemas.microsoft.com/office/drawing/2014/main" id="{00000000-0008-0000-0400-000020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9" name="Rectangle 288">
            <a:extLst>
              <a:ext uri="{FF2B5EF4-FFF2-40B4-BE49-F238E27FC236}">
                <a16:creationId xmlns:a16="http://schemas.microsoft.com/office/drawing/2014/main" id="{00000000-0008-0000-0400-000021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2298</xdr:row>
      <xdr:rowOff>47624</xdr:rowOff>
    </xdr:from>
    <xdr:to>
      <xdr:col>8</xdr:col>
      <xdr:colOff>356235</xdr:colOff>
      <xdr:row>2298</xdr:row>
      <xdr:rowOff>209549</xdr:rowOff>
    </xdr:to>
    <xdr:grpSp>
      <xdr:nvGrpSpPr>
        <xdr:cNvPr id="290" name="Group 289">
          <a:extLst>
            <a:ext uri="{FF2B5EF4-FFF2-40B4-BE49-F238E27FC236}">
              <a16:creationId xmlns:a16="http://schemas.microsoft.com/office/drawing/2014/main" id="{00000000-0008-0000-0400-000022010000}"/>
            </a:ext>
          </a:extLst>
        </xdr:cNvPr>
        <xdr:cNvGrpSpPr/>
      </xdr:nvGrpSpPr>
      <xdr:grpSpPr>
        <a:xfrm>
          <a:off x="1739265" y="785783924"/>
          <a:ext cx="3960495" cy="161925"/>
          <a:chOff x="1548765" y="17040224"/>
          <a:chExt cx="3427095" cy="161925"/>
        </a:xfrm>
      </xdr:grpSpPr>
      <xdr:sp macro="" textlink="">
        <xdr:nvSpPr>
          <xdr:cNvPr id="291" name="Rectangle 290">
            <a:extLst>
              <a:ext uri="{FF2B5EF4-FFF2-40B4-BE49-F238E27FC236}">
                <a16:creationId xmlns:a16="http://schemas.microsoft.com/office/drawing/2014/main" id="{00000000-0008-0000-0400-000023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2" name="Rectangle 291">
            <a:extLst>
              <a:ext uri="{FF2B5EF4-FFF2-40B4-BE49-F238E27FC236}">
                <a16:creationId xmlns:a16="http://schemas.microsoft.com/office/drawing/2014/main" id="{00000000-0008-0000-0400-000024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3" name="Rectangle 292">
            <a:extLst>
              <a:ext uri="{FF2B5EF4-FFF2-40B4-BE49-F238E27FC236}">
                <a16:creationId xmlns:a16="http://schemas.microsoft.com/office/drawing/2014/main" id="{00000000-0008-0000-0400-000025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224790</xdr:colOff>
      <xdr:row>2300</xdr:row>
      <xdr:rowOff>47624</xdr:rowOff>
    </xdr:from>
    <xdr:to>
      <xdr:col>8</xdr:col>
      <xdr:colOff>356235</xdr:colOff>
      <xdr:row>2300</xdr:row>
      <xdr:rowOff>209549</xdr:rowOff>
    </xdr:to>
    <xdr:grpSp>
      <xdr:nvGrpSpPr>
        <xdr:cNvPr id="294" name="Group 293">
          <a:extLst>
            <a:ext uri="{FF2B5EF4-FFF2-40B4-BE49-F238E27FC236}">
              <a16:creationId xmlns:a16="http://schemas.microsoft.com/office/drawing/2014/main" id="{00000000-0008-0000-0400-000026010000}"/>
            </a:ext>
          </a:extLst>
        </xdr:cNvPr>
        <xdr:cNvGrpSpPr/>
      </xdr:nvGrpSpPr>
      <xdr:grpSpPr>
        <a:xfrm>
          <a:off x="1739265" y="786393524"/>
          <a:ext cx="3960495" cy="161925"/>
          <a:chOff x="1548765" y="17040224"/>
          <a:chExt cx="3427095" cy="161925"/>
        </a:xfrm>
      </xdr:grpSpPr>
      <xdr:sp macro="" textlink="">
        <xdr:nvSpPr>
          <xdr:cNvPr id="295" name="Rectangle 294">
            <a:extLst>
              <a:ext uri="{FF2B5EF4-FFF2-40B4-BE49-F238E27FC236}">
                <a16:creationId xmlns:a16="http://schemas.microsoft.com/office/drawing/2014/main" id="{00000000-0008-0000-0400-000027010000}"/>
              </a:ext>
            </a:extLst>
          </xdr:cNvPr>
          <xdr:cNvSpPr/>
        </xdr:nvSpPr>
        <xdr:spPr>
          <a:xfrm>
            <a:off x="154876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6" name="Rectangle 295">
            <a:extLst>
              <a:ext uri="{FF2B5EF4-FFF2-40B4-BE49-F238E27FC236}">
                <a16:creationId xmlns:a16="http://schemas.microsoft.com/office/drawing/2014/main" id="{00000000-0008-0000-0400-000028010000}"/>
              </a:ext>
            </a:extLst>
          </xdr:cNvPr>
          <xdr:cNvSpPr/>
        </xdr:nvSpPr>
        <xdr:spPr>
          <a:xfrm>
            <a:off x="29622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7" name="Rectangle 296">
            <a:extLst>
              <a:ext uri="{FF2B5EF4-FFF2-40B4-BE49-F238E27FC236}">
                <a16:creationId xmlns:a16="http://schemas.microsoft.com/office/drawing/2014/main" id="{00000000-0008-0000-0400-000029010000}"/>
              </a:ext>
            </a:extLst>
          </xdr:cNvPr>
          <xdr:cNvSpPr/>
        </xdr:nvSpPr>
        <xdr:spPr>
          <a:xfrm>
            <a:off x="4791075" y="17040224"/>
            <a:ext cx="184785" cy="161925"/>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1443990</xdr:colOff>
      <xdr:row>85</xdr:row>
      <xdr:rowOff>80460</xdr:rowOff>
    </xdr:from>
    <xdr:to>
      <xdr:col>11</xdr:col>
      <xdr:colOff>371475</xdr:colOff>
      <xdr:row>85</xdr:row>
      <xdr:rowOff>247650</xdr:rowOff>
    </xdr:to>
    <xdr:grpSp>
      <xdr:nvGrpSpPr>
        <xdr:cNvPr id="4" name="Group 3">
          <a:extLst>
            <a:ext uri="{FF2B5EF4-FFF2-40B4-BE49-F238E27FC236}">
              <a16:creationId xmlns:a16="http://schemas.microsoft.com/office/drawing/2014/main" id="{00000000-0008-0000-0500-000004000000}"/>
            </a:ext>
          </a:extLst>
        </xdr:cNvPr>
        <xdr:cNvGrpSpPr/>
      </xdr:nvGrpSpPr>
      <xdr:grpSpPr>
        <a:xfrm>
          <a:off x="2958465" y="22864260"/>
          <a:ext cx="3909060" cy="167190"/>
          <a:chOff x="2767965" y="21025935"/>
          <a:chExt cx="3280410" cy="167190"/>
        </a:xfrm>
      </xdr:grpSpPr>
      <xdr:sp macro="" textlink="">
        <xdr:nvSpPr>
          <xdr:cNvPr id="5" name="Rectangle 4">
            <a:extLst>
              <a:ext uri="{FF2B5EF4-FFF2-40B4-BE49-F238E27FC236}">
                <a16:creationId xmlns:a16="http://schemas.microsoft.com/office/drawing/2014/main" id="{00000000-0008-0000-0500-000005000000}"/>
              </a:ext>
            </a:extLst>
          </xdr:cNvPr>
          <xdr:cNvSpPr/>
        </xdr:nvSpPr>
        <xdr:spPr>
          <a:xfrm>
            <a:off x="2767965"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00000000-0008-0000-0500-000006000000}"/>
              </a:ext>
            </a:extLst>
          </xdr:cNvPr>
          <xdr:cNvSpPr/>
        </xdr:nvSpPr>
        <xdr:spPr>
          <a:xfrm>
            <a:off x="4072890"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00000000-0008-0000-0500-000007000000}"/>
              </a:ext>
            </a:extLst>
          </xdr:cNvPr>
          <xdr:cNvSpPr/>
        </xdr:nvSpPr>
        <xdr:spPr>
          <a:xfrm>
            <a:off x="5854065"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1443990</xdr:colOff>
      <xdr:row>87</xdr:row>
      <xdr:rowOff>61410</xdr:rowOff>
    </xdr:from>
    <xdr:to>
      <xdr:col>11</xdr:col>
      <xdr:colOff>371475</xdr:colOff>
      <xdr:row>87</xdr:row>
      <xdr:rowOff>228600</xdr:rowOff>
    </xdr:to>
    <xdr:grpSp>
      <xdr:nvGrpSpPr>
        <xdr:cNvPr id="8" name="Group 7">
          <a:extLst>
            <a:ext uri="{FF2B5EF4-FFF2-40B4-BE49-F238E27FC236}">
              <a16:creationId xmlns:a16="http://schemas.microsoft.com/office/drawing/2014/main" id="{00000000-0008-0000-0500-000008000000}"/>
            </a:ext>
          </a:extLst>
        </xdr:cNvPr>
        <xdr:cNvGrpSpPr/>
      </xdr:nvGrpSpPr>
      <xdr:grpSpPr>
        <a:xfrm>
          <a:off x="2958465" y="23426235"/>
          <a:ext cx="3909060" cy="167190"/>
          <a:chOff x="2767965" y="21025935"/>
          <a:chExt cx="3280410" cy="167190"/>
        </a:xfrm>
      </xdr:grpSpPr>
      <xdr:sp macro="" textlink="">
        <xdr:nvSpPr>
          <xdr:cNvPr id="9" name="Rectangle 8">
            <a:extLst>
              <a:ext uri="{FF2B5EF4-FFF2-40B4-BE49-F238E27FC236}">
                <a16:creationId xmlns:a16="http://schemas.microsoft.com/office/drawing/2014/main" id="{00000000-0008-0000-0500-000009000000}"/>
              </a:ext>
            </a:extLst>
          </xdr:cNvPr>
          <xdr:cNvSpPr/>
        </xdr:nvSpPr>
        <xdr:spPr>
          <a:xfrm>
            <a:off x="2767965"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00000000-0008-0000-0500-00000A000000}"/>
              </a:ext>
            </a:extLst>
          </xdr:cNvPr>
          <xdr:cNvSpPr/>
        </xdr:nvSpPr>
        <xdr:spPr>
          <a:xfrm>
            <a:off x="4072890"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00000000-0008-0000-0500-00000B000000}"/>
              </a:ext>
            </a:extLst>
          </xdr:cNvPr>
          <xdr:cNvSpPr/>
        </xdr:nvSpPr>
        <xdr:spPr>
          <a:xfrm>
            <a:off x="5854065" y="21025935"/>
            <a:ext cx="194310" cy="16719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63499</xdr:rowOff>
    </xdr:from>
    <xdr:to>
      <xdr:col>8</xdr:col>
      <xdr:colOff>296334</xdr:colOff>
      <xdr:row>4</xdr:row>
      <xdr:rowOff>63499</xdr:rowOff>
    </xdr:to>
    <xdr:cxnSp macro="">
      <xdr:nvCxnSpPr>
        <xdr:cNvPr id="2" name="Straight Connector 1">
          <a:extLst>
            <a:ext uri="{FF2B5EF4-FFF2-40B4-BE49-F238E27FC236}">
              <a16:creationId xmlns:a16="http://schemas.microsoft.com/office/drawing/2014/main" id="{00000000-0008-0000-0600-000002000000}"/>
            </a:ext>
          </a:extLst>
        </xdr:cNvPr>
        <xdr:cNvCxnSpPr/>
      </xdr:nvCxnSpPr>
      <xdr:spPr>
        <a:xfrm>
          <a:off x="2441575" y="730249"/>
          <a:ext cx="199813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Dang%20Hai/Documents/Zalo%20Received%20Files/NGOCGIAUx8/HO&#192;N%20C&#212;NG/NAM%202017/QUY%20IV/Nhat%20ky%20TT26%20.xls" TargetMode="External"/><Relationship Id="rId1" Type="http://schemas.openxmlformats.org/officeDocument/2006/relationships/externalLinkPath" Target="/Users/Dang%20Hai/Documents/Zalo%20Received%20Files/NGOCGIAUx8/HO&#192;N%20C&#212;NG/NAM%202017/QUY%20IV/Nhat%20ky%20TT26%2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Dang%20Hai/Documents/Zalo%20Received%20Files/NGOCGIAUx8/HO&#192;N%20C&#212;NG/N&#258;M%202018/Copy%20of%20Nhung%20trang%20dau-Nhat%20ky.xls" TargetMode="External"/><Relationship Id="rId1" Type="http://schemas.openxmlformats.org/officeDocument/2006/relationships/externalLinkPath" Target="/Users/Dang%20Hai/Documents/Zalo%20Received%20Files/NGOCGIAUx8/HO&#192;N%20C&#212;NG/N&#258;M%202018/Copy%20of%20Nhung%20trang%20dau-Nhat%20ky.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Dang%20Hai/Documents/Zalo%20Received%20Files/Download/58_1507616562.xlsm" TargetMode="External"/><Relationship Id="rId1" Type="http://schemas.openxmlformats.org/officeDocument/2006/relationships/externalLinkPath" Target="/Users/Dang%20Hai/Documents/Zalo%20Received%20Files/Download/58_150761656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Dang%20Hai/Documents/Zalo%20Received%20Files/NGOCGIAUx8/HO&#192;N%20C&#212;NG/N&#258;M%202019/Nhat%20ky%20%202019%20ok.xls" TargetMode="External"/><Relationship Id="rId1" Type="http://schemas.openxmlformats.org/officeDocument/2006/relationships/externalLinkPath" Target="/Users/Dang%20Hai/Documents/Zalo%20Received%20Files/NGOCGIAUx8/HO&#192;N%20C&#212;NG/N&#258;M%202019/Nhat%20ky%20%202019%20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
      <sheetName val="DanhMucMay"/>
      <sheetName val="Thong tin"/>
      <sheetName val="Ky bien ban"/>
      <sheetName val="Danh muc ho so"/>
      <sheetName val="Ts"/>
      <sheetName val="Danh muc NT Vat lieu"/>
      <sheetName val="Lay mau VL"/>
      <sheetName val="NT noi bo vat lieu"/>
      <sheetName val="YCNT vat lieu"/>
      <sheetName val="NT vat lieu"/>
      <sheetName val="Vat lieu nhap ve"/>
      <sheetName val="Danh muc NT cong viec"/>
      <sheetName val="LMTN"/>
      <sheetName val="NT noi bo cong viec"/>
      <sheetName val="YCNT cong viec"/>
      <sheetName val="NT cong viec"/>
      <sheetName val="Bien ban kiem tra be tong"/>
      <sheetName val="BB theo doi do be tong"/>
      <sheetName val="Danh muc NT Giai doan"/>
      <sheetName val="NT noi bo Giai doan"/>
      <sheetName val="YCNT Giai doan"/>
      <sheetName val="NT Giai doan"/>
      <sheetName val="NT noi bo hoan thanh su dung"/>
      <sheetName val="YCNT hoan thanh su dung"/>
      <sheetName val="NT Hoan thanh su dung"/>
      <sheetName val="Ban giao mat bang"/>
      <sheetName val="Thay doi mau"/>
      <sheetName val="Chap thuan mau"/>
      <sheetName val="Thay doi TK"/>
      <sheetName val="Khoi luong"/>
      <sheetName val="Thong ke thep"/>
      <sheetName val="THKL"/>
      <sheetName val="ND Nhat ky"/>
      <sheetName val="Trang 2"/>
      <sheetName val="Tr 1"/>
      <sheetName val="Bìa vh"/>
      <sheetName val="trang VH1"/>
      <sheetName val="Theo doi be tong"/>
      <sheetName val="Quy cach lay mau"/>
      <sheetName val="DMHSHT"/>
      <sheetName val="Cong van den"/>
      <sheetName val="Cong van di"/>
      <sheetName val="Chap thuan mo"/>
      <sheetName val="Kiem tra thiet bi nhan luc"/>
      <sheetName val="Phong thi nghiem hien truong"/>
      <sheetName val="He thong moc"/>
      <sheetName val="Kiem tra dieu kien thi cong"/>
      <sheetName val="Bien ban hien truong"/>
      <sheetName val="Xu ly vi pham hien truong"/>
      <sheetName val="Bao cao chat luong"/>
      <sheetName val="trangvh2"/>
      <sheetName val="dt1"/>
      <sheetName val="dt1 (2)"/>
      <sheetName val="trang dt1"/>
      <sheetName val="dt2"/>
      <sheetName val="dt11"/>
      <sheetName val="dt12"/>
      <sheetName val="trang dt13"/>
      <sheetName val="dt14"/>
      <sheetName val="dt12 (2)"/>
      <sheetName val="dt12 (3)"/>
    </sheetNames>
    <sheetDataSet>
      <sheetData sheetId="0"/>
      <sheetData sheetId="1"/>
      <sheetData sheetId="2">
        <row r="1">
          <cell r="B1" t="str">
            <v>CÁC THÔNG TIN CHUNG</v>
          </cell>
        </row>
        <row r="2">
          <cell r="B2" t="str">
            <v>Dự án:</v>
          </cell>
          <cell r="D2" t="str">
            <v>LẮP ĐẶT HÀNG RÀO THÉP TẠI DẢI PHÂN CÁCH GIỮA TRÊN ĐƯỜNG TRƯỜNG CHINH (ĐOẠN TỪ NGÃ TƯ AN SƯƠNG ĐẾN CẦU THAM LƯƠNG)</v>
          </cell>
        </row>
        <row r="3">
          <cell r="B3" t="str">
            <v>Công trình:</v>
          </cell>
          <cell r="D3" t="str">
            <v>LẮP ĐẶT HÀNG RÀO THÉP TẠI DẢI PHÂN CÁCH GIỮA TRÊN ĐƯỜNG TRƯỜNG CHINH (ĐOẠN TỪ NGÃ TƯ AN SƯƠNG ĐẾN CẦU THAM LƯƠNG)</v>
          </cell>
        </row>
        <row r="4">
          <cell r="B4" t="str">
            <v>Hạng mục:</v>
          </cell>
          <cell r="D4" t="str">
            <v>DẢI PHÂN CÁCH, TIỂU ĐẢO</v>
          </cell>
        </row>
        <row r="5">
          <cell r="B5" t="str">
            <v>Gói thầu:</v>
          </cell>
          <cell r="D5" t="str">
            <v>Xây lắp</v>
          </cell>
        </row>
        <row r="6">
          <cell r="B6" t="str">
            <v>Hợp đồng số:</v>
          </cell>
          <cell r="D6" t="str">
            <v>01042014GXD-HCM</v>
          </cell>
        </row>
        <row r="7">
          <cell r="B7" t="str">
            <v>Địa điểm xây dựng</v>
          </cell>
          <cell r="D7" t="str">
            <v>Quận 12 - Tp. Hồ Chí Minh</v>
          </cell>
        </row>
        <row r="8">
          <cell r="B8" t="str">
            <v>Tỉnh / Thành phố</v>
          </cell>
          <cell r="D8" t="str">
            <v>Hồ Chí Minh</v>
          </cell>
        </row>
        <row r="10">
          <cell r="B10" t="str">
            <v>Chủ đầu tư</v>
          </cell>
          <cell r="D10" t="str">
            <v>Khu Quản lý giao thông đô thị số 3</v>
          </cell>
        </row>
        <row r="11">
          <cell r="B11" t="str">
            <v>Địa chỉ:</v>
          </cell>
          <cell r="D11" t="str">
            <v>Số 1002 Quốc lộ 1, Phường Thạnh Xuân, Quận 12</v>
          </cell>
        </row>
        <row r="12">
          <cell r="D12" t="str">
            <v>Tel:</v>
          </cell>
          <cell r="E12" t="str">
            <v>08.388834633</v>
          </cell>
          <cell r="F12" t="str">
            <v>Fax:</v>
          </cell>
          <cell r="G12" t="str">
            <v>08.388834633</v>
          </cell>
        </row>
        <row r="13">
          <cell r="B13" t="str">
            <v xml:space="preserve"> Chủ đầu tư</v>
          </cell>
          <cell r="C13">
            <v>3</v>
          </cell>
          <cell r="D13" t="str">
            <v>Ông (Bà):</v>
          </cell>
          <cell r="E13" t="str">
            <v>Võ Khánh Hưng</v>
          </cell>
          <cell r="F13" t="str">
            <v>Chức vụ:</v>
          </cell>
          <cell r="G13" t="str">
            <v>Giám Đốc</v>
          </cell>
        </row>
        <row r="14">
          <cell r="D14" t="str">
            <v>Ông (Bà):</v>
          </cell>
          <cell r="E14" t="str">
            <v>Trịnh Linh Phương</v>
          </cell>
          <cell r="F14" t="str">
            <v>Chức vụ:</v>
          </cell>
          <cell r="G14" t="str">
            <v>Phó GĐ</v>
          </cell>
        </row>
        <row r="15">
          <cell r="D15" t="str">
            <v>Ông (Bà):</v>
          </cell>
          <cell r="E15" t="str">
            <v>Phạm Ngọc Dũng</v>
          </cell>
          <cell r="F15" t="str">
            <v>Chức vụ:</v>
          </cell>
          <cell r="G15" t="str">
            <v>Phó GĐ</v>
          </cell>
        </row>
        <row r="16">
          <cell r="D16" t="str">
            <v>Ông (Bà):</v>
          </cell>
          <cell r="E16" t="str">
            <v>Huỳnh Thị Nga</v>
          </cell>
          <cell r="F16" t="str">
            <v>Chức vụ:</v>
          </cell>
          <cell r="G16" t="str">
            <v>Phó GĐ</v>
          </cell>
        </row>
        <row r="17">
          <cell r="D17" t="str">
            <v>Ông (Bà):</v>
          </cell>
          <cell r="F17" t="str">
            <v>Chức vụ:</v>
          </cell>
        </row>
        <row r="18">
          <cell r="D18" t="str">
            <v>Ông (Bà):</v>
          </cell>
          <cell r="F18" t="str">
            <v>Chức vụ:</v>
          </cell>
        </row>
        <row r="19">
          <cell r="D19" t="str">
            <v>Ông (Bà):</v>
          </cell>
          <cell r="F19" t="str">
            <v>Chức vụ:</v>
          </cell>
        </row>
        <row r="20">
          <cell r="D20" t="str">
            <v>Ông (Bà):</v>
          </cell>
          <cell r="F20" t="str">
            <v>Chức vụ:</v>
          </cell>
        </row>
        <row r="22">
          <cell r="B22" t="str">
            <v>Nhà đầu tư</v>
          </cell>
        </row>
        <row r="23">
          <cell r="B23" t="str">
            <v>Địa chỉ:</v>
          </cell>
        </row>
        <row r="24">
          <cell r="D24" t="str">
            <v>Tel:</v>
          </cell>
          <cell r="E24" t="str">
            <v>04.35682482</v>
          </cell>
          <cell r="F24" t="str">
            <v>Fax:</v>
          </cell>
          <cell r="G24" t="str">
            <v>04.35682483</v>
          </cell>
        </row>
        <row r="25">
          <cell r="B25" t="str">
            <v xml:space="preserve"> Nhà đầu tư</v>
          </cell>
          <cell r="C25">
            <v>1</v>
          </cell>
          <cell r="D25" t="str">
            <v>Ông (Bà):</v>
          </cell>
          <cell r="F25" t="str">
            <v>Chức vụ:</v>
          </cell>
          <cell r="G25" t="str">
            <v>Trưởng ban QLXD</v>
          </cell>
        </row>
        <row r="26">
          <cell r="D26" t="str">
            <v>Ông (Bà):</v>
          </cell>
          <cell r="F26" t="str">
            <v>Chức vụ:</v>
          </cell>
          <cell r="G26" t="str">
            <v>Phó Trưởng ban QLXD</v>
          </cell>
        </row>
        <row r="27">
          <cell r="D27" t="str">
            <v>Ông (Bà):</v>
          </cell>
          <cell r="F27" t="str">
            <v>Chức vụ:</v>
          </cell>
        </row>
        <row r="28">
          <cell r="D28" t="str">
            <v>Ông (Bà):</v>
          </cell>
          <cell r="E28" t="str">
            <v/>
          </cell>
          <cell r="F28" t="str">
            <v>Chức vụ:</v>
          </cell>
        </row>
        <row r="29">
          <cell r="D29" t="str">
            <v>Ông (Bà):</v>
          </cell>
          <cell r="F29" t="str">
            <v>Chức vụ:</v>
          </cell>
        </row>
        <row r="30">
          <cell r="D30" t="str">
            <v>Ông (Bà):</v>
          </cell>
          <cell r="F30" t="str">
            <v>Chức vụ:</v>
          </cell>
        </row>
        <row r="31">
          <cell r="D31" t="str">
            <v>Ông (Bà):</v>
          </cell>
          <cell r="F31" t="str">
            <v>Chức vụ:</v>
          </cell>
        </row>
        <row r="32">
          <cell r="D32" t="str">
            <v>Ông (Bà):</v>
          </cell>
          <cell r="F32" t="str">
            <v>Chức vụ:</v>
          </cell>
        </row>
        <row r="34">
          <cell r="B34" t="str">
            <v>Ban Quản lý dự án</v>
          </cell>
          <cell r="D34" t="str">
            <v>Ban Quản lý dự án 2</v>
          </cell>
        </row>
        <row r="35">
          <cell r="B35" t="str">
            <v>Địa chỉ:</v>
          </cell>
          <cell r="D35" t="str">
            <v>Số 1002 Quốc lộ 1, Phường Thạnh Xuân, Quận 12</v>
          </cell>
        </row>
        <row r="36">
          <cell r="D36" t="str">
            <v>Tel:</v>
          </cell>
          <cell r="E36" t="str">
            <v>04.35682482</v>
          </cell>
          <cell r="F36" t="str">
            <v>Fax:</v>
          </cell>
          <cell r="G36" t="str">
            <v>04.35682483</v>
          </cell>
        </row>
        <row r="37">
          <cell r="B37" t="str">
            <v xml:space="preserve"> Ban Quản lý dự án</v>
          </cell>
          <cell r="C37">
            <v>2</v>
          </cell>
          <cell r="D37" t="str">
            <v>Ông (Bà):</v>
          </cell>
          <cell r="E37" t="str">
            <v>Trần Văn Độ</v>
          </cell>
          <cell r="F37" t="str">
            <v>Chức vụ:</v>
          </cell>
          <cell r="G37" t="str">
            <v>Trưởng ban QLDA2</v>
          </cell>
        </row>
        <row r="38">
          <cell r="D38" t="str">
            <v>Ông (Bà):</v>
          </cell>
          <cell r="E38" t="str">
            <v>Đoàn Thị Phương Thanh</v>
          </cell>
          <cell r="F38" t="str">
            <v>Chức vụ:</v>
          </cell>
          <cell r="G38" t="str">
            <v>CB BQLDA2</v>
          </cell>
        </row>
        <row r="39">
          <cell r="D39" t="str">
            <v>Ông (Bà):</v>
          </cell>
          <cell r="E39" t="str">
            <v>Huỳnh Văn Thức</v>
          </cell>
          <cell r="F39" t="str">
            <v>Chức vụ:</v>
          </cell>
          <cell r="G39" t="str">
            <v>CB BQLDA2</v>
          </cell>
        </row>
        <row r="40">
          <cell r="D40" t="str">
            <v>Ông (Bà):</v>
          </cell>
          <cell r="F40" t="str">
            <v>Chức vụ:</v>
          </cell>
        </row>
        <row r="41">
          <cell r="D41" t="str">
            <v>Ông (Bà):</v>
          </cell>
          <cell r="F41" t="str">
            <v>Chức vụ:</v>
          </cell>
        </row>
        <row r="42">
          <cell r="D42" t="str">
            <v>Ông (Bà):</v>
          </cell>
          <cell r="F42" t="str">
            <v>Chức vụ:</v>
          </cell>
        </row>
        <row r="43">
          <cell r="D43" t="str">
            <v>Ông (Bà):</v>
          </cell>
          <cell r="F43" t="str">
            <v>Chức vụ:</v>
          </cell>
        </row>
        <row r="44">
          <cell r="D44" t="str">
            <v>Ông (Bà):</v>
          </cell>
          <cell r="F44" t="str">
            <v>Chức vụ:</v>
          </cell>
        </row>
        <row r="46">
          <cell r="B46" t="str">
            <v>Tư vấn giám sát</v>
          </cell>
          <cell r="D46" t="str">
            <v>Trung tâm SX phần mềm Quản lý hồ sơ nghiệm thu</v>
          </cell>
        </row>
        <row r="47">
          <cell r="B47" t="str">
            <v>Địa chỉ:</v>
          </cell>
          <cell r="D47" t="str">
            <v>Số 2a/55, Nguyễn Ngọc Nại</v>
          </cell>
        </row>
        <row r="48">
          <cell r="B48" t="str">
            <v>Giấy phép thành lập:</v>
          </cell>
        </row>
        <row r="49">
          <cell r="B49" t="str">
            <v>Chứng nhận Kinh doanh:</v>
          </cell>
        </row>
        <row r="50">
          <cell r="B50" t="str">
            <v>Chứng chỉ hành nghề:</v>
          </cell>
        </row>
        <row r="51">
          <cell r="D51" t="str">
            <v>Tel:</v>
          </cell>
          <cell r="F51" t="str">
            <v>Fax:</v>
          </cell>
        </row>
        <row r="52">
          <cell r="B52" t="str">
            <v xml:space="preserve"> Tư vấn giám sát</v>
          </cell>
          <cell r="C52">
            <v>4</v>
          </cell>
          <cell r="D52" t="str">
            <v>Ông (Bà):</v>
          </cell>
          <cell r="E52" t="str">
            <v>Trần Hoàng Linh</v>
          </cell>
          <cell r="F52" t="str">
            <v>Chức vụ:</v>
          </cell>
          <cell r="G52" t="str">
            <v>CB TVGS</v>
          </cell>
        </row>
        <row r="53">
          <cell r="D53" t="str">
            <v>Ông (Bà):</v>
          </cell>
          <cell r="E53" t="str">
            <v>Hoàng Nguyên Thành</v>
          </cell>
          <cell r="F53" t="str">
            <v>Chức vụ:</v>
          </cell>
          <cell r="G53" t="str">
            <v>CB TVGS</v>
          </cell>
        </row>
        <row r="54">
          <cell r="D54" t="str">
            <v>Ông (Bà):</v>
          </cell>
          <cell r="E54" t="str">
            <v>Nguyễn Thanh Tùng</v>
          </cell>
          <cell r="F54" t="str">
            <v>Chức vụ:</v>
          </cell>
          <cell r="G54" t="str">
            <v>Giám Đốc</v>
          </cell>
        </row>
        <row r="55">
          <cell r="D55" t="str">
            <v>Ông (Bà):</v>
          </cell>
          <cell r="E55" t="str">
            <v>Nguyễn Văn Hoàng</v>
          </cell>
          <cell r="F55" t="str">
            <v>Chức vụ:</v>
          </cell>
          <cell r="G55" t="str">
            <v>CB TVGS</v>
          </cell>
        </row>
        <row r="56">
          <cell r="D56" t="str">
            <v>Ông (Bà):</v>
          </cell>
          <cell r="F56" t="str">
            <v>Chức vụ:</v>
          </cell>
        </row>
        <row r="58">
          <cell r="B58" t="str">
            <v>Nhà thầu thi công</v>
          </cell>
          <cell r="D58" t="str">
            <v>Công ty CP Công trình giao thông Sài Gòn</v>
          </cell>
        </row>
        <row r="59">
          <cell r="B59" t="str">
            <v>Địa chỉ:</v>
          </cell>
          <cell r="D59" t="str">
            <v>132, Đường Đào Duy Từ, Phường 6, Quận 10, Tp. Hồ Chí Minh</v>
          </cell>
        </row>
        <row r="60">
          <cell r="B60" t="str">
            <v>Giấy phép thành lập:</v>
          </cell>
        </row>
        <row r="61">
          <cell r="B61" t="str">
            <v>Chứng nhận Kinh doanh:</v>
          </cell>
          <cell r="H61">
            <v>0</v>
          </cell>
        </row>
        <row r="62">
          <cell r="B62" t="str">
            <v>Chứng chỉ hành nghề:</v>
          </cell>
        </row>
        <row r="63">
          <cell r="D63" t="str">
            <v>Tel:</v>
          </cell>
          <cell r="F63" t="str">
            <v>Fax:</v>
          </cell>
        </row>
        <row r="64">
          <cell r="B64" t="str">
            <v xml:space="preserve"> Nhà thầu thi công</v>
          </cell>
          <cell r="C64">
            <v>6</v>
          </cell>
          <cell r="D64" t="str">
            <v>Ông (Bà):</v>
          </cell>
          <cell r="E64" t="str">
            <v>Hoàng Anh Giao</v>
          </cell>
          <cell r="F64" t="str">
            <v>Chức vụ:</v>
          </cell>
          <cell r="G64" t="str">
            <v>Giám đốc</v>
          </cell>
        </row>
        <row r="65">
          <cell r="D65" t="str">
            <v>Ông (Bà):</v>
          </cell>
          <cell r="E65" t="str">
            <v>Nguyễn Đình Tuấn</v>
          </cell>
          <cell r="F65" t="str">
            <v>Chức vụ:</v>
          </cell>
          <cell r="G65" t="str">
            <v>Chỉ huy trưởng</v>
          </cell>
        </row>
        <row r="66">
          <cell r="D66" t="str">
            <v>Ông (Bà):</v>
          </cell>
          <cell r="E66" t="str">
            <v>Nguyễn Văn Thắng</v>
          </cell>
          <cell r="F66" t="str">
            <v>Chức vụ:</v>
          </cell>
          <cell r="G66" t="str">
            <v>Chỉ huy phó</v>
          </cell>
        </row>
        <row r="67">
          <cell r="D67" t="str">
            <v>Ông (Bà):</v>
          </cell>
          <cell r="E67" t="str">
            <v>Trần Quốc Toản</v>
          </cell>
          <cell r="F67" t="str">
            <v>Chức vụ:</v>
          </cell>
          <cell r="G67" t="str">
            <v>KSCL</v>
          </cell>
        </row>
        <row r="68">
          <cell r="D68" t="str">
            <v>Ông (Bà):</v>
          </cell>
          <cell r="E68" t="str">
            <v>Trịnh Hoàng</v>
          </cell>
          <cell r="F68" t="str">
            <v>Chức vụ:</v>
          </cell>
          <cell r="G68" t="str">
            <v>CBKT</v>
          </cell>
        </row>
        <row r="69">
          <cell r="D69" t="str">
            <v>Ông (Bà):</v>
          </cell>
          <cell r="E69" t="str">
            <v>Phạm Văn Đực</v>
          </cell>
          <cell r="F69" t="str">
            <v>Chức vụ:</v>
          </cell>
          <cell r="G69" t="str">
            <v>CBKT</v>
          </cell>
        </row>
        <row r="70">
          <cell r="D70" t="str">
            <v>Ông (Bà):</v>
          </cell>
          <cell r="F70" t="str">
            <v>Chức vụ:</v>
          </cell>
        </row>
        <row r="72">
          <cell r="B72" t="str">
            <v>Đơn vị thí nghiệm</v>
          </cell>
          <cell r="D72" t="str">
            <v>Phòng las số 925</v>
          </cell>
        </row>
        <row r="73">
          <cell r="B73" t="str">
            <v>Địa chỉ:</v>
          </cell>
        </row>
        <row r="74">
          <cell r="B74" t="str">
            <v>Giấy phép thành lập:</v>
          </cell>
        </row>
        <row r="75">
          <cell r="B75" t="str">
            <v>Chứng nhận Kinh doanh:</v>
          </cell>
        </row>
        <row r="76">
          <cell r="B76" t="str">
            <v>Chứng chỉ hành nghề:</v>
          </cell>
        </row>
        <row r="77">
          <cell r="D77" t="str">
            <v>Tel:</v>
          </cell>
          <cell r="F77" t="str">
            <v>Fax:</v>
          </cell>
        </row>
        <row r="78">
          <cell r="B78" t="str">
            <v xml:space="preserve"> Đơn vị thí nghiệm</v>
          </cell>
          <cell r="C78">
            <v>3</v>
          </cell>
          <cell r="D78" t="str">
            <v>Ông (Bà):</v>
          </cell>
          <cell r="E78" t="str">
            <v>Thí Văn Nghiệm</v>
          </cell>
          <cell r="F78" t="str">
            <v>Chức vụ:</v>
          </cell>
          <cell r="G78" t="str">
            <v>CB Thí nghiệm</v>
          </cell>
        </row>
        <row r="79">
          <cell r="D79" t="str">
            <v>Ông (Bà):</v>
          </cell>
          <cell r="E79" t="str">
            <v>Trần Văn Châu</v>
          </cell>
          <cell r="F79" t="str">
            <v>Chức vụ:</v>
          </cell>
          <cell r="G79" t="str">
            <v>CB Thí nghiệm</v>
          </cell>
        </row>
        <row r="80">
          <cell r="D80" t="str">
            <v>Ông (Bà):</v>
          </cell>
          <cell r="E80" t="str">
            <v>Nguyễn Văn A</v>
          </cell>
          <cell r="F80" t="str">
            <v>Chức vụ:</v>
          </cell>
          <cell r="G80" t="str">
            <v>CB Thí nghiệm</v>
          </cell>
        </row>
        <row r="82">
          <cell r="B82" t="str">
            <v>Tư vấn thiết kế</v>
          </cell>
          <cell r="D82" t="str">
            <v>Công ty TNHH Tư vấn thiết kế B.R</v>
          </cell>
        </row>
        <row r="83">
          <cell r="B83" t="str">
            <v>Địa chỉ:</v>
          </cell>
        </row>
        <row r="84">
          <cell r="B84" t="str">
            <v>Giấy phép thành lập:</v>
          </cell>
          <cell r="D84" t="str">
            <v xml:space="preserve">Giấy phép số </v>
          </cell>
        </row>
        <row r="85">
          <cell r="B85" t="str">
            <v>Chứng nhận Kinh doanh:</v>
          </cell>
        </row>
        <row r="86">
          <cell r="B86" t="str">
            <v>Chứng chỉ hành nghề:</v>
          </cell>
        </row>
        <row r="87">
          <cell r="D87" t="str">
            <v>Tel:</v>
          </cell>
          <cell r="F87" t="str">
            <v>Fax:</v>
          </cell>
        </row>
        <row r="88">
          <cell r="B88" t="str">
            <v xml:space="preserve"> Tư vấn thiết kế</v>
          </cell>
          <cell r="C88">
            <v>2</v>
          </cell>
          <cell r="D88" t="str">
            <v>Ông (Bà):</v>
          </cell>
          <cell r="E88" t="str">
            <v>Mai Chí Linh</v>
          </cell>
          <cell r="F88" t="str">
            <v>Chức vụ:</v>
          </cell>
          <cell r="G88" t="str">
            <v>Giám đốc</v>
          </cell>
        </row>
        <row r="89">
          <cell r="D89" t="str">
            <v>Ông (Bà):</v>
          </cell>
          <cell r="E89" t="str">
            <v>Phạm Văn Thắng</v>
          </cell>
          <cell r="F89" t="str">
            <v>Chức vụ:</v>
          </cell>
          <cell r="G89" t="str">
            <v>Chủ trì</v>
          </cell>
        </row>
        <row r="90">
          <cell r="D90" t="str">
            <v>Ông (Bà):</v>
          </cell>
          <cell r="F90" t="str">
            <v>Chức vụ:</v>
          </cell>
        </row>
        <row r="92">
          <cell r="B92" t="str">
            <v>Đơn vị cung cấp vật tư, thiết bị</v>
          </cell>
        </row>
        <row r="93">
          <cell r="B93" t="str">
            <v>Địa chỉ:</v>
          </cell>
        </row>
        <row r="94">
          <cell r="B94" t="str">
            <v>Giấy phép thành lập:</v>
          </cell>
        </row>
        <row r="95">
          <cell r="B95" t="str">
            <v>Chứng nhận Kinh doanh:</v>
          </cell>
        </row>
        <row r="96">
          <cell r="B96" t="str">
            <v>Chứng chỉ hành nghề:</v>
          </cell>
        </row>
        <row r="97">
          <cell r="D97" t="str">
            <v>Tel:</v>
          </cell>
          <cell r="F97" t="str">
            <v>Fax:</v>
          </cell>
        </row>
        <row r="98">
          <cell r="B98" t="str">
            <v xml:space="preserve"> Đơn vị cung cấp vật tư, thiết bị</v>
          </cell>
          <cell r="D98" t="str">
            <v>Ông (Bà):</v>
          </cell>
          <cell r="F98" t="str">
            <v>Chức vụ:</v>
          </cell>
        </row>
        <row r="99">
          <cell r="D99" t="str">
            <v>Ông (Bà):</v>
          </cell>
          <cell r="F99" t="str">
            <v>Chức vụ:</v>
          </cell>
        </row>
        <row r="101">
          <cell r="B101" t="str">
            <v>Thành phần khác</v>
          </cell>
        </row>
        <row r="102">
          <cell r="B102" t="str">
            <v xml:space="preserve"> Thành phần khác</v>
          </cell>
          <cell r="C102">
            <v>3</v>
          </cell>
          <cell r="D102" t="str">
            <v>Ông (Bà):</v>
          </cell>
          <cell r="E102" t="str">
            <v>Dương Minh Đức</v>
          </cell>
          <cell r="F102" t="str">
            <v>Chức vụ:</v>
          </cell>
          <cell r="G102" t="str">
            <v>Tổ trưởng thi công</v>
          </cell>
        </row>
        <row r="103">
          <cell r="D103" t="str">
            <v>Ông (Bà):</v>
          </cell>
          <cell r="E103" t="str">
            <v>Bùi Hương Giang</v>
          </cell>
          <cell r="F103" t="str">
            <v>Chức vụ:</v>
          </cell>
          <cell r="G103" t="str">
            <v>Quản lý Dữ liệu</v>
          </cell>
        </row>
        <row r="104">
          <cell r="D104" t="str">
            <v>Ông (Bà):</v>
          </cell>
          <cell r="E104" t="str">
            <v>Trần Thị Liệu</v>
          </cell>
          <cell r="F104" t="str">
            <v>Chức vụ:</v>
          </cell>
          <cell r="G104" t="str">
            <v>Cán bộ Dữ liệu</v>
          </cell>
        </row>
        <row r="105">
          <cell r="D105" t="str">
            <v>Ông (Bà):</v>
          </cell>
          <cell r="F105" t="str">
            <v>Chức vụ:</v>
          </cell>
        </row>
        <row r="106">
          <cell r="D106" t="str">
            <v>Ông (Bà):</v>
          </cell>
          <cell r="F106" t="str">
            <v>Chức vụ:</v>
          </cell>
        </row>
        <row r="107">
          <cell r="D107" t="str">
            <v>Ông (Bà):</v>
          </cell>
          <cell r="F107" t="str">
            <v>Chức vụ:</v>
          </cell>
        </row>
        <row r="108">
          <cell r="D108" t="str">
            <v>Ông (Bà):</v>
          </cell>
          <cell r="F108" t="str">
            <v>Chức vụ:</v>
          </cell>
        </row>
        <row r="109">
          <cell r="D109" t="str">
            <v>Ông (Bà):</v>
          </cell>
          <cell r="F109" t="str">
            <v>Chức vụ:</v>
          </cell>
        </row>
        <row r="110">
          <cell r="D110" t="str">
            <v>Ông (Bà):</v>
          </cell>
          <cell r="F110" t="str">
            <v>Chức vụ:</v>
          </cell>
        </row>
        <row r="111">
          <cell r="D111" t="str">
            <v>Ông (Bà):</v>
          </cell>
          <cell r="F111" t="str">
            <v>Chức vụ:</v>
          </cell>
        </row>
        <row r="116">
          <cell r="B116" t="str">
            <v xml:space="preserve"> Chủ đầu tư</v>
          </cell>
        </row>
        <row r="117">
          <cell r="B117" t="str">
            <v xml:space="preserve"> Nhà đầu tư</v>
          </cell>
        </row>
        <row r="118">
          <cell r="B118" t="str">
            <v xml:space="preserve"> Ban Quản lý dự án</v>
          </cell>
        </row>
        <row r="119">
          <cell r="B119" t="str">
            <v xml:space="preserve"> Tư vấn giám sát</v>
          </cell>
        </row>
        <row r="120">
          <cell r="B120" t="str">
            <v xml:space="preserve"> Nhà thầu thi công</v>
          </cell>
        </row>
        <row r="121">
          <cell r="B121" t="str">
            <v xml:space="preserve"> Đơn vị thí nghiệm</v>
          </cell>
        </row>
        <row r="122">
          <cell r="B122" t="str">
            <v xml:space="preserve"> Tư vấn thiết kế</v>
          </cell>
        </row>
        <row r="123">
          <cell r="B123" t="str">
            <v xml:space="preserve"> Đơn vị cung cấp vật tư, thiết bị</v>
          </cell>
        </row>
      </sheetData>
      <sheetData sheetId="3">
        <row r="4">
          <cell r="C4" t="str">
            <v>Trần Hoàng Linh</v>
          </cell>
        </row>
        <row r="5">
          <cell r="C5" t="str">
            <v>Trịnh Hoàng</v>
          </cell>
        </row>
        <row r="6">
          <cell r="C6" t="str">
            <v>Trần Văn Châu</v>
          </cell>
        </row>
        <row r="11">
          <cell r="C11" t="str">
            <v>Nguyễn Văn Thắng</v>
          </cell>
          <cell r="D11" t="str">
            <v>Trần Đăng Khoa</v>
          </cell>
        </row>
        <row r="12">
          <cell r="C12" t="str">
            <v>Trần Quốc Toản</v>
          </cell>
          <cell r="D12" t="str">
            <v>Nguyễn Đình Tuấn</v>
          </cell>
        </row>
        <row r="13">
          <cell r="C13" t="str">
            <v>Hoàng Nguyên Thành</v>
          </cell>
        </row>
        <row r="14">
          <cell r="C14" t="str">
            <v>Nguyễn Văn Hoàng</v>
          </cell>
        </row>
        <row r="20">
          <cell r="C20" t="str">
            <v>Trần Hoàng Linh</v>
          </cell>
          <cell r="D20" t="str">
            <v>Nguyễn Thanh Tùng</v>
          </cell>
        </row>
        <row r="21">
          <cell r="C21" t="str">
            <v>Trần Đăng Khoa</v>
          </cell>
          <cell r="D21" t="str">
            <v>Trần Đăng Khoa</v>
          </cell>
        </row>
        <row r="27">
          <cell r="C27" t="str">
            <v>Nguyễn Thái Anh</v>
          </cell>
          <cell r="D27" t="str">
            <v>Nguyễn Thái Anh</v>
          </cell>
        </row>
        <row r="28">
          <cell r="C28" t="str">
            <v>Trần Hoàng Linh</v>
          </cell>
          <cell r="D28" t="str">
            <v>Nguyễn Thanh Tùng</v>
          </cell>
        </row>
        <row r="29">
          <cell r="C29" t="str">
            <v>Trịnh Hoàng</v>
          </cell>
          <cell r="D29" t="str">
            <v>Trần Đăng Khoa</v>
          </cell>
        </row>
      </sheetData>
      <sheetData sheetId="4"/>
      <sheetData sheetId="5">
        <row r="3">
          <cell r="B3" t="str">
            <v>Dự án:</v>
          </cell>
        </row>
        <row r="4">
          <cell r="B4" t="str">
            <v>TRỤ SỞ PHÂN PHỐI VÀ CÀI ĐẶT PHẦN MỀM QLCL CÔNG TRÌNH GXD</v>
          </cell>
        </row>
        <row r="5">
          <cell r="B5" t="str">
            <v>Công trình:</v>
          </cell>
        </row>
        <row r="6">
          <cell r="B6" t="str">
            <v>VĂN PHÒNG PHÂN PHỐI VÀ CÀI ĐẶT SỐ 2A/55, NGUYỄN NGỌC NẠI</v>
          </cell>
        </row>
        <row r="7">
          <cell r="B7" t="str">
            <v>Hạng mục:</v>
          </cell>
        </row>
        <row r="8">
          <cell r="B8" t="str">
            <v>VĂN PHÒNG HỖ TRỢ KHÁCH HÀNG SỐ 18, NGUYỄN NGỌC NẠI</v>
          </cell>
        </row>
        <row r="9">
          <cell r="B9" t="str">
            <v>Gói thầu:</v>
          </cell>
        </row>
        <row r="10">
          <cell r="B10" t="str">
            <v>SỐ ĐIỆN THOẠI 0985099938</v>
          </cell>
        </row>
      </sheetData>
      <sheetData sheetId="6">
        <row r="7">
          <cell r="A7" t="str">
            <v>[1]</v>
          </cell>
          <cell r="B7" t="str">
            <v>[2]</v>
          </cell>
          <cell r="D7" t="str">
            <v>[3]</v>
          </cell>
          <cell r="E7" t="str">
            <v>[4]</v>
          </cell>
          <cell r="F7" t="str">
            <v>[5]</v>
          </cell>
          <cell r="G7" t="str">
            <v>[6]</v>
          </cell>
          <cell r="H7" t="str">
            <v>[7]</v>
          </cell>
          <cell r="I7" t="str">
            <v>[8]</v>
          </cell>
          <cell r="J7" t="str">
            <v>[9]</v>
          </cell>
          <cell r="K7" t="str">
            <v>[10]</v>
          </cell>
          <cell r="L7" t="str">
            <v>[11]</v>
          </cell>
          <cell r="M7" t="str">
            <v>[12]</v>
          </cell>
          <cell r="N7" t="str">
            <v>[13]</v>
          </cell>
          <cell r="O7" t="str">
            <v>[14]</v>
          </cell>
          <cell r="P7" t="str">
            <v>[15]</v>
          </cell>
          <cell r="Q7" t="str">
            <v>[16]</v>
          </cell>
          <cell r="R7" t="str">
            <v>[17]</v>
          </cell>
        </row>
        <row r="9">
          <cell r="A9">
            <v>1</v>
          </cell>
          <cell r="B9" t="str">
            <v>VL.03</v>
          </cell>
          <cell r="D9" t="str">
            <v>01</v>
          </cell>
          <cell r="E9" t="str">
            <v>Xi măng</v>
          </cell>
          <cell r="F9" t="str">
            <v>TCVN 4787 : 2009 Xi măng - PP lẫy mẫu và chuẩn bị mẫu thử.</v>
          </cell>
          <cell r="G9">
            <v>42495</v>
          </cell>
          <cell r="H9" t="str">
            <v>0234</v>
          </cell>
          <cell r="I9">
            <v>42129</v>
          </cell>
          <cell r="J9" t="str">
            <v>14h30-15h00</v>
          </cell>
          <cell r="K9" t="str">
            <v>15/5/2016</v>
          </cell>
          <cell r="L9" t="str">
            <v>152/KQTNXM</v>
          </cell>
          <cell r="M9">
            <v>42502</v>
          </cell>
          <cell r="N9" t="str">
            <v>8h30-9h00</v>
          </cell>
          <cell r="O9">
            <v>42502</v>
          </cell>
          <cell r="P9">
            <v>42503</v>
          </cell>
          <cell r="Q9" t="str">
            <v>14h30-15h00</v>
          </cell>
        </row>
        <row r="10">
          <cell r="E10" t="str">
            <v xml:space="preserve">Xi măng; 200 tấn; PCB40; 5; 4 mẫu; Mỗi lần lấy mẫu là 5kg hoặc có thể lớn hơn tùy theo yêu cầu; </v>
          </cell>
        </row>
        <row r="11">
          <cell r="A11">
            <v>2</v>
          </cell>
          <cell r="B11" t="str">
            <v>VL.01</v>
          </cell>
          <cell r="D11" t="str">
            <v>02</v>
          </cell>
          <cell r="E11" t="str">
            <v>Cát đổ bê tông</v>
          </cell>
          <cell r="F11" t="str">
            <v>TCVN 7570 : 2006 Cốt liệu cho bê tông và vữa - Yêu cầu kỹ thuật.</v>
          </cell>
          <cell r="G11">
            <v>42495</v>
          </cell>
          <cell r="I11">
            <v>42495</v>
          </cell>
          <cell r="J11" t="str">
            <v>14h30-15h01</v>
          </cell>
          <cell r="K11" t="str">
            <v>15/5/2016</v>
          </cell>
        </row>
        <row r="12">
          <cell r="E12" t="str">
            <v xml:space="preserve">Cát; 100 m3; ; ; 1 mẫu; Mỗi loại vật liệu lấy từ 01 đến 02 mẫu để thí nghiệm khối lượng mẫu khoảng 50kg; </v>
          </cell>
          <cell r="F12" t="str">
            <v>TCVN 7572-1 : 2006 Cốt liệu cho bê tông và vữa - Phương pháp thử. Phần 1: Lấy mẫu.</v>
          </cell>
          <cell r="G12" t="str">
            <v/>
          </cell>
        </row>
        <row r="13">
          <cell r="F13" t="str">
            <v>TCVN 7572-2 : 2006 Cốt liệu cho bê tông và vữa - Phương pháp thử. Phần 2: Xác định thành phần hạt.</v>
          </cell>
          <cell r="G13" t="str">
            <v/>
          </cell>
        </row>
        <row r="14">
          <cell r="F14" t="str">
            <v>TCVN 7572-3 : 2006 Cốt liệu cho bê tông và vữa - Phương pháp thử. Phần 3: Hướng dẫn xác định thành phần thanh lọc.</v>
          </cell>
        </row>
        <row r="15">
          <cell r="A15">
            <v>3</v>
          </cell>
          <cell r="B15" t="str">
            <v>VL.01</v>
          </cell>
          <cell r="D15" t="str">
            <v>03</v>
          </cell>
          <cell r="E15" t="str">
            <v>Cát mịn, ML = 1,5-2</v>
          </cell>
          <cell r="F15" t="str">
            <v>TCVN 7570 : 2006 Cốt liệu cho bê tông và vữa - Yêu cầu kỹ thuật.</v>
          </cell>
          <cell r="G15">
            <v>42496</v>
          </cell>
          <cell r="H15" t="str">
            <v>0235</v>
          </cell>
          <cell r="I15">
            <v>42496</v>
          </cell>
          <cell r="J15" t="str">
            <v>8h30-9h00</v>
          </cell>
          <cell r="K15">
            <v>42503</v>
          </cell>
          <cell r="M15">
            <v>42504</v>
          </cell>
          <cell r="N15" t="str">
            <v>8h30-9h00</v>
          </cell>
          <cell r="O15">
            <v>42504</v>
          </cell>
          <cell r="P15">
            <v>42505</v>
          </cell>
          <cell r="Q15" t="str">
            <v>14h30-15h00</v>
          </cell>
        </row>
        <row r="16">
          <cell r="F16" t="str">
            <v>TCVN 7572-1 : 2006 Cốt liệu cho bê tông và vữa - Phương pháp thử. Phần 1: Lấy mẫu.</v>
          </cell>
        </row>
        <row r="17">
          <cell r="F17" t="str">
            <v>TCVN 7572-2 : 2006 Cốt liệu cho bê tông và vữa - Phương pháp thử. Phần 2: Xác định thành phần hạt.</v>
          </cell>
        </row>
        <row r="18">
          <cell r="F18" t="str">
            <v>TCVN 7572-3 : 2006 Cốt liệu cho bê tông và vữa - Phương pháp thử. Phần 3: Hướng dẫn xác định thành phần thanh lọc.</v>
          </cell>
        </row>
        <row r="19">
          <cell r="F19" t="str">
            <v>TCVN 7572-4 : 2006 Cốt liệu cho bê tông và vữa - Phương pháp thử. Phần 4: Xác định khối lượng riêng, khối lượng thể tích và độ hút nước.</v>
          </cell>
        </row>
        <row r="20">
          <cell r="A20">
            <v>4</v>
          </cell>
          <cell r="B20" t="str">
            <v>VL.11</v>
          </cell>
          <cell r="D20" t="str">
            <v>04</v>
          </cell>
          <cell r="E20" t="str">
            <v>Cấp phối đá dăm</v>
          </cell>
          <cell r="F20" t="str">
            <v>22TCN 333-2006 về quy trình đầm nén đất, đá dăm trong phòng thí nghiệm.</v>
          </cell>
          <cell r="G20">
            <v>42497</v>
          </cell>
          <cell r="H20">
            <v>238</v>
          </cell>
          <cell r="I20">
            <v>42496</v>
          </cell>
          <cell r="J20" t="str">
            <v>8h30-9h00</v>
          </cell>
          <cell r="K20">
            <v>42505</v>
          </cell>
          <cell r="M20">
            <v>42506</v>
          </cell>
          <cell r="N20" t="str">
            <v>8h30-9h00</v>
          </cell>
          <cell r="O20">
            <v>42506</v>
          </cell>
          <cell r="P20">
            <v>42507</v>
          </cell>
          <cell r="Q20" t="str">
            <v>14h30-15h00</v>
          </cell>
        </row>
        <row r="21">
          <cell r="F21" t="str">
            <v>TCVN 4197 : 2012 Phương pháp xác định giới hạn chảy và giới hạn dẻo trong phòng thí nghiệm.</v>
          </cell>
          <cell r="G21" t="str">
            <v/>
          </cell>
        </row>
        <row r="22">
          <cell r="A22">
            <v>5</v>
          </cell>
          <cell r="B22" t="str">
            <v>VL.03</v>
          </cell>
          <cell r="D22">
            <v>5</v>
          </cell>
          <cell r="E22" t="str">
            <v>Xi măng</v>
          </cell>
          <cell r="F22" t="str">
            <v>TCVN 4787 : 2009 Xi măng - PP lẫy mẫu và chuẩn bị mẫu thử.</v>
          </cell>
        </row>
        <row r="23">
          <cell r="A23">
            <v>6</v>
          </cell>
          <cell r="B23" t="str">
            <v>VL.11</v>
          </cell>
          <cell r="D23">
            <v>6</v>
          </cell>
          <cell r="E23" t="str">
            <v>Cấp phối đá dăm</v>
          </cell>
          <cell r="F23" t="str">
            <v>22TCN 333-2006 về quy trình đầm nén đất, đá dăm trong phòng thí nghiệm.</v>
          </cell>
        </row>
        <row r="24">
          <cell r="E24" t="str">
            <v xml:space="preserve">Cấp phối đá dăm; 1000 m3; Dmax 25; ; 5 mẫu; 100 - 200 kg tùy theo mẫu đá; </v>
          </cell>
          <cell r="F24" t="str">
            <v>TCVN 4197 : 2012 Phương pháp xác định giới hạn chảy và giới hạn dẻo trong phòng thí nghiệm.</v>
          </cell>
        </row>
        <row r="25">
          <cell r="F25" t="str">
            <v>TCVN 8859 : 2011 Lớp móng cấp phối đá dăm trong kết cấu áo đường ô tô - Vật liệu, thi công và nghiệm thu</v>
          </cell>
        </row>
      </sheetData>
      <sheetData sheetId="7"/>
      <sheetData sheetId="8"/>
      <sheetData sheetId="9"/>
      <sheetData sheetId="10"/>
      <sheetData sheetId="11"/>
      <sheetData sheetId="12">
        <row r="7">
          <cell r="A7" t="str">
            <v>[1]</v>
          </cell>
          <cell r="B7" t="str">
            <v>[2]</v>
          </cell>
          <cell r="C7" t="str">
            <v>[3]</v>
          </cell>
          <cell r="D7" t="str">
            <v>[4]</v>
          </cell>
          <cell r="E7" t="str">
            <v>[5]</v>
          </cell>
          <cell r="F7" t="str">
            <v>[6]</v>
          </cell>
          <cell r="G7" t="str">
            <v>[7]</v>
          </cell>
          <cell r="H7" t="str">
            <v>[8]</v>
          </cell>
          <cell r="I7" t="str">
            <v>[9]</v>
          </cell>
          <cell r="J7" t="str">
            <v>[10]</v>
          </cell>
          <cell r="K7" t="str">
            <v>[11]</v>
          </cell>
          <cell r="L7" t="str">
            <v>[12]</v>
          </cell>
          <cell r="M7" t="str">
            <v>[13]</v>
          </cell>
          <cell r="N7" t="str">
            <v>[14]</v>
          </cell>
          <cell r="O7" t="str">
            <v>[15]</v>
          </cell>
          <cell r="P7" t="str">
            <v>[16]</v>
          </cell>
          <cell r="Q7" t="str">
            <v>[17]</v>
          </cell>
          <cell r="R7" t="str">
            <v>[18]</v>
          </cell>
          <cell r="S7" t="str">
            <v>[19]</v>
          </cell>
          <cell r="T7" t="str">
            <v>[20]</v>
          </cell>
          <cell r="U7" t="str">
            <v>[21]</v>
          </cell>
          <cell r="V7" t="str">
            <v>[22]</v>
          </cell>
          <cell r="W7" t="str">
            <v>[23]</v>
          </cell>
          <cell r="X7" t="str">
            <v>[24]</v>
          </cell>
          <cell r="Y7" t="str">
            <v>[25]</v>
          </cell>
          <cell r="Z7" t="str">
            <v>[26]</v>
          </cell>
        </row>
        <row r="8">
          <cell r="D8" t="str">
            <v/>
          </cell>
        </row>
        <row r="9">
          <cell r="B9" t="str">
            <v>HM</v>
          </cell>
          <cell r="D9" t="str">
            <v>HM1</v>
          </cell>
          <cell r="E9" t="str">
            <v>DẢI PHÂN CÁCH</v>
          </cell>
        </row>
        <row r="10">
          <cell r="B10" t="str">
            <v>GD</v>
          </cell>
          <cell r="D10" t="str">
            <v>01GD</v>
          </cell>
          <cell r="E10" t="str">
            <v>DẢI PHÂN CÁCH</v>
          </cell>
        </row>
        <row r="11">
          <cell r="A11">
            <v>1</v>
          </cell>
          <cell r="B11" t="str">
            <v>AB.11411</v>
          </cell>
          <cell r="D11" t="str">
            <v>01</v>
          </cell>
          <cell r="E11" t="str">
            <v>Đào đất hố móng</v>
          </cell>
          <cell r="F11" t="str">
            <v>Đào suốt tuyến</v>
          </cell>
          <cell r="H11" t="str">
            <v>TCVN 5637 : 1991 Quản lý chất lượng xây lắp công trình xây dựng. Nguyên tắc cơ bản</v>
          </cell>
          <cell r="L11">
            <v>42865</v>
          </cell>
          <cell r="M11" t="str">
            <v>8h00-9h00</v>
          </cell>
          <cell r="N11">
            <v>42865</v>
          </cell>
          <cell r="O11">
            <v>42866</v>
          </cell>
          <cell r="P11" t="str">
            <v>15h00-15h30</v>
          </cell>
          <cell r="R11">
            <v>42500</v>
          </cell>
          <cell r="S11">
            <v>42502</v>
          </cell>
          <cell r="U11" t="str">
            <v>T</v>
          </cell>
        </row>
        <row r="12">
          <cell r="D12" t="str">
            <v/>
          </cell>
          <cell r="H12" t="str">
            <v>TCVN 4055 : 2012 Tổ chức thi công</v>
          </cell>
        </row>
        <row r="13">
          <cell r="D13" t="str">
            <v/>
          </cell>
          <cell r="H13" t="str">
            <v>TCVN 5308 : 1991 Quy phạm kỹ thuật an toàn trong xây dựng</v>
          </cell>
        </row>
        <row r="14">
          <cell r="A14">
            <v>2</v>
          </cell>
          <cell r="B14" t="str">
            <v>AB.41431</v>
          </cell>
          <cell r="D14" t="str">
            <v>02</v>
          </cell>
          <cell r="E14" t="str">
            <v>Vận chuyển đất bằng ôtô tự đổ 10 tấn trong phạm vi ≤1000m, đất cấp I</v>
          </cell>
          <cell r="F14" t="str">
            <v>Suốt tuyến</v>
          </cell>
          <cell r="H14" t="str">
            <v>TCVN 4055 : 2012 Tổ chức thi công</v>
          </cell>
          <cell r="L14">
            <v>42865</v>
          </cell>
          <cell r="M14" t="str">
            <v>8h00-9h00</v>
          </cell>
          <cell r="N14">
            <v>42865</v>
          </cell>
          <cell r="O14">
            <v>42866</v>
          </cell>
          <cell r="P14" t="str">
            <v>15h00-15h30</v>
          </cell>
          <cell r="R14">
            <v>42500</v>
          </cell>
          <cell r="S14">
            <v>42502</v>
          </cell>
          <cell r="U14" t="str">
            <v>T</v>
          </cell>
        </row>
        <row r="15">
          <cell r="D15" t="str">
            <v/>
          </cell>
          <cell r="H15" t="str">
            <v>TCVN 5308 : 1991 Quy phạm kỹ thuật an toàn trong xây dựng</v>
          </cell>
        </row>
        <row r="16">
          <cell r="A16">
            <v>3</v>
          </cell>
          <cell r="B16" t="str">
            <v>AB.42331*6</v>
          </cell>
          <cell r="D16" t="str">
            <v>03</v>
          </cell>
          <cell r="E16" t="str">
            <v>Vận chuyển tiếp cự ly 6km tiếp theo - Ôtô 10 tấn, đất cấp I</v>
          </cell>
          <cell r="F16" t="str">
            <v>Suốt tuyến</v>
          </cell>
          <cell r="H16" t="str">
            <v>TCVN 4055 : 2012 Tổ chức thi công</v>
          </cell>
          <cell r="L16">
            <v>42865</v>
          </cell>
          <cell r="M16" t="str">
            <v>8h00-9h00</v>
          </cell>
          <cell r="N16">
            <v>42865</v>
          </cell>
          <cell r="O16">
            <v>42866</v>
          </cell>
          <cell r="P16" t="str">
            <v>15h00-15h30</v>
          </cell>
          <cell r="R16">
            <v>42500</v>
          </cell>
          <cell r="S16">
            <v>42502</v>
          </cell>
          <cell r="U16" t="str">
            <v>T</v>
          </cell>
        </row>
        <row r="17">
          <cell r="D17" t="str">
            <v/>
          </cell>
          <cell r="H17" t="str">
            <v>TCVN 5308 : 1991 Quy phạm kỹ thuật an toàn trong xây dựng</v>
          </cell>
        </row>
        <row r="18">
          <cell r="A18">
            <v>4</v>
          </cell>
          <cell r="B18" t="str">
            <v>AG.13111</v>
          </cell>
          <cell r="D18" t="str">
            <v>04</v>
          </cell>
          <cell r="E18" t="str">
            <v>Cốt thép móng trụ Þ&lt;=10mm</v>
          </cell>
          <cell r="F18" t="str">
            <v>Suốt tuyến</v>
          </cell>
          <cell r="H18" t="str">
            <v>TCVN 1651-2 : 2008 Thép cốt bê tông – Thép thanh vằn</v>
          </cell>
          <cell r="I18" t="str">
            <v/>
          </cell>
          <cell r="L18">
            <v>42508</v>
          </cell>
          <cell r="M18" t="str">
            <v>8h00-9h00</v>
          </cell>
          <cell r="N18">
            <v>42508</v>
          </cell>
          <cell r="O18">
            <v>42509</v>
          </cell>
          <cell r="P18" t="str">
            <v>15h00-15h30</v>
          </cell>
          <cell r="R18">
            <v>42500</v>
          </cell>
          <cell r="S18">
            <v>42510</v>
          </cell>
          <cell r="U18" t="str">
            <v>T</v>
          </cell>
        </row>
        <row r="19">
          <cell r="D19" t="str">
            <v/>
          </cell>
          <cell r="H19" t="str">
            <v>TCVN 9392 : 2012 Thép cốt bê tông - Hàn hồ quang</v>
          </cell>
        </row>
        <row r="20">
          <cell r="A20">
            <v>5</v>
          </cell>
          <cell r="B20" t="str">
            <v>AG.11453</v>
          </cell>
          <cell r="D20" t="str">
            <v>05</v>
          </cell>
          <cell r="E20" t="str">
            <v>Bê tông chân cột đá 1x2, f'c=16Mpa, đúc sẵn</v>
          </cell>
          <cell r="F20" t="str">
            <v>Suốt tuyến</v>
          </cell>
          <cell r="H20" t="str">
            <v>TCVN 5637 : 1991 Quản lý chất lượng xây lắp công trình xây dựng. Nguyên tắc cơ bản</v>
          </cell>
          <cell r="I20">
            <v>42502</v>
          </cell>
          <cell r="J20" t="str">
            <v>9h00-9h30</v>
          </cell>
          <cell r="L20">
            <v>42510</v>
          </cell>
          <cell r="M20" t="str">
            <v>8h00-9h00</v>
          </cell>
          <cell r="N20">
            <v>42510</v>
          </cell>
          <cell r="O20">
            <v>42511</v>
          </cell>
          <cell r="P20" t="str">
            <v>15h00-15h30</v>
          </cell>
          <cell r="R20">
            <v>42502</v>
          </cell>
          <cell r="S20">
            <v>42512</v>
          </cell>
          <cell r="U20" t="str">
            <v>T</v>
          </cell>
          <cell r="V20">
            <v>42502</v>
          </cell>
          <cell r="W20" t="str">
            <v>8h00-9h00</v>
          </cell>
          <cell r="Y20">
            <v>42502</v>
          </cell>
          <cell r="Z20" t="str">
            <v>9h00-10h00</v>
          </cell>
        </row>
        <row r="21">
          <cell r="C21" t="str">
            <v>LM</v>
          </cell>
          <cell r="D21" t="str">
            <v/>
          </cell>
          <cell r="E21" t="str">
            <v>Sản xuất tại công trường; 16Mpa; 2-4; 3; 15x15x15</v>
          </cell>
          <cell r="H21" t="str">
            <v>TCVN 4055 : 2012 Tổ chức thi công</v>
          </cell>
        </row>
        <row r="22">
          <cell r="D22" t="str">
            <v/>
          </cell>
          <cell r="H22" t="str">
            <v>TCVN 5308 : 1991 Quy phạm kỹ thuật an toàn trong xây dựng</v>
          </cell>
        </row>
        <row r="23">
          <cell r="A23">
            <v>6</v>
          </cell>
          <cell r="B23" t="str">
            <v>AG.32211</v>
          </cell>
          <cell r="D23" t="str">
            <v>06</v>
          </cell>
          <cell r="E23" t="str">
            <v>Ván khuôn móng chân cột đúc sẵn</v>
          </cell>
          <cell r="F23" t="str">
            <v>Suốt tuyến</v>
          </cell>
          <cell r="H23" t="str">
            <v>TCVN 9115 : 2012 Kết cấu bê tông và bê tông cốt thép lắp ghép - Thi công và nghiệm thu</v>
          </cell>
          <cell r="L23">
            <v>42510</v>
          </cell>
          <cell r="M23" t="str">
            <v>8h00-9h00</v>
          </cell>
          <cell r="N23">
            <v>42510</v>
          </cell>
          <cell r="O23">
            <v>42511</v>
          </cell>
          <cell r="P23" t="str">
            <v>15h00-15h30</v>
          </cell>
          <cell r="R23">
            <v>42502</v>
          </cell>
          <cell r="S23">
            <v>42512</v>
          </cell>
          <cell r="U23" t="str">
            <v>T</v>
          </cell>
        </row>
        <row r="24">
          <cell r="D24" t="str">
            <v/>
          </cell>
          <cell r="H24" t="str">
            <v>TCVN 4055 : 2012 Tổ chức thi công</v>
          </cell>
        </row>
        <row r="25">
          <cell r="D25" t="str">
            <v/>
          </cell>
          <cell r="H25" t="str">
            <v>TCVN 5308 : 1991 Quy phạm kỹ thuật an toàn trong xây dựng</v>
          </cell>
        </row>
        <row r="26">
          <cell r="A26">
            <v>7</v>
          </cell>
          <cell r="B26" t="str">
            <v>AG.42121</v>
          </cell>
          <cell r="D26" t="str">
            <v>07</v>
          </cell>
          <cell r="E26" t="str">
            <v>Lắp đặt chân cột</v>
          </cell>
          <cell r="F26" t="str">
            <v>Suốt tuyến</v>
          </cell>
          <cell r="H26" t="str">
            <v>TCVN 5637 : 1991 Quản lý chất lượng xây lắp công trình xây dựng. Nguyên tắc cơ bản</v>
          </cell>
          <cell r="L26">
            <v>42541</v>
          </cell>
          <cell r="M26" t="str">
            <v>8h00-9h00</v>
          </cell>
          <cell r="N26">
            <v>42541</v>
          </cell>
          <cell r="O26">
            <v>42542</v>
          </cell>
          <cell r="P26" t="str">
            <v>15h00-15h30</v>
          </cell>
          <cell r="R26">
            <v>42512</v>
          </cell>
          <cell r="S26">
            <v>42543</v>
          </cell>
          <cell r="U26" t="str">
            <v>T</v>
          </cell>
        </row>
        <row r="27">
          <cell r="D27" t="str">
            <v/>
          </cell>
          <cell r="H27" t="str">
            <v>TCVN 4055 : 2012 Tổ chức thi công</v>
          </cell>
        </row>
        <row r="28">
          <cell r="D28" t="str">
            <v/>
          </cell>
          <cell r="H28" t="str">
            <v>TCVN 5308 : 1991 Quy phạm kỹ thuật an toàn trong xây dựng</v>
          </cell>
        </row>
        <row r="29">
          <cell r="A29">
            <v>8</v>
          </cell>
          <cell r="B29" t="str">
            <v>AF.11213</v>
          </cell>
          <cell r="D29" t="str">
            <v>08</v>
          </cell>
          <cell r="E29" t="str">
            <v>Bê tông móng đá 1x2, f'c=16Mpa, đổ tại chỗ</v>
          </cell>
          <cell r="F29" t="str">
            <v>Suốt tuyến</v>
          </cell>
          <cell r="H29" t="str">
            <v>TCVN 4055 : 2012 Tổ chức thi công</v>
          </cell>
          <cell r="I29">
            <v>42515</v>
          </cell>
          <cell r="J29" t="str">
            <v>9h00-9h30</v>
          </cell>
          <cell r="L29">
            <v>42533</v>
          </cell>
          <cell r="M29" t="str">
            <v>8h00-9h00</v>
          </cell>
          <cell r="N29">
            <v>42533</v>
          </cell>
          <cell r="O29">
            <v>42534</v>
          </cell>
          <cell r="P29" t="str">
            <v>15h00-15h30</v>
          </cell>
          <cell r="R29">
            <v>42515</v>
          </cell>
          <cell r="S29">
            <v>42535</v>
          </cell>
          <cell r="U29" t="str">
            <v>T</v>
          </cell>
        </row>
        <row r="30">
          <cell r="C30" t="str">
            <v>LM</v>
          </cell>
          <cell r="D30" t="str">
            <v/>
          </cell>
          <cell r="E30" t="str">
            <v>Sản xuất tại công trường; 16Mpa; 2-4; 9; 15x15x15;</v>
          </cell>
          <cell r="H30" t="str">
            <v>TCVN 4453 : 1995 Kết cấu bê tông và bê tông cốt thép toàn khối. Quy phạm thi công và nghiệm thu.</v>
          </cell>
        </row>
        <row r="31">
          <cell r="D31" t="str">
            <v/>
          </cell>
          <cell r="H31" t="str">
            <v>TCVN 5308 : 1991 Quy phạm kỹ thuật an toàn trong xây dựng</v>
          </cell>
        </row>
        <row r="33">
          <cell r="A33">
            <v>9</v>
          </cell>
          <cell r="B33" t="str">
            <v>AI.11421</v>
          </cell>
          <cell r="D33" t="str">
            <v>09</v>
          </cell>
          <cell r="E33" t="str">
            <v>Sản xuất kết cấu hàng rào</v>
          </cell>
          <cell r="F33" t="str">
            <v>Suốt tuyến</v>
          </cell>
          <cell r="H33" t="str">
            <v>TCVN 5637 : 1991 Quản lý chất lượng xây lắp công trình xây dựng. Nguyên tắc cơ bản</v>
          </cell>
          <cell r="L33">
            <v>42515</v>
          </cell>
          <cell r="M33" t="str">
            <v>8h00-9h00</v>
          </cell>
          <cell r="N33">
            <v>42515</v>
          </cell>
          <cell r="O33">
            <v>42516</v>
          </cell>
          <cell r="P33" t="str">
            <v>15h00-15h30</v>
          </cell>
          <cell r="R33">
            <v>42502</v>
          </cell>
          <cell r="S33">
            <v>42517</v>
          </cell>
          <cell r="U33" t="str">
            <v>T</v>
          </cell>
        </row>
        <row r="34">
          <cell r="D34" t="str">
            <v/>
          </cell>
          <cell r="H34" t="str">
            <v>TCVN 4055 : 2012 Tổ chức thi công</v>
          </cell>
        </row>
        <row r="35">
          <cell r="D35" t="str">
            <v/>
          </cell>
          <cell r="H35" t="str">
            <v>TCVN 5308 : 1991 Quy phạm kỹ thuật an toàn trong xây dựng</v>
          </cell>
        </row>
        <row r="36">
          <cell r="A36">
            <v>10</v>
          </cell>
          <cell r="B36" t="str">
            <v>AI.63211</v>
          </cell>
          <cell r="D36" t="str">
            <v>10</v>
          </cell>
          <cell r="E36" t="str">
            <v>Lắp dựng hàng rào</v>
          </cell>
          <cell r="F36" t="str">
            <v>Suốt tuyến</v>
          </cell>
          <cell r="H36" t="str">
            <v>TCVN 5637 : 1991 Quản lý chất lượng xây lắp công trình xây dựng. Nguyên tắc cơ bản</v>
          </cell>
          <cell r="L36">
            <v>42533</v>
          </cell>
          <cell r="M36" t="str">
            <v>8h00-9h00</v>
          </cell>
          <cell r="N36">
            <v>42533</v>
          </cell>
          <cell r="O36">
            <v>42534</v>
          </cell>
          <cell r="P36" t="str">
            <v>15h00-15h30</v>
          </cell>
          <cell r="R36">
            <v>42519</v>
          </cell>
          <cell r="S36">
            <v>42535</v>
          </cell>
          <cell r="U36" t="str">
            <v>T</v>
          </cell>
        </row>
        <row r="37">
          <cell r="D37" t="str">
            <v/>
          </cell>
          <cell r="H37" t="str">
            <v>TCVN 4055 : 2012 Tổ chức thi công</v>
          </cell>
        </row>
        <row r="38">
          <cell r="D38" t="str">
            <v/>
          </cell>
          <cell r="H38" t="str">
            <v>TCVN 5308 : 1991 Quy phạm kỹ thuật an toàn trong xây dựng</v>
          </cell>
        </row>
        <row r="39">
          <cell r="A39">
            <v>11</v>
          </cell>
          <cell r="B39" t="str">
            <v>AI.11421</v>
          </cell>
          <cell r="D39" t="str">
            <v>11</v>
          </cell>
          <cell r="E39" t="str">
            <v>Sản xuất kết cấu trụ hàng rào</v>
          </cell>
          <cell r="F39" t="str">
            <v>Suốt tuyến</v>
          </cell>
          <cell r="H39" t="str">
            <v>TCVN 5637 : 1991 Quản lý chất lượng xây lắp công trình xây dựng. Nguyên tắc cơ bản</v>
          </cell>
          <cell r="L39">
            <v>42515</v>
          </cell>
          <cell r="M39" t="str">
            <v>8h00-9h00</v>
          </cell>
          <cell r="N39">
            <v>42515</v>
          </cell>
          <cell r="O39">
            <v>42516</v>
          </cell>
          <cell r="P39" t="str">
            <v>15h00-15h30</v>
          </cell>
          <cell r="R39">
            <v>42502</v>
          </cell>
          <cell r="S39">
            <v>42517</v>
          </cell>
          <cell r="U39" t="str">
            <v>T</v>
          </cell>
        </row>
        <row r="40">
          <cell r="D40" t="str">
            <v/>
          </cell>
          <cell r="H40" t="str">
            <v>TCVN 4055 : 2012 Tổ chức thi công</v>
          </cell>
        </row>
        <row r="41">
          <cell r="D41" t="str">
            <v/>
          </cell>
          <cell r="H41" t="str">
            <v>TCVN 5308 : 1991 Quy phạm kỹ thuật an toàn trong xây dựng</v>
          </cell>
        </row>
        <row r="42">
          <cell r="A42">
            <v>12</v>
          </cell>
          <cell r="B42" t="str">
            <v>AI.61131vd</v>
          </cell>
          <cell r="D42" t="str">
            <v>12</v>
          </cell>
          <cell r="E42" t="str">
            <v>Lắp dựng trụ hàng rào</v>
          </cell>
          <cell r="F42" t="str">
            <v>Suốt tuyến</v>
          </cell>
          <cell r="H42" t="str">
            <v>TCVN 5637 : 1991 Quản lý chất lượng xây lắp công trình xây dựng. Nguyên tắc cơ bản</v>
          </cell>
          <cell r="M42" t="str">
            <v>8h00-9h00</v>
          </cell>
          <cell r="P42" t="str">
            <v>15h00-15h30</v>
          </cell>
          <cell r="R42">
            <v>42519</v>
          </cell>
          <cell r="S42">
            <v>42535</v>
          </cell>
          <cell r="U42" t="str">
            <v>T</v>
          </cell>
        </row>
        <row r="43">
          <cell r="D43" t="str">
            <v/>
          </cell>
          <cell r="H43" t="str">
            <v>TCVN 4055 : 2012 Tổ chức thi công</v>
          </cell>
        </row>
        <row r="44">
          <cell r="D44" t="str">
            <v/>
          </cell>
          <cell r="H44" t="str">
            <v>TCVN 5308 : 1991 Quy phạm kỹ thuật an toàn trong xây dựng</v>
          </cell>
        </row>
        <row r="45">
          <cell r="A45">
            <v>13</v>
          </cell>
          <cell r="B45" t="str">
            <v>XS.5211a</v>
          </cell>
          <cell r="D45" t="str">
            <v>13</v>
          </cell>
          <cell r="E45" t="str">
            <v>Lắp đặt bu long M16x400</v>
          </cell>
          <cell r="F45" t="str">
            <v>Suốt tuyến</v>
          </cell>
          <cell r="H45" t="str">
            <v>TCVN 5637 : 1991 Quản lý chất lượng xây lắp công trình xây dựng. Nguyên tắc cơ bản</v>
          </cell>
          <cell r="M45" t="str">
            <v>8h00-9h00</v>
          </cell>
          <cell r="P45" t="str">
            <v>15h00-15h30</v>
          </cell>
          <cell r="R45">
            <v>42519</v>
          </cell>
          <cell r="S45">
            <v>42535</v>
          </cell>
          <cell r="U45" t="str">
            <v>T</v>
          </cell>
        </row>
        <row r="46">
          <cell r="D46" t="str">
            <v/>
          </cell>
          <cell r="H46" t="str">
            <v>TCVN 4055 : 2012 Tổ chức thi công</v>
          </cell>
        </row>
        <row r="47">
          <cell r="D47" t="str">
            <v/>
          </cell>
          <cell r="H47" t="str">
            <v>TCVN 5308 : 1991 Quy phạm kỹ thuật an toàn trong xây dựng</v>
          </cell>
        </row>
        <row r="48">
          <cell r="A48">
            <v>14</v>
          </cell>
          <cell r="B48" t="str">
            <v>XS.5211a</v>
          </cell>
          <cell r="D48" t="str">
            <v>14</v>
          </cell>
          <cell r="E48" t="str">
            <v>Lắp đặt bu long M12x150</v>
          </cell>
          <cell r="F48" t="str">
            <v>Suốt tuyến</v>
          </cell>
          <cell r="H48" t="str">
            <v>TCVN 5637 : 1991 Quản lý chất lượng xây lắp công trình xây dựng. Nguyên tắc cơ bản</v>
          </cell>
          <cell r="M48" t="str">
            <v>8h00-9h00</v>
          </cell>
          <cell r="P48" t="str">
            <v>15h00-15h30</v>
          </cell>
          <cell r="R48">
            <v>42519</v>
          </cell>
          <cell r="S48">
            <v>42535</v>
          </cell>
          <cell r="U48" t="str">
            <v>T</v>
          </cell>
        </row>
        <row r="49">
          <cell r="D49" t="str">
            <v/>
          </cell>
          <cell r="H49" t="str">
            <v>TCVN 4055 : 2012 Tổ chức thi công</v>
          </cell>
        </row>
        <row r="50">
          <cell r="D50" t="str">
            <v/>
          </cell>
          <cell r="H50" t="str">
            <v>TCVN 5308 : 1991 Quy phạm kỹ thuật an toàn trong xây dựng</v>
          </cell>
        </row>
        <row r="51">
          <cell r="A51">
            <v>15</v>
          </cell>
          <cell r="B51" t="str">
            <v>TT</v>
          </cell>
          <cell r="D51" t="str">
            <v>15</v>
          </cell>
          <cell r="E51" t="str">
            <v>Mạ kẽm</v>
          </cell>
          <cell r="F51" t="str">
            <v>Suốt tuyến</v>
          </cell>
          <cell r="H51" t="str">
            <v>TCVN 5408 : 2007 Lớp phủ kẽm nhúng nóng trên bề mặt sản phẩm gang và thép - Yêu cầu kỹ thuật và phương pháp thử</v>
          </cell>
          <cell r="I51" t="str">
            <v/>
          </cell>
          <cell r="P51" t="str">
            <v>15h00-15h30</v>
          </cell>
          <cell r="R51">
            <v>42518</v>
          </cell>
          <cell r="S51">
            <v>42523</v>
          </cell>
          <cell r="U51" t="str">
            <v>T</v>
          </cell>
        </row>
        <row r="52">
          <cell r="D52" t="str">
            <v/>
          </cell>
          <cell r="H52" t="str">
            <v>TCVN 5026 : 2010 Lớp phủ kim loại và phủ vô cơ khác - Lớp kẽm mạ điện có xử lý bổ sung trên nền gang hoặc thép</v>
          </cell>
          <cell r="M52" t="str">
            <v>8h00-9h00</v>
          </cell>
        </row>
        <row r="53">
          <cell r="D53" t="str">
            <v/>
          </cell>
          <cell r="H53" t="str">
            <v>Tham khảo các tiêu chuẩn ASTM về mạ kẽn nhúng nóng</v>
          </cell>
        </row>
        <row r="54">
          <cell r="D54" t="str">
            <v/>
          </cell>
        </row>
        <row r="55">
          <cell r="D55" t="str">
            <v/>
          </cell>
        </row>
      </sheetData>
      <sheetData sheetId="13"/>
      <sheetData sheetId="14"/>
      <sheetData sheetId="15"/>
      <sheetData sheetId="16"/>
      <sheetData sheetId="17"/>
      <sheetData sheetId="18"/>
      <sheetData sheetId="19">
        <row r="7">
          <cell r="A7" t="str">
            <v>[1]</v>
          </cell>
          <cell r="B7" t="str">
            <v>[2]</v>
          </cell>
          <cell r="D7" t="str">
            <v>[2]</v>
          </cell>
          <cell r="E7" t="str">
            <v>[3]</v>
          </cell>
          <cell r="F7" t="str">
            <v>[3]</v>
          </cell>
          <cell r="G7" t="str">
            <v>[4]</v>
          </cell>
          <cell r="H7" t="str">
            <v>[5]</v>
          </cell>
          <cell r="I7" t="str">
            <v>[6]</v>
          </cell>
          <cell r="J7" t="str">
            <v>[7]</v>
          </cell>
          <cell r="K7" t="str">
            <v>[8]</v>
          </cell>
          <cell r="L7" t="str">
            <v>[9]</v>
          </cell>
          <cell r="M7" t="str">
            <v>[10]</v>
          </cell>
        </row>
        <row r="8">
          <cell r="A8">
            <v>1</v>
          </cell>
          <cell r="D8" t="str">
            <v>01GD</v>
          </cell>
          <cell r="E8" t="str">
            <v>DẢI PHÂN CÁCH</v>
          </cell>
          <cell r="M8">
            <v>1</v>
          </cell>
        </row>
        <row r="9">
          <cell r="A9">
            <v>2</v>
          </cell>
          <cell r="D9" t="str">
            <v>02GD</v>
          </cell>
          <cell r="E9" t="str">
            <v>PHẦN THÂN</v>
          </cell>
          <cell r="M9">
            <v>1</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5">
          <cell r="G5">
            <v>42502</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
      <sheetName val="DanhMucMay"/>
      <sheetName val="Thong tin"/>
      <sheetName val="Ky bien ban"/>
      <sheetName val="Danh muc ho so"/>
      <sheetName val="Ts"/>
      <sheetName val="Danh muc NT Vat lieu"/>
      <sheetName val="Lay mau VL"/>
      <sheetName val="NT noi bo vat lieu"/>
      <sheetName val="YCNT vat lieu"/>
      <sheetName val="NT vat lieu"/>
      <sheetName val="Vat lieu nhap ve"/>
      <sheetName val="Danh muc NT cong viec"/>
      <sheetName val="LMTN"/>
      <sheetName val="NT noi bo cong viec"/>
      <sheetName val="YCNT cong viec"/>
      <sheetName val="NT cong viec"/>
      <sheetName val="Bien ban kiem tra be tong"/>
      <sheetName val="BB theo doi do be tong"/>
      <sheetName val="Danh muc NT Giai doan"/>
      <sheetName val="NT noi bo Giai doan"/>
      <sheetName val="YCNT Giai doan"/>
      <sheetName val="NT Giai doan"/>
      <sheetName val="NT noi bo hoan thanh su dung"/>
      <sheetName val="YCNT hoan thanh su dung"/>
      <sheetName val="NT Hoan thanh su dung"/>
      <sheetName val="Ban giao mat bang"/>
      <sheetName val="Thay doi mau"/>
      <sheetName val="Chap thuan mau"/>
      <sheetName val="Thay doi TK"/>
      <sheetName val="Khoi luong"/>
      <sheetName val="Thong ke thep"/>
      <sheetName val="THKL"/>
      <sheetName val="ND Nhat ky"/>
      <sheetName val="Bìa"/>
      <sheetName val="Sheet1"/>
      <sheetName val="ND Nhat ky (2)"/>
      <sheetName val="Mau Nhat ky"/>
      <sheetName val="Theo doi be tong"/>
      <sheetName val="Quy cach lay mau"/>
      <sheetName val="DMHSHT"/>
      <sheetName val="Cong van den"/>
      <sheetName val="Cong van di"/>
      <sheetName val="Chap thuan mo"/>
      <sheetName val="Kiem tra thiet bi nhan luc"/>
      <sheetName val="Phong thi nghiem hien truong"/>
      <sheetName val="He thong moc"/>
      <sheetName val="Kiem tra dieu kien thi cong"/>
      <sheetName val="Bien ban hien truong"/>
      <sheetName val="Xu ly vi pham hien truong"/>
      <sheetName val="Bao cao chat luong"/>
    </sheetNames>
    <sheetDataSet>
      <sheetData sheetId="0"/>
      <sheetData sheetId="1"/>
      <sheetData sheetId="2">
        <row r="1">
          <cell r="B1" t="str">
            <v>CÁC THÔNG TIN CHUNG</v>
          </cell>
        </row>
        <row r="2">
          <cell r="B2" t="str">
            <v>Dự án:</v>
          </cell>
          <cell r="D2" t="str">
            <v>LẮP ĐẶT HÀNG RÀO THÉP TẠI DẢI PHÂN CÁCH GIỮA TRÊN ĐƯỜNG TRƯỜNG CHINH (ĐOẠN TỪ NGÃ TƯ AN SƯƠNG ĐẾN CẦU THAM LƯƠNG)</v>
          </cell>
        </row>
        <row r="3">
          <cell r="B3" t="str">
            <v>Công trình:</v>
          </cell>
          <cell r="D3" t="str">
            <v>LẮP ĐẶT HÀNG RÀO THÉP TẠI DẢI PHÂN CÁCH GIỮA TRÊN ĐƯỜNG TRƯỜNG CHINH (ĐOẠN TỪ NGÃ TƯ AN SƯƠNG ĐẾN CẦU THAM LƯƠNG)</v>
          </cell>
        </row>
        <row r="4">
          <cell r="B4" t="str">
            <v>Hạng mục:</v>
          </cell>
          <cell r="D4" t="str">
            <v>DẢI PHÂN CÁCH, TIỂU ĐẢO</v>
          </cell>
        </row>
        <row r="5">
          <cell r="B5" t="str">
            <v>Gói thầu:</v>
          </cell>
          <cell r="D5" t="str">
            <v>Xây lắp</v>
          </cell>
        </row>
        <row r="6">
          <cell r="B6" t="str">
            <v>Hợp đồng số:</v>
          </cell>
          <cell r="D6" t="str">
            <v>01042014GXD-HCM</v>
          </cell>
        </row>
        <row r="7">
          <cell r="B7" t="str">
            <v>Địa điểm xây dựng</v>
          </cell>
          <cell r="D7" t="str">
            <v>Quận 12 - Tp. Hồ Chí Minh</v>
          </cell>
        </row>
        <row r="8">
          <cell r="B8" t="str">
            <v>Tỉnh / Thành phố</v>
          </cell>
          <cell r="D8" t="str">
            <v>Hồ Chí Minh</v>
          </cell>
        </row>
        <row r="10">
          <cell r="B10" t="str">
            <v>Chủ đầu tư</v>
          </cell>
          <cell r="D10" t="str">
            <v>Khu Quản lý giao thông đô thị số 3</v>
          </cell>
        </row>
        <row r="11">
          <cell r="B11" t="str">
            <v>Địa chỉ:</v>
          </cell>
          <cell r="D11" t="str">
            <v>Số 1002 Quốc lộ 1, Phường Thạnh Xuân, Quận 12</v>
          </cell>
        </row>
        <row r="12">
          <cell r="D12" t="str">
            <v>Tel:</v>
          </cell>
          <cell r="E12" t="str">
            <v>08.388834633</v>
          </cell>
          <cell r="F12" t="str">
            <v>Fax:</v>
          </cell>
          <cell r="G12" t="str">
            <v>08.388834633</v>
          </cell>
        </row>
        <row r="13">
          <cell r="B13" t="str">
            <v xml:space="preserve"> Chủ đầu tư</v>
          </cell>
          <cell r="C13">
            <v>3</v>
          </cell>
          <cell r="D13" t="str">
            <v>Ông (Bà):</v>
          </cell>
          <cell r="E13" t="str">
            <v>Võ Khánh Hưng</v>
          </cell>
          <cell r="F13" t="str">
            <v>Chức vụ:</v>
          </cell>
          <cell r="G13" t="str">
            <v>Giám Đốc</v>
          </cell>
        </row>
        <row r="14">
          <cell r="D14" t="str">
            <v>Ông (Bà):</v>
          </cell>
          <cell r="E14" t="str">
            <v>Trịnh Linh Phương</v>
          </cell>
          <cell r="F14" t="str">
            <v>Chức vụ:</v>
          </cell>
          <cell r="G14" t="str">
            <v>Phó GĐ</v>
          </cell>
        </row>
        <row r="15">
          <cell r="D15" t="str">
            <v>Ông (Bà):</v>
          </cell>
          <cell r="E15" t="str">
            <v>Phạm Ngọc Dũng</v>
          </cell>
          <cell r="F15" t="str">
            <v>Chức vụ:</v>
          </cell>
          <cell r="G15" t="str">
            <v>Phó GĐ</v>
          </cell>
        </row>
        <row r="16">
          <cell r="D16" t="str">
            <v>Ông (Bà):</v>
          </cell>
          <cell r="E16" t="str">
            <v>Huỳnh Thị Nga</v>
          </cell>
          <cell r="F16" t="str">
            <v>Chức vụ:</v>
          </cell>
          <cell r="G16" t="str">
            <v>Phó GĐ</v>
          </cell>
        </row>
        <row r="17">
          <cell r="D17" t="str">
            <v>Ông (Bà):</v>
          </cell>
          <cell r="F17" t="str">
            <v>Chức vụ:</v>
          </cell>
        </row>
        <row r="18">
          <cell r="D18" t="str">
            <v>Ông (Bà):</v>
          </cell>
          <cell r="F18" t="str">
            <v>Chức vụ:</v>
          </cell>
        </row>
        <row r="19">
          <cell r="D19" t="str">
            <v>Ông (Bà):</v>
          </cell>
          <cell r="F19" t="str">
            <v>Chức vụ:</v>
          </cell>
        </row>
        <row r="20">
          <cell r="D20" t="str">
            <v>Ông (Bà):</v>
          </cell>
          <cell r="F20" t="str">
            <v>Chức vụ:</v>
          </cell>
        </row>
        <row r="22">
          <cell r="B22" t="str">
            <v>Nhà đầu tư</v>
          </cell>
        </row>
        <row r="23">
          <cell r="B23" t="str">
            <v>Địa chỉ:</v>
          </cell>
        </row>
        <row r="24">
          <cell r="D24" t="str">
            <v>Tel:</v>
          </cell>
          <cell r="E24" t="str">
            <v>04.35682482</v>
          </cell>
          <cell r="F24" t="str">
            <v>Fax:</v>
          </cell>
          <cell r="G24" t="str">
            <v>04.35682483</v>
          </cell>
        </row>
        <row r="25">
          <cell r="B25" t="str">
            <v xml:space="preserve"> Nhà đầu tư</v>
          </cell>
          <cell r="C25">
            <v>1</v>
          </cell>
          <cell r="D25" t="str">
            <v>Ông (Bà):</v>
          </cell>
          <cell r="F25" t="str">
            <v>Chức vụ:</v>
          </cell>
          <cell r="G25" t="str">
            <v>Trưởng ban QLXD</v>
          </cell>
        </row>
        <row r="26">
          <cell r="D26" t="str">
            <v>Ông (Bà):</v>
          </cell>
          <cell r="F26" t="str">
            <v>Chức vụ:</v>
          </cell>
          <cell r="G26" t="str">
            <v>Phó Trưởng ban QLXD</v>
          </cell>
        </row>
        <row r="27">
          <cell r="D27" t="str">
            <v>Ông (Bà):</v>
          </cell>
          <cell r="F27" t="str">
            <v>Chức vụ:</v>
          </cell>
        </row>
        <row r="28">
          <cell r="D28" t="str">
            <v>Ông (Bà):</v>
          </cell>
          <cell r="E28" t="str">
            <v/>
          </cell>
          <cell r="F28" t="str">
            <v>Chức vụ:</v>
          </cell>
        </row>
        <row r="29">
          <cell r="D29" t="str">
            <v>Ông (Bà):</v>
          </cell>
          <cell r="F29" t="str">
            <v>Chức vụ:</v>
          </cell>
        </row>
        <row r="30">
          <cell r="D30" t="str">
            <v>Ông (Bà):</v>
          </cell>
          <cell r="F30" t="str">
            <v>Chức vụ:</v>
          </cell>
        </row>
        <row r="31">
          <cell r="D31" t="str">
            <v>Ông (Bà):</v>
          </cell>
          <cell r="F31" t="str">
            <v>Chức vụ:</v>
          </cell>
        </row>
        <row r="32">
          <cell r="D32" t="str">
            <v>Ông (Bà):</v>
          </cell>
          <cell r="F32" t="str">
            <v>Chức vụ:</v>
          </cell>
        </row>
        <row r="34">
          <cell r="B34" t="str">
            <v>Ban Quản lý dự án</v>
          </cell>
          <cell r="D34" t="str">
            <v>Ban Quản lý dự án 2</v>
          </cell>
        </row>
        <row r="35">
          <cell r="B35" t="str">
            <v>Địa chỉ:</v>
          </cell>
          <cell r="D35" t="str">
            <v>Số 1002 Quốc lộ 1, Phường Thạnh Xuân, Quận 12</v>
          </cell>
        </row>
        <row r="36">
          <cell r="D36" t="str">
            <v>Tel:</v>
          </cell>
          <cell r="E36" t="str">
            <v>04.35682482</v>
          </cell>
          <cell r="F36" t="str">
            <v>Fax:</v>
          </cell>
          <cell r="G36" t="str">
            <v>04.35682483</v>
          </cell>
        </row>
        <row r="37">
          <cell r="B37" t="str">
            <v xml:space="preserve"> Ban Quản lý dự án</v>
          </cell>
          <cell r="C37">
            <v>2</v>
          </cell>
          <cell r="D37" t="str">
            <v>Ông (Bà):</v>
          </cell>
          <cell r="E37" t="str">
            <v>Trần Văn Độ</v>
          </cell>
          <cell r="F37" t="str">
            <v>Chức vụ:</v>
          </cell>
          <cell r="G37" t="str">
            <v>Trưởng ban QLDA2</v>
          </cell>
        </row>
        <row r="38">
          <cell r="D38" t="str">
            <v>Ông (Bà):</v>
          </cell>
          <cell r="E38" t="str">
            <v>Đoàn Thị Phương Thanh</v>
          </cell>
          <cell r="F38" t="str">
            <v>Chức vụ:</v>
          </cell>
          <cell r="G38" t="str">
            <v>CB BQLDA2</v>
          </cell>
        </row>
        <row r="39">
          <cell r="D39" t="str">
            <v>Ông (Bà):</v>
          </cell>
          <cell r="E39" t="str">
            <v>Huỳnh Văn Thức</v>
          </cell>
          <cell r="F39" t="str">
            <v>Chức vụ:</v>
          </cell>
          <cell r="G39" t="str">
            <v>CB BQLDA2</v>
          </cell>
        </row>
        <row r="40">
          <cell r="D40" t="str">
            <v>Ông (Bà):</v>
          </cell>
          <cell r="F40" t="str">
            <v>Chức vụ:</v>
          </cell>
        </row>
        <row r="41">
          <cell r="D41" t="str">
            <v>Ông (Bà):</v>
          </cell>
          <cell r="F41" t="str">
            <v>Chức vụ:</v>
          </cell>
        </row>
        <row r="42">
          <cell r="D42" t="str">
            <v>Ông (Bà):</v>
          </cell>
          <cell r="F42" t="str">
            <v>Chức vụ:</v>
          </cell>
        </row>
        <row r="43">
          <cell r="D43" t="str">
            <v>Ông (Bà):</v>
          </cell>
          <cell r="F43" t="str">
            <v>Chức vụ:</v>
          </cell>
        </row>
        <row r="44">
          <cell r="D44" t="str">
            <v>Ông (Bà):</v>
          </cell>
          <cell r="F44" t="str">
            <v>Chức vụ:</v>
          </cell>
        </row>
        <row r="46">
          <cell r="B46" t="str">
            <v>Tư vấn giám sát</v>
          </cell>
          <cell r="D46" t="str">
            <v>Trung tâm SX phần mềm Quản lý hồ sơ nghiệm thu</v>
          </cell>
        </row>
        <row r="47">
          <cell r="B47" t="str">
            <v>Địa chỉ:</v>
          </cell>
          <cell r="D47" t="str">
            <v>Số 2a/55, Nguyễn Ngọc Nại</v>
          </cell>
        </row>
        <row r="48">
          <cell r="B48" t="str">
            <v>Giấy phép thành lập:</v>
          </cell>
        </row>
        <row r="49">
          <cell r="B49" t="str">
            <v>Chứng nhận Kinh doanh:</v>
          </cell>
        </row>
        <row r="50">
          <cell r="B50" t="str">
            <v>Chứng chỉ hành nghề:</v>
          </cell>
        </row>
        <row r="51">
          <cell r="D51" t="str">
            <v>Tel:</v>
          </cell>
          <cell r="F51" t="str">
            <v>Fax:</v>
          </cell>
        </row>
        <row r="52">
          <cell r="B52" t="str">
            <v xml:space="preserve"> Tư vấn giám sát</v>
          </cell>
          <cell r="C52">
            <v>4</v>
          </cell>
          <cell r="D52" t="str">
            <v>Ông (Bà):</v>
          </cell>
          <cell r="E52" t="str">
            <v>Trần Hoàng Linh</v>
          </cell>
          <cell r="F52" t="str">
            <v>Chức vụ:</v>
          </cell>
          <cell r="G52" t="str">
            <v>CB TVGS</v>
          </cell>
        </row>
        <row r="53">
          <cell r="D53" t="str">
            <v>Ông (Bà):</v>
          </cell>
          <cell r="E53" t="str">
            <v>Hoàng Nguyên Thành</v>
          </cell>
          <cell r="F53" t="str">
            <v>Chức vụ:</v>
          </cell>
          <cell r="G53" t="str">
            <v>CB TVGS</v>
          </cell>
        </row>
        <row r="54">
          <cell r="D54" t="str">
            <v>Ông (Bà):</v>
          </cell>
          <cell r="E54" t="str">
            <v>Nguyễn Thanh Tùng</v>
          </cell>
          <cell r="F54" t="str">
            <v>Chức vụ:</v>
          </cell>
          <cell r="G54" t="str">
            <v>Giám Đốc</v>
          </cell>
        </row>
        <row r="55">
          <cell r="D55" t="str">
            <v>Ông (Bà):</v>
          </cell>
          <cell r="E55" t="str">
            <v>Nguyễn Văn Hoàng</v>
          </cell>
          <cell r="F55" t="str">
            <v>Chức vụ:</v>
          </cell>
          <cell r="G55" t="str">
            <v>CB TVGS</v>
          </cell>
        </row>
        <row r="56">
          <cell r="D56" t="str">
            <v>Ông (Bà):</v>
          </cell>
          <cell r="F56" t="str">
            <v>Chức vụ:</v>
          </cell>
        </row>
        <row r="58">
          <cell r="B58" t="str">
            <v>Nhà thầu thi công</v>
          </cell>
          <cell r="D58" t="str">
            <v>Công ty CP Công trình giao thông Sài Gòn</v>
          </cell>
        </row>
        <row r="59">
          <cell r="B59" t="str">
            <v>Địa chỉ:</v>
          </cell>
          <cell r="D59" t="str">
            <v>132, Đường Đào Duy Từ, Phường 6, Quận 10, Tp. Hồ Chí Minh</v>
          </cell>
        </row>
        <row r="60">
          <cell r="B60" t="str">
            <v>Giấy phép thành lập:</v>
          </cell>
        </row>
        <row r="61">
          <cell r="B61" t="str">
            <v>Chứng nhận Kinh doanh:</v>
          </cell>
          <cell r="H61">
            <v>0</v>
          </cell>
        </row>
        <row r="62">
          <cell r="B62" t="str">
            <v>Chứng chỉ hành nghề:</v>
          </cell>
        </row>
        <row r="63">
          <cell r="D63" t="str">
            <v>Tel:</v>
          </cell>
          <cell r="F63" t="str">
            <v>Fax:</v>
          </cell>
        </row>
        <row r="64">
          <cell r="B64" t="str">
            <v xml:space="preserve"> Nhà thầu thi công</v>
          </cell>
          <cell r="C64">
            <v>6</v>
          </cell>
          <cell r="D64" t="str">
            <v>Ông (Bà):</v>
          </cell>
          <cell r="E64" t="str">
            <v>Hoàng Anh Giao</v>
          </cell>
          <cell r="F64" t="str">
            <v>Chức vụ:</v>
          </cell>
          <cell r="G64" t="str">
            <v>Giám đốc</v>
          </cell>
        </row>
        <row r="65">
          <cell r="D65" t="str">
            <v>Ông (Bà):</v>
          </cell>
          <cell r="E65" t="str">
            <v>Nguyễn Đình Tuấn</v>
          </cell>
          <cell r="F65" t="str">
            <v>Chức vụ:</v>
          </cell>
          <cell r="G65" t="str">
            <v>Chỉ huy trưởng</v>
          </cell>
        </row>
        <row r="66">
          <cell r="D66" t="str">
            <v>Ông (Bà):</v>
          </cell>
          <cell r="E66" t="str">
            <v>Nguyễn Văn Thắng</v>
          </cell>
          <cell r="F66" t="str">
            <v>Chức vụ:</v>
          </cell>
          <cell r="G66" t="str">
            <v>Chỉ huy phó</v>
          </cell>
        </row>
        <row r="67">
          <cell r="D67" t="str">
            <v>Ông (Bà):</v>
          </cell>
          <cell r="E67" t="str">
            <v>Trần Quốc Toản</v>
          </cell>
          <cell r="F67" t="str">
            <v>Chức vụ:</v>
          </cell>
          <cell r="G67" t="str">
            <v>KSCL</v>
          </cell>
        </row>
        <row r="68">
          <cell r="D68" t="str">
            <v>Ông (Bà):</v>
          </cell>
          <cell r="E68" t="str">
            <v>Trịnh Hoàng</v>
          </cell>
          <cell r="F68" t="str">
            <v>Chức vụ:</v>
          </cell>
          <cell r="G68" t="str">
            <v>CBKT</v>
          </cell>
        </row>
        <row r="69">
          <cell r="D69" t="str">
            <v>Ông (Bà):</v>
          </cell>
          <cell r="E69" t="str">
            <v>Phạm Văn Đực</v>
          </cell>
          <cell r="F69" t="str">
            <v>Chức vụ:</v>
          </cell>
          <cell r="G69" t="str">
            <v>CBKT</v>
          </cell>
        </row>
        <row r="70">
          <cell r="D70" t="str">
            <v>Ông (Bà):</v>
          </cell>
          <cell r="F70" t="str">
            <v>Chức vụ:</v>
          </cell>
        </row>
        <row r="72">
          <cell r="B72" t="str">
            <v>Đơn vị thí nghiệm</v>
          </cell>
          <cell r="D72" t="str">
            <v>Phòng las số 925</v>
          </cell>
        </row>
        <row r="73">
          <cell r="B73" t="str">
            <v>Địa chỉ:</v>
          </cell>
        </row>
        <row r="74">
          <cell r="B74" t="str">
            <v>Giấy phép thành lập:</v>
          </cell>
        </row>
        <row r="75">
          <cell r="B75" t="str">
            <v>Chứng nhận Kinh doanh:</v>
          </cell>
        </row>
        <row r="76">
          <cell r="B76" t="str">
            <v>Chứng chỉ hành nghề:</v>
          </cell>
        </row>
        <row r="77">
          <cell r="D77" t="str">
            <v>Tel:</v>
          </cell>
          <cell r="F77" t="str">
            <v>Fax:</v>
          </cell>
        </row>
        <row r="78">
          <cell r="B78" t="str">
            <v xml:space="preserve"> Đơn vị thí nghiệm</v>
          </cell>
          <cell r="C78">
            <v>3</v>
          </cell>
          <cell r="D78" t="str">
            <v>Ông (Bà):</v>
          </cell>
          <cell r="E78" t="str">
            <v>Thí Văn Nghiệm</v>
          </cell>
          <cell r="F78" t="str">
            <v>Chức vụ:</v>
          </cell>
          <cell r="G78" t="str">
            <v>CB Thí nghiệm</v>
          </cell>
        </row>
        <row r="79">
          <cell r="D79" t="str">
            <v>Ông (Bà):</v>
          </cell>
          <cell r="E79" t="str">
            <v>Trần Văn Châu</v>
          </cell>
          <cell r="F79" t="str">
            <v>Chức vụ:</v>
          </cell>
          <cell r="G79" t="str">
            <v>CB Thí nghiệm</v>
          </cell>
        </row>
        <row r="80">
          <cell r="D80" t="str">
            <v>Ông (Bà):</v>
          </cell>
          <cell r="E80" t="str">
            <v>Nguyễn Văn A</v>
          </cell>
          <cell r="F80" t="str">
            <v>Chức vụ:</v>
          </cell>
          <cell r="G80" t="str">
            <v>CB Thí nghiệm</v>
          </cell>
        </row>
        <row r="82">
          <cell r="B82" t="str">
            <v>Tư vấn thiết kế</v>
          </cell>
          <cell r="D82" t="str">
            <v>Công ty TNHH Tư vấn thiết kế B.R</v>
          </cell>
        </row>
        <row r="83">
          <cell r="B83" t="str">
            <v>Địa chỉ:</v>
          </cell>
        </row>
        <row r="84">
          <cell r="B84" t="str">
            <v>Giấy phép thành lập:</v>
          </cell>
          <cell r="D84" t="str">
            <v xml:space="preserve">Giấy phép số </v>
          </cell>
        </row>
        <row r="85">
          <cell r="B85" t="str">
            <v>Chứng nhận Kinh doanh:</v>
          </cell>
        </row>
        <row r="86">
          <cell r="B86" t="str">
            <v>Chứng chỉ hành nghề:</v>
          </cell>
        </row>
        <row r="87">
          <cell r="D87" t="str">
            <v>Tel:</v>
          </cell>
          <cell r="F87" t="str">
            <v>Fax:</v>
          </cell>
        </row>
        <row r="88">
          <cell r="B88" t="str">
            <v xml:space="preserve"> Tư vấn thiết kế</v>
          </cell>
          <cell r="C88">
            <v>2</v>
          </cell>
          <cell r="D88" t="str">
            <v>Ông (Bà):</v>
          </cell>
          <cell r="E88" t="str">
            <v>Mai Chí Linh</v>
          </cell>
          <cell r="F88" t="str">
            <v>Chức vụ:</v>
          </cell>
          <cell r="G88" t="str">
            <v>Giám đốc</v>
          </cell>
        </row>
        <row r="89">
          <cell r="D89" t="str">
            <v>Ông (Bà):</v>
          </cell>
          <cell r="E89" t="str">
            <v>Phạm Văn Thắng</v>
          </cell>
          <cell r="F89" t="str">
            <v>Chức vụ:</v>
          </cell>
          <cell r="G89" t="str">
            <v>Chủ trì</v>
          </cell>
        </row>
        <row r="90">
          <cell r="D90" t="str">
            <v>Ông (Bà):</v>
          </cell>
          <cell r="F90" t="str">
            <v>Chức vụ:</v>
          </cell>
        </row>
        <row r="92">
          <cell r="B92" t="str">
            <v>Đơn vị cung cấp vật tư, thiết bị</v>
          </cell>
        </row>
        <row r="93">
          <cell r="B93" t="str">
            <v>Địa chỉ:</v>
          </cell>
        </row>
        <row r="94">
          <cell r="B94" t="str">
            <v>Giấy phép thành lập:</v>
          </cell>
        </row>
        <row r="95">
          <cell r="B95" t="str">
            <v>Chứng nhận Kinh doanh:</v>
          </cell>
        </row>
        <row r="96">
          <cell r="B96" t="str">
            <v>Chứng chỉ hành nghề:</v>
          </cell>
        </row>
        <row r="97">
          <cell r="D97" t="str">
            <v>Tel:</v>
          </cell>
          <cell r="F97" t="str">
            <v>Fax:</v>
          </cell>
        </row>
        <row r="98">
          <cell r="B98" t="str">
            <v xml:space="preserve"> Đơn vị cung cấp vật tư, thiết bị</v>
          </cell>
          <cell r="D98" t="str">
            <v>Ông (Bà):</v>
          </cell>
          <cell r="F98" t="str">
            <v>Chức vụ:</v>
          </cell>
        </row>
        <row r="99">
          <cell r="D99" t="str">
            <v>Ông (Bà):</v>
          </cell>
          <cell r="F99" t="str">
            <v>Chức vụ:</v>
          </cell>
        </row>
        <row r="101">
          <cell r="B101" t="str">
            <v>Thành phần khác</v>
          </cell>
        </row>
        <row r="102">
          <cell r="B102" t="str">
            <v xml:space="preserve"> Thành phần khác</v>
          </cell>
          <cell r="C102">
            <v>3</v>
          </cell>
          <cell r="D102" t="str">
            <v>Ông (Bà):</v>
          </cell>
          <cell r="E102" t="str">
            <v>Dương Minh Đức</v>
          </cell>
          <cell r="F102" t="str">
            <v>Chức vụ:</v>
          </cell>
          <cell r="G102" t="str">
            <v>Tổ trưởng thi công</v>
          </cell>
        </row>
        <row r="103">
          <cell r="D103" t="str">
            <v>Ông (Bà):</v>
          </cell>
          <cell r="E103" t="str">
            <v>Bùi Hương Giang</v>
          </cell>
          <cell r="F103" t="str">
            <v>Chức vụ:</v>
          </cell>
          <cell r="G103" t="str">
            <v>Quản lý Dữ liệu</v>
          </cell>
        </row>
        <row r="104">
          <cell r="D104" t="str">
            <v>Ông (Bà):</v>
          </cell>
          <cell r="E104" t="str">
            <v>Trần Thị Liệu</v>
          </cell>
          <cell r="F104" t="str">
            <v>Chức vụ:</v>
          </cell>
          <cell r="G104" t="str">
            <v>Cán bộ Dữ liệu</v>
          </cell>
        </row>
        <row r="105">
          <cell r="D105" t="str">
            <v>Ông (Bà):</v>
          </cell>
          <cell r="F105" t="str">
            <v>Chức vụ:</v>
          </cell>
        </row>
        <row r="106">
          <cell r="D106" t="str">
            <v>Ông (Bà):</v>
          </cell>
          <cell r="F106" t="str">
            <v>Chức vụ:</v>
          </cell>
        </row>
        <row r="107">
          <cell r="D107" t="str">
            <v>Ông (Bà):</v>
          </cell>
          <cell r="F107" t="str">
            <v>Chức vụ:</v>
          </cell>
        </row>
        <row r="108">
          <cell r="D108" t="str">
            <v>Ông (Bà):</v>
          </cell>
          <cell r="F108" t="str">
            <v>Chức vụ:</v>
          </cell>
        </row>
        <row r="109">
          <cell r="D109" t="str">
            <v>Ông (Bà):</v>
          </cell>
          <cell r="F109" t="str">
            <v>Chức vụ:</v>
          </cell>
        </row>
        <row r="110">
          <cell r="D110" t="str">
            <v>Ông (Bà):</v>
          </cell>
          <cell r="F110" t="str">
            <v>Chức vụ:</v>
          </cell>
        </row>
        <row r="111">
          <cell r="D111" t="str">
            <v>Ông (Bà):</v>
          </cell>
          <cell r="F111" t="str">
            <v>Chức vụ:</v>
          </cell>
        </row>
        <row r="116">
          <cell r="B116" t="str">
            <v xml:space="preserve"> Chủ đầu tư</v>
          </cell>
        </row>
        <row r="117">
          <cell r="B117" t="str">
            <v xml:space="preserve"> Nhà đầu tư</v>
          </cell>
        </row>
        <row r="118">
          <cell r="B118" t="str">
            <v xml:space="preserve"> Ban Quản lý dự án</v>
          </cell>
        </row>
        <row r="119">
          <cell r="B119" t="str">
            <v xml:space="preserve"> Tư vấn giám sát</v>
          </cell>
        </row>
        <row r="120">
          <cell r="B120" t="str">
            <v xml:space="preserve"> Nhà thầu thi công</v>
          </cell>
        </row>
        <row r="121">
          <cell r="B121" t="str">
            <v xml:space="preserve"> Đơn vị thí nghiệm</v>
          </cell>
        </row>
        <row r="122">
          <cell r="B122" t="str">
            <v xml:space="preserve"> Tư vấn thiết kế</v>
          </cell>
        </row>
        <row r="123">
          <cell r="B123" t="str">
            <v xml:space="preserve"> Đơn vị cung cấp vật tư, thiết bị</v>
          </cell>
        </row>
      </sheetData>
      <sheetData sheetId="3">
        <row r="4">
          <cell r="C4" t="str">
            <v>Trần Hoàng Linh</v>
          </cell>
        </row>
        <row r="5">
          <cell r="C5" t="str">
            <v>Trịnh Hoàng</v>
          </cell>
        </row>
        <row r="6">
          <cell r="C6" t="str">
            <v>Trần Văn Châu</v>
          </cell>
        </row>
        <row r="11">
          <cell r="C11" t="str">
            <v>Nguyễn Văn Thắng</v>
          </cell>
          <cell r="D11" t="str">
            <v>Trần Đăng Khoa</v>
          </cell>
        </row>
        <row r="12">
          <cell r="C12" t="str">
            <v>Trần Quốc Toản</v>
          </cell>
          <cell r="D12" t="str">
            <v>Nguyễn Đình Tuấn</v>
          </cell>
        </row>
        <row r="13">
          <cell r="C13" t="str">
            <v>Hoàng Nguyên Thành</v>
          </cell>
        </row>
        <row r="14">
          <cell r="C14" t="str">
            <v>Nguyễn Văn Hoàng</v>
          </cell>
        </row>
        <row r="20">
          <cell r="C20" t="str">
            <v>Trần Hoàng Linh</v>
          </cell>
          <cell r="D20" t="str">
            <v>Nguyễn Thanh Tùng</v>
          </cell>
        </row>
        <row r="21">
          <cell r="C21" t="str">
            <v>Trần Đăng Khoa</v>
          </cell>
          <cell r="D21" t="str">
            <v>Trần Đăng Khoa</v>
          </cell>
        </row>
        <row r="27">
          <cell r="C27" t="str">
            <v>Nguyễn Thái Anh</v>
          </cell>
          <cell r="D27" t="str">
            <v>Nguyễn Thái Anh</v>
          </cell>
        </row>
        <row r="28">
          <cell r="C28" t="str">
            <v>Trần Hoàng Linh</v>
          </cell>
          <cell r="D28" t="str">
            <v>Nguyễn Thanh Tùng</v>
          </cell>
        </row>
        <row r="29">
          <cell r="C29" t="str">
            <v>Trịnh Hoàng</v>
          </cell>
          <cell r="D29" t="str">
            <v>Trần Đăng Khoa</v>
          </cell>
        </row>
      </sheetData>
      <sheetData sheetId="4"/>
      <sheetData sheetId="5">
        <row r="3">
          <cell r="B3" t="str">
            <v>Dự án:</v>
          </cell>
        </row>
        <row r="4">
          <cell r="B4" t="str">
            <v>TRỤ SỞ PHÂN PHỐI VÀ CÀI ĐẶT PHẦN MỀM QLCL CÔNG TRÌNH GXD</v>
          </cell>
        </row>
        <row r="5">
          <cell r="B5" t="str">
            <v>Công trình:</v>
          </cell>
        </row>
        <row r="6">
          <cell r="B6" t="str">
            <v>VĂN PHÒNG PHÂN PHỐI VÀ CÀI ĐẶT SỐ 2A/55, NGUYỄN NGỌC NẠI</v>
          </cell>
        </row>
        <row r="7">
          <cell r="B7" t="str">
            <v>Hạng mục:</v>
          </cell>
        </row>
        <row r="8">
          <cell r="B8" t="str">
            <v>VĂN PHÒNG HỖ TRỢ KHÁCH HÀNG SỐ 18, NGUYỄN NGỌC NẠI</v>
          </cell>
        </row>
        <row r="9">
          <cell r="B9" t="str">
            <v>Gói thầu:</v>
          </cell>
        </row>
        <row r="10">
          <cell r="B10" t="str">
            <v>SỐ ĐIỆN THOẠI 0985099938</v>
          </cell>
        </row>
      </sheetData>
      <sheetData sheetId="6">
        <row r="7">
          <cell r="A7" t="str">
            <v>[1]</v>
          </cell>
          <cell r="B7" t="str">
            <v>[2]</v>
          </cell>
          <cell r="D7" t="str">
            <v>[3]</v>
          </cell>
          <cell r="E7" t="str">
            <v>[4]</v>
          </cell>
          <cell r="F7" t="str">
            <v>[5]</v>
          </cell>
          <cell r="G7" t="str">
            <v>[6]</v>
          </cell>
          <cell r="H7" t="str">
            <v>[7]</v>
          </cell>
          <cell r="I7" t="str">
            <v>[8]</v>
          </cell>
          <cell r="J7" t="str">
            <v>[9]</v>
          </cell>
          <cell r="K7" t="str">
            <v>[10]</v>
          </cell>
          <cell r="L7" t="str">
            <v>[11]</v>
          </cell>
          <cell r="M7" t="str">
            <v>[12]</v>
          </cell>
          <cell r="N7" t="str">
            <v>[13]</v>
          </cell>
          <cell r="O7" t="str">
            <v>[14]</v>
          </cell>
          <cell r="P7" t="str">
            <v>[15]</v>
          </cell>
          <cell r="Q7" t="str">
            <v>[16]</v>
          </cell>
          <cell r="R7" t="str">
            <v>[17]</v>
          </cell>
        </row>
        <row r="9">
          <cell r="A9">
            <v>1</v>
          </cell>
          <cell r="B9" t="str">
            <v>VL.03</v>
          </cell>
          <cell r="D9" t="str">
            <v>01</v>
          </cell>
          <cell r="E9" t="str">
            <v>Xi măng</v>
          </cell>
          <cell r="F9" t="str">
            <v>TCVN 4787 : 2009 Xi măng - PP lẫy mẫu và chuẩn bị mẫu thử.</v>
          </cell>
          <cell r="G9">
            <v>42495</v>
          </cell>
          <cell r="H9" t="str">
            <v>0234</v>
          </cell>
          <cell r="I9">
            <v>42129</v>
          </cell>
          <cell r="J9" t="str">
            <v>14h30-15h00</v>
          </cell>
          <cell r="K9" t="str">
            <v>15/5/2016</v>
          </cell>
          <cell r="L9" t="str">
            <v>152/KQTNXM</v>
          </cell>
          <cell r="M9">
            <v>42502</v>
          </cell>
          <cell r="N9" t="str">
            <v>8h30-9h00</v>
          </cell>
          <cell r="O9">
            <v>42502</v>
          </cell>
          <cell r="P9">
            <v>42503</v>
          </cell>
          <cell r="Q9" t="str">
            <v>14h30-15h00</v>
          </cell>
        </row>
        <row r="10">
          <cell r="E10" t="str">
            <v xml:space="preserve">Xi măng; 200 tấn; PCB40; 5; 4 mẫu; Mỗi lần lấy mẫu là 5kg hoặc có thể lớn hơn tùy theo yêu cầu; </v>
          </cell>
        </row>
        <row r="11">
          <cell r="A11">
            <v>2</v>
          </cell>
          <cell r="B11" t="str">
            <v>VL.01</v>
          </cell>
          <cell r="D11" t="str">
            <v>02</v>
          </cell>
          <cell r="E11" t="str">
            <v>Cát đổ bê tông</v>
          </cell>
          <cell r="F11" t="str">
            <v>TCVN 7570 : 2006 Cốt liệu cho bê tông và vữa - Yêu cầu kỹ thuật.</v>
          </cell>
          <cell r="G11">
            <v>42495</v>
          </cell>
          <cell r="I11">
            <v>42495</v>
          </cell>
          <cell r="J11" t="str">
            <v>14h30-15h01</v>
          </cell>
          <cell r="K11" t="str">
            <v>15/5/2016</v>
          </cell>
        </row>
        <row r="12">
          <cell r="E12" t="str">
            <v xml:space="preserve">Cát; 100 m3; ; ; 1 mẫu; Mỗi loại vật liệu lấy từ 01 đến 02 mẫu để thí nghiệm khối lượng mẫu khoảng 50kg; </v>
          </cell>
          <cell r="F12" t="str">
            <v>TCVN 7572-1 : 2006 Cốt liệu cho bê tông và vữa - Phương pháp thử. Phần 1: Lấy mẫu.</v>
          </cell>
          <cell r="G12" t="str">
            <v/>
          </cell>
        </row>
        <row r="13">
          <cell r="F13" t="str">
            <v>TCVN 7572-2 : 2006 Cốt liệu cho bê tông và vữa - Phương pháp thử. Phần 2: Xác định thành phần hạt.</v>
          </cell>
          <cell r="G13" t="str">
            <v/>
          </cell>
        </row>
        <row r="14">
          <cell r="F14" t="str">
            <v>TCVN 7572-3 : 2006 Cốt liệu cho bê tông và vữa - Phương pháp thử. Phần 3: Hướng dẫn xác định thành phần thanh lọc.</v>
          </cell>
        </row>
        <row r="15">
          <cell r="A15">
            <v>3</v>
          </cell>
          <cell r="B15" t="str">
            <v>VL.01</v>
          </cell>
          <cell r="D15" t="str">
            <v>03</v>
          </cell>
          <cell r="E15" t="str">
            <v>Cát mịn, ML = 1,5-2</v>
          </cell>
          <cell r="F15" t="str">
            <v>TCVN 7570 : 2006 Cốt liệu cho bê tông và vữa - Yêu cầu kỹ thuật.</v>
          </cell>
          <cell r="G15">
            <v>42496</v>
          </cell>
          <cell r="H15" t="str">
            <v>0235</v>
          </cell>
          <cell r="I15">
            <v>42496</v>
          </cell>
          <cell r="J15" t="str">
            <v>8h30-9h00</v>
          </cell>
          <cell r="K15">
            <v>42503</v>
          </cell>
          <cell r="M15">
            <v>42504</v>
          </cell>
          <cell r="N15" t="str">
            <v>8h30-9h00</v>
          </cell>
          <cell r="O15">
            <v>42504</v>
          </cell>
          <cell r="P15">
            <v>42505</v>
          </cell>
          <cell r="Q15" t="str">
            <v>14h30-15h00</v>
          </cell>
        </row>
        <row r="16">
          <cell r="F16" t="str">
            <v>TCVN 7572-1 : 2006 Cốt liệu cho bê tông và vữa - Phương pháp thử. Phần 1: Lấy mẫu.</v>
          </cell>
        </row>
        <row r="17">
          <cell r="F17" t="str">
            <v>TCVN 7572-2 : 2006 Cốt liệu cho bê tông và vữa - Phương pháp thử. Phần 2: Xác định thành phần hạt.</v>
          </cell>
        </row>
        <row r="18">
          <cell r="F18" t="str">
            <v>TCVN 7572-3 : 2006 Cốt liệu cho bê tông và vữa - Phương pháp thử. Phần 3: Hướng dẫn xác định thành phần thanh lọc.</v>
          </cell>
        </row>
        <row r="19">
          <cell r="F19" t="str">
            <v>TCVN 7572-4 : 2006 Cốt liệu cho bê tông và vữa - Phương pháp thử. Phần 4: Xác định khối lượng riêng, khối lượng thể tích và độ hút nước.</v>
          </cell>
        </row>
        <row r="20">
          <cell r="A20">
            <v>4</v>
          </cell>
          <cell r="B20" t="str">
            <v>VL.11</v>
          </cell>
          <cell r="D20" t="str">
            <v>04</v>
          </cell>
          <cell r="E20" t="str">
            <v>Cấp phối đá dăm</v>
          </cell>
          <cell r="F20" t="str">
            <v>22TCN 333-2006 về quy trình đầm nén đất, đá dăm trong phòng thí nghiệm.</v>
          </cell>
          <cell r="G20">
            <v>42497</v>
          </cell>
          <cell r="H20">
            <v>238</v>
          </cell>
          <cell r="I20">
            <v>42496</v>
          </cell>
          <cell r="J20" t="str">
            <v>8h30-9h00</v>
          </cell>
          <cell r="K20">
            <v>42505</v>
          </cell>
          <cell r="M20">
            <v>42506</v>
          </cell>
          <cell r="N20" t="str">
            <v>8h30-9h00</v>
          </cell>
          <cell r="O20">
            <v>42506</v>
          </cell>
          <cell r="P20">
            <v>42507</v>
          </cell>
          <cell r="Q20" t="str">
            <v>14h30-15h00</v>
          </cell>
        </row>
        <row r="21">
          <cell r="F21" t="str">
            <v>TCVN 4197 : 2012 Phương pháp xác định giới hạn chảy và giới hạn dẻo trong phòng thí nghiệm.</v>
          </cell>
          <cell r="G21" t="str">
            <v/>
          </cell>
        </row>
        <row r="22">
          <cell r="A22">
            <v>5</v>
          </cell>
          <cell r="B22" t="str">
            <v>VL.03</v>
          </cell>
          <cell r="D22">
            <v>5</v>
          </cell>
          <cell r="E22" t="str">
            <v>Xi măng</v>
          </cell>
          <cell r="F22" t="str">
            <v>TCVN 4787 : 2009 Xi măng - PP lẫy mẫu và chuẩn bị mẫu thử.</v>
          </cell>
        </row>
        <row r="23">
          <cell r="A23">
            <v>6</v>
          </cell>
          <cell r="B23" t="str">
            <v>VL.11</v>
          </cell>
          <cell r="D23">
            <v>6</v>
          </cell>
          <cell r="E23" t="str">
            <v>Cấp phối đá dăm</v>
          </cell>
          <cell r="F23" t="str">
            <v>22TCN 333-2006 về quy trình đầm nén đất, đá dăm trong phòng thí nghiệm.</v>
          </cell>
        </row>
        <row r="24">
          <cell r="E24" t="str">
            <v xml:space="preserve">Cấp phối đá dăm; 1000 m3; Dmax 25; ; 5 mẫu; 100 - 200 kg tùy theo mẫu đá; </v>
          </cell>
          <cell r="F24" t="str">
            <v>TCVN 4197 : 2012 Phương pháp xác định giới hạn chảy và giới hạn dẻo trong phòng thí nghiệm.</v>
          </cell>
        </row>
        <row r="25">
          <cell r="F25" t="str">
            <v>TCVN 8859 : 2011 Lớp móng cấp phối đá dăm trong kết cấu áo đường ô tô - Vật liệu, thi công và nghiệm thu</v>
          </cell>
        </row>
      </sheetData>
      <sheetData sheetId="7"/>
      <sheetData sheetId="8"/>
      <sheetData sheetId="9"/>
      <sheetData sheetId="10"/>
      <sheetData sheetId="11"/>
      <sheetData sheetId="12">
        <row r="7">
          <cell r="A7" t="str">
            <v>[1]</v>
          </cell>
          <cell r="B7" t="str">
            <v>[2]</v>
          </cell>
          <cell r="C7" t="str">
            <v>[3]</v>
          </cell>
          <cell r="D7" t="str">
            <v>[4]</v>
          </cell>
          <cell r="E7" t="str">
            <v>[5]</v>
          </cell>
          <cell r="F7" t="str">
            <v>[6]</v>
          </cell>
          <cell r="G7" t="str">
            <v>[7]</v>
          </cell>
          <cell r="H7" t="str">
            <v>[8]</v>
          </cell>
          <cell r="I7" t="str">
            <v>[9]</v>
          </cell>
          <cell r="J7" t="str">
            <v>[10]</v>
          </cell>
          <cell r="K7" t="str">
            <v>[11]</v>
          </cell>
          <cell r="L7" t="str">
            <v>[12]</v>
          </cell>
          <cell r="M7" t="str">
            <v>[13]</v>
          </cell>
          <cell r="N7" t="str">
            <v>[14]</v>
          </cell>
          <cell r="O7" t="str">
            <v>[15]</v>
          </cell>
          <cell r="P7" t="str">
            <v>[16]</v>
          </cell>
          <cell r="Q7" t="str">
            <v>[17]</v>
          </cell>
          <cell r="R7" t="str">
            <v>[18]</v>
          </cell>
          <cell r="S7" t="str">
            <v>[19]</v>
          </cell>
          <cell r="T7" t="str">
            <v>[20]</v>
          </cell>
          <cell r="U7" t="str">
            <v>[21]</v>
          </cell>
          <cell r="V7" t="str">
            <v>[22]</v>
          </cell>
          <cell r="W7" t="str">
            <v>[23]</v>
          </cell>
          <cell r="X7" t="str">
            <v>[24]</v>
          </cell>
          <cell r="Y7" t="str">
            <v>[25]</v>
          </cell>
          <cell r="Z7" t="str">
            <v>[26]</v>
          </cell>
        </row>
        <row r="8">
          <cell r="D8" t="str">
            <v/>
          </cell>
        </row>
        <row r="9">
          <cell r="B9" t="str">
            <v>HM</v>
          </cell>
          <cell r="D9" t="str">
            <v>HM1</v>
          </cell>
          <cell r="E9" t="str">
            <v>DẢI PHÂN CÁCH</v>
          </cell>
        </row>
        <row r="10">
          <cell r="B10" t="str">
            <v>GD</v>
          </cell>
          <cell r="D10" t="str">
            <v>01GD</v>
          </cell>
          <cell r="E10" t="str">
            <v>DẢI PHÂN CÁCH</v>
          </cell>
        </row>
        <row r="11">
          <cell r="A11">
            <v>1</v>
          </cell>
          <cell r="B11" t="str">
            <v>AB.11411</v>
          </cell>
          <cell r="D11" t="str">
            <v>01</v>
          </cell>
          <cell r="E11" t="str">
            <v>Đào đất hố móng</v>
          </cell>
          <cell r="F11" t="str">
            <v>Đào suốt tuyến</v>
          </cell>
          <cell r="H11" t="str">
            <v>TCVN 5637 : 1991 Quản lý chất lượng xây lắp công trình xây dựng. Nguyên tắc cơ bản</v>
          </cell>
          <cell r="L11">
            <v>42865</v>
          </cell>
          <cell r="M11" t="str">
            <v>8h00-9h00</v>
          </cell>
          <cell r="N11">
            <v>42865</v>
          </cell>
          <cell r="O11">
            <v>42866</v>
          </cell>
          <cell r="P11" t="str">
            <v>15h00-15h30</v>
          </cell>
          <cell r="R11">
            <v>42500</v>
          </cell>
          <cell r="S11">
            <v>42502</v>
          </cell>
          <cell r="U11" t="str">
            <v>T</v>
          </cell>
        </row>
        <row r="12">
          <cell r="D12" t="str">
            <v/>
          </cell>
          <cell r="H12" t="str">
            <v>TCVN 4055 : 2012 Tổ chức thi công</v>
          </cell>
        </row>
        <row r="13">
          <cell r="D13" t="str">
            <v/>
          </cell>
          <cell r="H13" t="str">
            <v>TCVN 5308 : 1991 Quy phạm kỹ thuật an toàn trong xây dựng</v>
          </cell>
        </row>
        <row r="14">
          <cell r="A14">
            <v>2</v>
          </cell>
          <cell r="B14" t="str">
            <v>AB.41431</v>
          </cell>
          <cell r="D14" t="str">
            <v>02</v>
          </cell>
          <cell r="E14" t="str">
            <v>Vận chuyển đất bằng ôtô tự đổ 10 tấn trong phạm vi ≤1000m, đất cấp I</v>
          </cell>
          <cell r="F14" t="str">
            <v>Suốt tuyến</v>
          </cell>
          <cell r="H14" t="str">
            <v>TCVN 4055 : 2012 Tổ chức thi công</v>
          </cell>
          <cell r="L14">
            <v>42865</v>
          </cell>
          <cell r="M14" t="str">
            <v>8h00-9h00</v>
          </cell>
          <cell r="N14">
            <v>42865</v>
          </cell>
          <cell r="O14">
            <v>42866</v>
          </cell>
          <cell r="P14" t="str">
            <v>15h00-15h30</v>
          </cell>
          <cell r="R14">
            <v>42500</v>
          </cell>
          <cell r="S14">
            <v>42502</v>
          </cell>
          <cell r="U14" t="str">
            <v>T</v>
          </cell>
        </row>
        <row r="15">
          <cell r="D15" t="str">
            <v/>
          </cell>
          <cell r="H15" t="str">
            <v>TCVN 5308 : 1991 Quy phạm kỹ thuật an toàn trong xây dựng</v>
          </cell>
        </row>
        <row r="16">
          <cell r="A16">
            <v>3</v>
          </cell>
          <cell r="B16" t="str">
            <v>AB.42331*6</v>
          </cell>
          <cell r="D16" t="str">
            <v>03</v>
          </cell>
          <cell r="E16" t="str">
            <v>Vận chuyển tiếp cự ly 6km tiếp theo - Ôtô 10 tấn, đất cấp I</v>
          </cell>
          <cell r="F16" t="str">
            <v>Suốt tuyến</v>
          </cell>
          <cell r="H16" t="str">
            <v>TCVN 4055 : 2012 Tổ chức thi công</v>
          </cell>
          <cell r="L16">
            <v>42865</v>
          </cell>
          <cell r="M16" t="str">
            <v>8h00-9h00</v>
          </cell>
          <cell r="N16">
            <v>42865</v>
          </cell>
          <cell r="O16">
            <v>42866</v>
          </cell>
          <cell r="P16" t="str">
            <v>15h00-15h30</v>
          </cell>
          <cell r="R16">
            <v>42500</v>
          </cell>
          <cell r="S16">
            <v>42502</v>
          </cell>
          <cell r="U16" t="str">
            <v>T</v>
          </cell>
        </row>
        <row r="17">
          <cell r="D17" t="str">
            <v/>
          </cell>
          <cell r="H17" t="str">
            <v>TCVN 5308 : 1991 Quy phạm kỹ thuật an toàn trong xây dựng</v>
          </cell>
        </row>
        <row r="18">
          <cell r="A18">
            <v>4</v>
          </cell>
          <cell r="B18" t="str">
            <v>AG.13111</v>
          </cell>
          <cell r="D18" t="str">
            <v>04</v>
          </cell>
          <cell r="E18" t="str">
            <v>Cốt thép móng trụ Þ&lt;=10mm</v>
          </cell>
          <cell r="F18" t="str">
            <v>Suốt tuyến</v>
          </cell>
          <cell r="H18" t="str">
            <v>TCVN 1651-2 : 2008 Thép cốt bê tông – Thép thanh vằn</v>
          </cell>
          <cell r="I18" t="str">
            <v/>
          </cell>
          <cell r="L18">
            <v>42508</v>
          </cell>
          <cell r="M18" t="str">
            <v>8h00-9h00</v>
          </cell>
          <cell r="N18">
            <v>42508</v>
          </cell>
          <cell r="O18">
            <v>42509</v>
          </cell>
          <cell r="P18" t="str">
            <v>15h00-15h30</v>
          </cell>
          <cell r="R18">
            <v>42500</v>
          </cell>
          <cell r="S18">
            <v>42510</v>
          </cell>
          <cell r="U18" t="str">
            <v>T</v>
          </cell>
        </row>
        <row r="19">
          <cell r="D19" t="str">
            <v/>
          </cell>
          <cell r="H19" t="str">
            <v>TCVN 9392 : 2012 Thép cốt bê tông - Hàn hồ quang</v>
          </cell>
        </row>
        <row r="20">
          <cell r="A20">
            <v>5</v>
          </cell>
          <cell r="B20" t="str">
            <v>AG.11453</v>
          </cell>
          <cell r="D20" t="str">
            <v>05</v>
          </cell>
          <cell r="E20" t="str">
            <v>Bê tông chân cột đá 1x2, f'c=16Mpa, đúc sẵn</v>
          </cell>
          <cell r="F20" t="str">
            <v>Suốt tuyến</v>
          </cell>
          <cell r="H20" t="str">
            <v>TCVN 5637 : 1991 Quản lý chất lượng xây lắp công trình xây dựng. Nguyên tắc cơ bản</v>
          </cell>
          <cell r="I20">
            <v>42502</v>
          </cell>
          <cell r="J20" t="str">
            <v>9h00-9h30</v>
          </cell>
          <cell r="L20">
            <v>42510</v>
          </cell>
          <cell r="M20" t="str">
            <v>8h00-9h00</v>
          </cell>
          <cell r="N20">
            <v>42510</v>
          </cell>
          <cell r="O20">
            <v>42511</v>
          </cell>
          <cell r="P20" t="str">
            <v>15h00-15h30</v>
          </cell>
          <cell r="R20">
            <v>42502</v>
          </cell>
          <cell r="S20">
            <v>42512</v>
          </cell>
          <cell r="U20" t="str">
            <v>T</v>
          </cell>
          <cell r="V20">
            <v>42502</v>
          </cell>
          <cell r="W20" t="str">
            <v>8h00-9h00</v>
          </cell>
          <cell r="Y20">
            <v>42502</v>
          </cell>
          <cell r="Z20" t="str">
            <v>9h00-10h00</v>
          </cell>
        </row>
        <row r="21">
          <cell r="C21" t="str">
            <v>LM</v>
          </cell>
          <cell r="D21" t="str">
            <v/>
          </cell>
          <cell r="E21" t="str">
            <v>Sản xuất tại công trường; 16Mpa; 2-4; 3; 15x15x15</v>
          </cell>
          <cell r="H21" t="str">
            <v>TCVN 4055 : 2012 Tổ chức thi công</v>
          </cell>
        </row>
        <row r="22">
          <cell r="D22" t="str">
            <v/>
          </cell>
          <cell r="H22" t="str">
            <v>TCVN 5308 : 1991 Quy phạm kỹ thuật an toàn trong xây dựng</v>
          </cell>
        </row>
        <row r="23">
          <cell r="A23">
            <v>6</v>
          </cell>
          <cell r="B23" t="str">
            <v>AG.32211</v>
          </cell>
          <cell r="D23" t="str">
            <v>06</v>
          </cell>
          <cell r="E23" t="str">
            <v>Ván khuôn móng chân cột đúc sẵn</v>
          </cell>
          <cell r="F23" t="str">
            <v>Suốt tuyến</v>
          </cell>
          <cell r="H23" t="str">
            <v>TCVN 9115 : 2012 Kết cấu bê tông và bê tông cốt thép lắp ghép - Thi công và nghiệm thu</v>
          </cell>
          <cell r="L23">
            <v>42510</v>
          </cell>
          <cell r="M23" t="str">
            <v>8h00-9h00</v>
          </cell>
          <cell r="N23">
            <v>42510</v>
          </cell>
          <cell r="O23">
            <v>42511</v>
          </cell>
          <cell r="P23" t="str">
            <v>15h00-15h30</v>
          </cell>
          <cell r="R23">
            <v>42502</v>
          </cell>
          <cell r="S23">
            <v>42512</v>
          </cell>
          <cell r="U23" t="str">
            <v>T</v>
          </cell>
        </row>
        <row r="24">
          <cell r="D24" t="str">
            <v/>
          </cell>
          <cell r="H24" t="str">
            <v>TCVN 4055 : 2012 Tổ chức thi công</v>
          </cell>
        </row>
        <row r="25">
          <cell r="D25" t="str">
            <v/>
          </cell>
          <cell r="H25" t="str">
            <v>TCVN 5308 : 1991 Quy phạm kỹ thuật an toàn trong xây dựng</v>
          </cell>
        </row>
        <row r="26">
          <cell r="A26">
            <v>7</v>
          </cell>
          <cell r="B26" t="str">
            <v>AG.42121</v>
          </cell>
          <cell r="D26" t="str">
            <v>07</v>
          </cell>
          <cell r="E26" t="str">
            <v>Lắp đặt chân cột</v>
          </cell>
          <cell r="F26" t="str">
            <v>Suốt tuyến</v>
          </cell>
          <cell r="H26" t="str">
            <v>TCVN 5637 : 1991 Quản lý chất lượng xây lắp công trình xây dựng. Nguyên tắc cơ bản</v>
          </cell>
          <cell r="L26">
            <v>42541</v>
          </cell>
          <cell r="M26" t="str">
            <v>8h00-9h00</v>
          </cell>
          <cell r="N26">
            <v>42541</v>
          </cell>
          <cell r="O26">
            <v>42542</v>
          </cell>
          <cell r="P26" t="str">
            <v>15h00-15h30</v>
          </cell>
          <cell r="R26">
            <v>42512</v>
          </cell>
          <cell r="S26">
            <v>42543</v>
          </cell>
          <cell r="U26" t="str">
            <v>T</v>
          </cell>
        </row>
        <row r="27">
          <cell r="D27" t="str">
            <v/>
          </cell>
          <cell r="H27" t="str">
            <v>TCVN 4055 : 2012 Tổ chức thi công</v>
          </cell>
        </row>
        <row r="28">
          <cell r="D28" t="str">
            <v/>
          </cell>
          <cell r="H28" t="str">
            <v>TCVN 5308 : 1991 Quy phạm kỹ thuật an toàn trong xây dựng</v>
          </cell>
        </row>
        <row r="29">
          <cell r="A29">
            <v>8</v>
          </cell>
          <cell r="B29" t="str">
            <v>AF.11213</v>
          </cell>
          <cell r="D29" t="str">
            <v>08</v>
          </cell>
          <cell r="E29" t="str">
            <v>Bê tông móng đá 1x2, f'c=16Mpa, đổ tại chỗ</v>
          </cell>
          <cell r="F29" t="str">
            <v>Suốt tuyến</v>
          </cell>
          <cell r="H29" t="str">
            <v>TCVN 4055 : 2012 Tổ chức thi công</v>
          </cell>
          <cell r="I29">
            <v>42515</v>
          </cell>
          <cell r="J29" t="str">
            <v>9h00-9h30</v>
          </cell>
          <cell r="L29">
            <v>42533</v>
          </cell>
          <cell r="M29" t="str">
            <v>8h00-9h00</v>
          </cell>
          <cell r="N29">
            <v>42533</v>
          </cell>
          <cell r="O29">
            <v>42534</v>
          </cell>
          <cell r="P29" t="str">
            <v>15h00-15h30</v>
          </cell>
          <cell r="R29">
            <v>42515</v>
          </cell>
          <cell r="S29">
            <v>42535</v>
          </cell>
          <cell r="U29" t="str">
            <v>T</v>
          </cell>
        </row>
        <row r="30">
          <cell r="C30" t="str">
            <v>LM</v>
          </cell>
          <cell r="D30" t="str">
            <v/>
          </cell>
          <cell r="E30" t="str">
            <v>Sản xuất tại công trường; 16Mpa; 2-4; 9; 15x15x15;</v>
          </cell>
          <cell r="H30" t="str">
            <v>TCVN 4453 : 1995 Kết cấu bê tông và bê tông cốt thép toàn khối. Quy phạm thi công và nghiệm thu.</v>
          </cell>
        </row>
        <row r="31">
          <cell r="D31" t="str">
            <v/>
          </cell>
          <cell r="H31" t="str">
            <v>TCVN 5308 : 1991 Quy phạm kỹ thuật an toàn trong xây dựng</v>
          </cell>
        </row>
        <row r="33">
          <cell r="A33">
            <v>9</v>
          </cell>
          <cell r="B33" t="str">
            <v>AI.11421</v>
          </cell>
          <cell r="D33" t="str">
            <v>09</v>
          </cell>
          <cell r="E33" t="str">
            <v>Sản xuất kết cấu hàng rào</v>
          </cell>
          <cell r="F33" t="str">
            <v>Suốt tuyến</v>
          </cell>
          <cell r="H33" t="str">
            <v>TCVN 5637 : 1991 Quản lý chất lượng xây lắp công trình xây dựng. Nguyên tắc cơ bản</v>
          </cell>
          <cell r="L33">
            <v>42515</v>
          </cell>
          <cell r="M33" t="str">
            <v>8h00-9h00</v>
          </cell>
          <cell r="N33">
            <v>42515</v>
          </cell>
          <cell r="O33">
            <v>42516</v>
          </cell>
          <cell r="P33" t="str">
            <v>15h00-15h30</v>
          </cell>
          <cell r="R33">
            <v>42502</v>
          </cell>
          <cell r="S33">
            <v>42517</v>
          </cell>
          <cell r="U33" t="str">
            <v>T</v>
          </cell>
        </row>
        <row r="34">
          <cell r="D34" t="str">
            <v/>
          </cell>
          <cell r="H34" t="str">
            <v>TCVN 4055 : 2012 Tổ chức thi công</v>
          </cell>
        </row>
        <row r="35">
          <cell r="D35" t="str">
            <v/>
          </cell>
          <cell r="H35" t="str">
            <v>TCVN 5308 : 1991 Quy phạm kỹ thuật an toàn trong xây dựng</v>
          </cell>
        </row>
        <row r="36">
          <cell r="A36">
            <v>10</v>
          </cell>
          <cell r="B36" t="str">
            <v>AI.63211</v>
          </cell>
          <cell r="D36" t="str">
            <v>10</v>
          </cell>
          <cell r="E36" t="str">
            <v>Lắp dựng hàng rào</v>
          </cell>
          <cell r="F36" t="str">
            <v>Suốt tuyến</v>
          </cell>
          <cell r="H36" t="str">
            <v>TCVN 5637 : 1991 Quản lý chất lượng xây lắp công trình xây dựng. Nguyên tắc cơ bản</v>
          </cell>
          <cell r="L36">
            <v>42533</v>
          </cell>
          <cell r="M36" t="str">
            <v>8h00-9h00</v>
          </cell>
          <cell r="N36">
            <v>42533</v>
          </cell>
          <cell r="O36">
            <v>42534</v>
          </cell>
          <cell r="P36" t="str">
            <v>15h00-15h30</v>
          </cell>
          <cell r="R36">
            <v>42519</v>
          </cell>
          <cell r="S36">
            <v>42535</v>
          </cell>
          <cell r="U36" t="str">
            <v>T</v>
          </cell>
        </row>
        <row r="37">
          <cell r="D37" t="str">
            <v/>
          </cell>
          <cell r="H37" t="str">
            <v>TCVN 4055 : 2012 Tổ chức thi công</v>
          </cell>
        </row>
        <row r="38">
          <cell r="D38" t="str">
            <v/>
          </cell>
          <cell r="H38" t="str">
            <v>TCVN 5308 : 1991 Quy phạm kỹ thuật an toàn trong xây dựng</v>
          </cell>
        </row>
        <row r="39">
          <cell r="A39">
            <v>11</v>
          </cell>
          <cell r="B39" t="str">
            <v>AI.11421</v>
          </cell>
          <cell r="D39" t="str">
            <v>11</v>
          </cell>
          <cell r="E39" t="str">
            <v>Sản xuất kết cấu trụ hàng rào</v>
          </cell>
          <cell r="F39" t="str">
            <v>Suốt tuyến</v>
          </cell>
          <cell r="H39" t="str">
            <v>TCVN 5637 : 1991 Quản lý chất lượng xây lắp công trình xây dựng. Nguyên tắc cơ bản</v>
          </cell>
          <cell r="L39">
            <v>42515</v>
          </cell>
          <cell r="M39" t="str">
            <v>8h00-9h00</v>
          </cell>
          <cell r="N39">
            <v>42515</v>
          </cell>
          <cell r="O39">
            <v>42516</v>
          </cell>
          <cell r="P39" t="str">
            <v>15h00-15h30</v>
          </cell>
          <cell r="R39">
            <v>42502</v>
          </cell>
          <cell r="S39">
            <v>42517</v>
          </cell>
          <cell r="U39" t="str">
            <v>T</v>
          </cell>
        </row>
        <row r="40">
          <cell r="D40" t="str">
            <v/>
          </cell>
          <cell r="H40" t="str">
            <v>TCVN 4055 : 2012 Tổ chức thi công</v>
          </cell>
        </row>
        <row r="41">
          <cell r="D41" t="str">
            <v/>
          </cell>
          <cell r="H41" t="str">
            <v>TCVN 5308 : 1991 Quy phạm kỹ thuật an toàn trong xây dựng</v>
          </cell>
        </row>
        <row r="42">
          <cell r="A42">
            <v>12</v>
          </cell>
          <cell r="B42" t="str">
            <v>AI.61131vd</v>
          </cell>
          <cell r="D42" t="str">
            <v>12</v>
          </cell>
          <cell r="E42" t="str">
            <v>Lắp dựng trụ hàng rào</v>
          </cell>
          <cell r="F42" t="str">
            <v>Suốt tuyến</v>
          </cell>
          <cell r="H42" t="str">
            <v>TCVN 5637 : 1991 Quản lý chất lượng xây lắp công trình xây dựng. Nguyên tắc cơ bản</v>
          </cell>
          <cell r="M42" t="str">
            <v>8h00-9h00</v>
          </cell>
          <cell r="P42" t="str">
            <v>15h00-15h30</v>
          </cell>
          <cell r="R42">
            <v>42519</v>
          </cell>
          <cell r="S42">
            <v>42535</v>
          </cell>
          <cell r="U42" t="str">
            <v>T</v>
          </cell>
        </row>
        <row r="43">
          <cell r="D43" t="str">
            <v/>
          </cell>
          <cell r="H43" t="str">
            <v>TCVN 4055 : 2012 Tổ chức thi công</v>
          </cell>
        </row>
        <row r="44">
          <cell r="D44" t="str">
            <v/>
          </cell>
          <cell r="H44" t="str">
            <v>TCVN 5308 : 1991 Quy phạm kỹ thuật an toàn trong xây dựng</v>
          </cell>
        </row>
        <row r="45">
          <cell r="A45">
            <v>13</v>
          </cell>
          <cell r="B45" t="str">
            <v>XS.5211a</v>
          </cell>
          <cell r="D45" t="str">
            <v>13</v>
          </cell>
          <cell r="E45" t="str">
            <v>Lắp đặt bu long M16x400</v>
          </cell>
          <cell r="F45" t="str">
            <v>Suốt tuyến</v>
          </cell>
          <cell r="H45" t="str">
            <v>TCVN 5637 : 1991 Quản lý chất lượng xây lắp công trình xây dựng. Nguyên tắc cơ bản</v>
          </cell>
          <cell r="M45" t="str">
            <v>8h00-9h00</v>
          </cell>
          <cell r="P45" t="str">
            <v>15h00-15h30</v>
          </cell>
          <cell r="R45">
            <v>42519</v>
          </cell>
          <cell r="S45">
            <v>42535</v>
          </cell>
          <cell r="U45" t="str">
            <v>T</v>
          </cell>
        </row>
        <row r="46">
          <cell r="D46" t="str">
            <v/>
          </cell>
          <cell r="H46" t="str">
            <v>TCVN 4055 : 2012 Tổ chức thi công</v>
          </cell>
        </row>
        <row r="47">
          <cell r="D47" t="str">
            <v/>
          </cell>
          <cell r="H47" t="str">
            <v>TCVN 5308 : 1991 Quy phạm kỹ thuật an toàn trong xây dựng</v>
          </cell>
        </row>
        <row r="48">
          <cell r="A48">
            <v>14</v>
          </cell>
          <cell r="B48" t="str">
            <v>XS.5211a</v>
          </cell>
          <cell r="D48" t="str">
            <v>14</v>
          </cell>
          <cell r="E48" t="str">
            <v>Lắp đặt bu long M12x150</v>
          </cell>
          <cell r="F48" t="str">
            <v>Suốt tuyến</v>
          </cell>
          <cell r="H48" t="str">
            <v>TCVN 5637 : 1991 Quản lý chất lượng xây lắp công trình xây dựng. Nguyên tắc cơ bản</v>
          </cell>
          <cell r="M48" t="str">
            <v>8h00-9h00</v>
          </cell>
          <cell r="P48" t="str">
            <v>15h00-15h30</v>
          </cell>
          <cell r="R48">
            <v>42519</v>
          </cell>
          <cell r="S48">
            <v>42535</v>
          </cell>
          <cell r="U48" t="str">
            <v>T</v>
          </cell>
        </row>
        <row r="49">
          <cell r="D49" t="str">
            <v/>
          </cell>
          <cell r="H49" t="str">
            <v>TCVN 4055 : 2012 Tổ chức thi công</v>
          </cell>
        </row>
        <row r="50">
          <cell r="D50" t="str">
            <v/>
          </cell>
          <cell r="H50" t="str">
            <v>TCVN 5308 : 1991 Quy phạm kỹ thuật an toàn trong xây dựng</v>
          </cell>
        </row>
        <row r="51">
          <cell r="A51">
            <v>15</v>
          </cell>
          <cell r="B51" t="str">
            <v>TT</v>
          </cell>
          <cell r="D51" t="str">
            <v>15</v>
          </cell>
          <cell r="E51" t="str">
            <v>Mạ kẽm</v>
          </cell>
          <cell r="F51" t="str">
            <v>Suốt tuyến</v>
          </cell>
          <cell r="H51" t="str">
            <v>TCVN 5408 : 2007 Lớp phủ kẽm nhúng nóng trên bề mặt sản phẩm gang và thép - Yêu cầu kỹ thuật và phương pháp thử</v>
          </cell>
          <cell r="I51" t="str">
            <v/>
          </cell>
          <cell r="P51" t="str">
            <v>15h00-15h30</v>
          </cell>
          <cell r="R51">
            <v>42518</v>
          </cell>
          <cell r="S51">
            <v>42523</v>
          </cell>
          <cell r="U51" t="str">
            <v>T</v>
          </cell>
        </row>
        <row r="52">
          <cell r="D52" t="str">
            <v/>
          </cell>
          <cell r="H52" t="str">
            <v>TCVN 5026 : 2010 Lớp phủ kim loại và phủ vô cơ khác - Lớp kẽm mạ điện có xử lý bổ sung trên nền gang hoặc thép</v>
          </cell>
          <cell r="M52" t="str">
            <v>8h00-9h00</v>
          </cell>
        </row>
        <row r="53">
          <cell r="D53" t="str">
            <v/>
          </cell>
          <cell r="H53" t="str">
            <v>Tham khảo các tiêu chuẩn ASTM về mạ kẽn nhúng nóng</v>
          </cell>
        </row>
        <row r="54">
          <cell r="D54" t="str">
            <v/>
          </cell>
        </row>
        <row r="55">
          <cell r="D55" t="str">
            <v/>
          </cell>
        </row>
      </sheetData>
      <sheetData sheetId="13"/>
      <sheetData sheetId="14"/>
      <sheetData sheetId="15"/>
      <sheetData sheetId="16"/>
      <sheetData sheetId="17"/>
      <sheetData sheetId="18"/>
      <sheetData sheetId="19">
        <row r="7">
          <cell r="A7" t="str">
            <v>[1]</v>
          </cell>
          <cell r="B7" t="str">
            <v>[2]</v>
          </cell>
          <cell r="D7" t="str">
            <v>[2]</v>
          </cell>
          <cell r="E7" t="str">
            <v>[3]</v>
          </cell>
          <cell r="F7" t="str">
            <v>[3]</v>
          </cell>
          <cell r="G7" t="str">
            <v>[4]</v>
          </cell>
          <cell r="H7" t="str">
            <v>[5]</v>
          </cell>
          <cell r="I7" t="str">
            <v>[6]</v>
          </cell>
          <cell r="J7" t="str">
            <v>[7]</v>
          </cell>
          <cell r="K7" t="str">
            <v>[8]</v>
          </cell>
          <cell r="L7" t="str">
            <v>[9]</v>
          </cell>
          <cell r="M7" t="str">
            <v>[10]</v>
          </cell>
        </row>
        <row r="8">
          <cell r="A8">
            <v>1</v>
          </cell>
          <cell r="D8" t="str">
            <v>01GD</v>
          </cell>
          <cell r="E8" t="str">
            <v>DẢI PHÂN CÁCH</v>
          </cell>
          <cell r="M8">
            <v>1</v>
          </cell>
        </row>
        <row r="9">
          <cell r="A9">
            <v>2</v>
          </cell>
          <cell r="D9" t="str">
            <v>02GD</v>
          </cell>
          <cell r="E9" t="str">
            <v>PHẦN THÂN</v>
          </cell>
          <cell r="M9">
            <v>1</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5">
          <cell r="G5">
            <v>42502</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
      <sheetName val="DanhMucMay"/>
      <sheetName val="Thong tin"/>
      <sheetName val="Ky bien ban"/>
      <sheetName val="Danh muc ho so"/>
      <sheetName val="Ts"/>
      <sheetName val="Bieu gia hop dong"/>
      <sheetName val="Phan tich vat tu"/>
      <sheetName val="Tong hop vat tu"/>
      <sheetName val="Danh muc NT Vat lieu"/>
      <sheetName val="Lay mau VL"/>
      <sheetName val="NT noi bo vat lieu"/>
      <sheetName val="YCNT vat lieu"/>
      <sheetName val="NT vat lieu"/>
      <sheetName val="Vat lieu nhap ve"/>
      <sheetName val="Danh muc NT cong viec"/>
      <sheetName val="LMTN"/>
      <sheetName val="NT noi bo cong viec"/>
      <sheetName val="YCNT cong viec"/>
      <sheetName val="NT cong viec"/>
      <sheetName val="Bien ban kiem tra be tong"/>
      <sheetName val="BB theo doi do be tong"/>
      <sheetName val="Danh muc NT Giai doan"/>
      <sheetName val="NT noi bo Giai doan"/>
      <sheetName val="YCNT Giai doan"/>
      <sheetName val="NT Giai doan"/>
      <sheetName val="NT noi bo hoan thanh su dung"/>
      <sheetName val="YCNT hoan thanh su dung"/>
      <sheetName val="NT Hoan thanh su dung"/>
      <sheetName val="Ban giao mat bang"/>
      <sheetName val="Thay doi mau"/>
      <sheetName val="Chap thuan mau"/>
      <sheetName val="Thay doi TK"/>
      <sheetName val="Khoi luong"/>
      <sheetName val="Thong ke thep"/>
      <sheetName val="THKL"/>
      <sheetName val="ND Nhat ky"/>
      <sheetName val="Mau Nhat ky"/>
      <sheetName val="Theo doi be tong"/>
      <sheetName val="Quy cach lay mau"/>
      <sheetName val="DMHSHT"/>
      <sheetName val="Cong van den"/>
      <sheetName val="Cong van di"/>
      <sheetName val="Chap thuan mo"/>
      <sheetName val="Ktra thiet bi nhan luc"/>
      <sheetName val="Phong TN hien truong"/>
      <sheetName val="He thong moc"/>
      <sheetName val="Ktra DK thi cong"/>
      <sheetName val="BB hien truong"/>
      <sheetName val="XL vi pham H.truong"/>
      <sheetName val="Bao cao chat luong"/>
      <sheetName val="THCP tu van"/>
      <sheetName val="DT man-month"/>
      <sheetName val="Cp chuyen gia"/>
      <sheetName val="Tienluong"/>
      <sheetName val="CPK TV"/>
      <sheetName val="Tien do TV"/>
      <sheetName val="Hinh Anh"/>
      <sheetName val="58_1507616562"/>
      <sheetName val="QMCT"/>
      <sheetName val="phuluc1"/>
      <sheetName val="NhanCong"/>
      <sheetName val="QD957new"/>
      <sheetName val="CP Du phong"/>
      <sheetName val="THCP Lap dat"/>
      <sheetName val="THCP xay dung"/>
      <sheetName val="Du toan LD"/>
      <sheetName val="THDT goi thau TB"/>
      <sheetName val="Gia ca may XD"/>
      <sheetName val="Nhan cong XD"/>
    </sheetNames>
    <sheetDataSet>
      <sheetData sheetId="0" refreshError="1"/>
      <sheetData sheetId="1" refreshError="1"/>
      <sheetData sheetId="2" refreshError="1">
        <row r="1">
          <cell r="B1" t="str">
            <v>CÁC THÔNG TIN CHUNG</v>
          </cell>
        </row>
        <row r="2">
          <cell r="B2" t="str">
            <v>Dự án:</v>
          </cell>
          <cell r="D2" t="str">
            <v>Xây dựng Tòa nhà Công ty Giá Xây Dựng</v>
          </cell>
        </row>
        <row r="3">
          <cell r="B3" t="str">
            <v>Công trình:</v>
          </cell>
          <cell r="D3" t="str">
            <v>Trụ sở phân phối phần mềm Quản lý chất lượng GXD</v>
          </cell>
        </row>
        <row r="4">
          <cell r="B4" t="str">
            <v>Hạng mục:</v>
          </cell>
          <cell r="D4" t="str">
            <v>Hỗ trợ và cài đặt phần mềm QLCL GXD</v>
          </cell>
        </row>
        <row r="5">
          <cell r="B5" t="str">
            <v>Gói thầu:</v>
          </cell>
          <cell r="D5" t="str">
            <v>Thi công VP chuyển giao phần mềm GXD</v>
          </cell>
        </row>
        <row r="6">
          <cell r="B6" t="str">
            <v>Hợp đồng số:</v>
          </cell>
          <cell r="D6" t="str">
            <v>01042014GXD-HN</v>
          </cell>
        </row>
        <row r="7">
          <cell r="B7" t="str">
            <v>Địa điểm xây dựng</v>
          </cell>
          <cell r="D7" t="str">
            <v>Số 124a, Nguyễn Ngọc Nại, Thanh Xuân, Hà Nội</v>
          </cell>
        </row>
        <row r="8">
          <cell r="B8" t="str">
            <v>Tỉnh / Thành phố</v>
          </cell>
          <cell r="D8" t="str">
            <v>Hà Nội</v>
          </cell>
        </row>
        <row r="10">
          <cell r="B10" t="str">
            <v>Chủ đầu tư</v>
          </cell>
          <cell r="D10" t="str">
            <v>Công ty CP Giá Xây Dựng</v>
          </cell>
        </row>
        <row r="11">
          <cell r="B11" t="str">
            <v>Địa chỉ:</v>
          </cell>
          <cell r="D11" t="str">
            <v>Số 124a, Nguyễn Ngọc Nại, Thanh Xuân, Hà Nội</v>
          </cell>
        </row>
        <row r="12">
          <cell r="D12" t="str">
            <v>Tel:</v>
          </cell>
          <cell r="E12" t="str">
            <v>04.35682482</v>
          </cell>
          <cell r="F12" t="str">
            <v>Fax:</v>
          </cell>
          <cell r="G12" t="str">
            <v>04.35682483</v>
          </cell>
        </row>
        <row r="13">
          <cell r="B13" t="str">
            <v xml:space="preserve"> Chủ đầu tư</v>
          </cell>
          <cell r="C13">
            <v>3</v>
          </cell>
          <cell r="D13" t="str">
            <v>Ông (Bà):</v>
          </cell>
          <cell r="E13" t="str">
            <v>Nguyễn Thế Anh</v>
          </cell>
          <cell r="F13" t="str">
            <v>Chức vụ:</v>
          </cell>
          <cell r="G13" t="str">
            <v>Giám đốc ban QLXD</v>
          </cell>
        </row>
        <row r="14">
          <cell r="D14" t="str">
            <v>Ông (Bà):</v>
          </cell>
          <cell r="E14" t="str">
            <v>Nguyễn Thái Anh</v>
          </cell>
          <cell r="F14" t="str">
            <v>Chức vụ:</v>
          </cell>
          <cell r="G14" t="str">
            <v>Giám sát kỹ thuật A</v>
          </cell>
        </row>
        <row r="15">
          <cell r="D15" t="str">
            <v>Ông (Bà):</v>
          </cell>
          <cell r="E15" t="str">
            <v>Nguyễn Trung Sơn</v>
          </cell>
          <cell r="F15" t="str">
            <v>Chức vụ:</v>
          </cell>
          <cell r="G15" t="str">
            <v>Giám sát kỹ thuật A</v>
          </cell>
        </row>
        <row r="16">
          <cell r="D16" t="str">
            <v>Ông (Bà):</v>
          </cell>
          <cell r="E16" t="str">
            <v>Ms Thu An</v>
          </cell>
          <cell r="F16" t="str">
            <v>Chức vụ:</v>
          </cell>
          <cell r="G16" t="str">
            <v>Phòng Kinh doanh</v>
          </cell>
        </row>
        <row r="17">
          <cell r="D17" t="str">
            <v>Ông (Bà):</v>
          </cell>
          <cell r="F17" t="str">
            <v>Chức vụ:</v>
          </cell>
        </row>
        <row r="18">
          <cell r="D18" t="str">
            <v>Ông (Bà):</v>
          </cell>
          <cell r="F18" t="str">
            <v>Chức vụ:</v>
          </cell>
        </row>
        <row r="19">
          <cell r="D19" t="str">
            <v>Ông (Bà):</v>
          </cell>
          <cell r="F19" t="str">
            <v>Chức vụ:</v>
          </cell>
        </row>
        <row r="20">
          <cell r="D20" t="str">
            <v>Ông (Bà):</v>
          </cell>
          <cell r="F20" t="str">
            <v>Chức vụ:</v>
          </cell>
        </row>
        <row r="22">
          <cell r="B22" t="str">
            <v>Nhà đầu tư</v>
          </cell>
          <cell r="D22" t="str">
            <v>Công ty CP đầu tư và phát triển hạ tầng Sao Khuê</v>
          </cell>
        </row>
        <row r="23">
          <cell r="B23" t="str">
            <v>Địa chỉ:</v>
          </cell>
          <cell r="D23" t="str">
            <v>Số 124, Nguyễn Ngọc Nại</v>
          </cell>
        </row>
        <row r="24">
          <cell r="D24" t="str">
            <v>Tel:</v>
          </cell>
          <cell r="E24" t="str">
            <v>04.35682482</v>
          </cell>
          <cell r="F24" t="str">
            <v>Fax:</v>
          </cell>
          <cell r="G24" t="str">
            <v>04.35682483</v>
          </cell>
        </row>
        <row r="25">
          <cell r="B25" t="str">
            <v xml:space="preserve"> Nhà đầu tư</v>
          </cell>
          <cell r="C25">
            <v>2</v>
          </cell>
          <cell r="D25" t="str">
            <v>Ông (Bà):</v>
          </cell>
          <cell r="E25" t="str">
            <v>Nguyễn Thảo Anh</v>
          </cell>
          <cell r="F25" t="str">
            <v>Chức vụ:</v>
          </cell>
          <cell r="G25" t="str">
            <v>Trưởng phòng Kế hoạch</v>
          </cell>
        </row>
        <row r="26">
          <cell r="D26" t="str">
            <v>Ông (Bà):</v>
          </cell>
          <cell r="E26" t="str">
            <v>Võ Văn Dũng</v>
          </cell>
          <cell r="F26" t="str">
            <v>Chức vụ:</v>
          </cell>
          <cell r="G26" t="str">
            <v>Nhân viên</v>
          </cell>
        </row>
        <row r="27">
          <cell r="D27" t="str">
            <v>Ông (Bà):</v>
          </cell>
          <cell r="E27">
            <v>0</v>
          </cell>
          <cell r="F27" t="str">
            <v>Chức vụ:</v>
          </cell>
        </row>
        <row r="28">
          <cell r="D28" t="str">
            <v>Ông (Bà):</v>
          </cell>
          <cell r="E28" t="str">
            <v xml:space="preserve"> </v>
          </cell>
          <cell r="F28" t="str">
            <v>Chức vụ:</v>
          </cell>
        </row>
        <row r="29">
          <cell r="D29" t="str">
            <v>Ông (Bà):</v>
          </cell>
          <cell r="E29">
            <v>0</v>
          </cell>
          <cell r="F29" t="str">
            <v>Chức vụ:</v>
          </cell>
        </row>
        <row r="30">
          <cell r="D30" t="str">
            <v>Ông (Bà):</v>
          </cell>
          <cell r="E30">
            <v>0</v>
          </cell>
          <cell r="F30" t="str">
            <v>Chức vụ:</v>
          </cell>
        </row>
        <row r="31">
          <cell r="D31" t="str">
            <v>Ông (Bà):</v>
          </cell>
          <cell r="E31">
            <v>0</v>
          </cell>
          <cell r="F31" t="str">
            <v>Chức vụ:</v>
          </cell>
        </row>
        <row r="32">
          <cell r="D32" t="str">
            <v>Ông (Bà):</v>
          </cell>
          <cell r="E32">
            <v>0</v>
          </cell>
          <cell r="F32" t="str">
            <v>Chức vụ:</v>
          </cell>
        </row>
        <row r="33">
          <cell r="E33">
            <v>0</v>
          </cell>
        </row>
        <row r="34">
          <cell r="B34" t="str">
            <v>Ban Quản lý dự án</v>
          </cell>
          <cell r="D34" t="str">
            <v>Công ty CP Giá Thiết Bị</v>
          </cell>
        </row>
        <row r="35">
          <cell r="B35" t="str">
            <v>Địa chỉ:</v>
          </cell>
          <cell r="D35" t="str">
            <v>Số 124, Nguyễn Ngọc Nại</v>
          </cell>
        </row>
        <row r="36">
          <cell r="D36" t="str">
            <v>Tel:</v>
          </cell>
          <cell r="E36" t="str">
            <v>04.35682482</v>
          </cell>
          <cell r="F36" t="str">
            <v>Fax:</v>
          </cell>
          <cell r="G36" t="str">
            <v>04.35682483</v>
          </cell>
        </row>
        <row r="37">
          <cell r="B37" t="str">
            <v xml:space="preserve"> Ban Quản lý dự án</v>
          </cell>
          <cell r="C37">
            <v>3</v>
          </cell>
          <cell r="D37" t="str">
            <v>Ông (Bà):</v>
          </cell>
          <cell r="E37" t="str">
            <v>Nguyễn Thanh Hưng</v>
          </cell>
          <cell r="F37" t="str">
            <v>Chức vụ:</v>
          </cell>
          <cell r="G37" t="str">
            <v>Trưởng ban</v>
          </cell>
        </row>
        <row r="38">
          <cell r="D38" t="str">
            <v>Ông (Bà):</v>
          </cell>
          <cell r="E38" t="str">
            <v>Vũ Thị Kim Anh</v>
          </cell>
          <cell r="F38" t="str">
            <v>Chức vụ:</v>
          </cell>
          <cell r="G38" t="str">
            <v>Phó Trưởng ban</v>
          </cell>
        </row>
        <row r="39">
          <cell r="D39" t="str">
            <v>Ông (Bà):</v>
          </cell>
          <cell r="E39" t="str">
            <v>Hoàng Minh Quân</v>
          </cell>
          <cell r="F39" t="str">
            <v>Chức vụ:</v>
          </cell>
          <cell r="G39" t="str">
            <v>CB BQLDA</v>
          </cell>
        </row>
        <row r="40">
          <cell r="D40" t="str">
            <v>Ông (Bà):</v>
          </cell>
          <cell r="E40" t="str">
            <v xml:space="preserve"> </v>
          </cell>
          <cell r="F40" t="str">
            <v>Chức vụ:</v>
          </cell>
        </row>
        <row r="41">
          <cell r="D41" t="str">
            <v>Ông (Bà):</v>
          </cell>
          <cell r="F41" t="str">
            <v>Chức vụ:</v>
          </cell>
        </row>
        <row r="42">
          <cell r="D42" t="str">
            <v>Ông (Bà):</v>
          </cell>
          <cell r="F42" t="str">
            <v>Chức vụ:</v>
          </cell>
        </row>
        <row r="43">
          <cell r="D43" t="str">
            <v>Ông (Bà):</v>
          </cell>
          <cell r="F43" t="str">
            <v>Chức vụ:</v>
          </cell>
        </row>
        <row r="44">
          <cell r="D44" t="str">
            <v>Ông (Bà):</v>
          </cell>
          <cell r="F44" t="str">
            <v>Chức vụ:</v>
          </cell>
        </row>
        <row r="46">
          <cell r="B46" t="str">
            <v>Tư vấn giám sát</v>
          </cell>
          <cell r="D46" t="str">
            <v>CTCP TV Công nghệ, Thiết bị và Kiểm định xây dựng - CONINCO</v>
          </cell>
        </row>
        <row r="47">
          <cell r="B47" t="str">
            <v>Địa chỉ:</v>
          </cell>
          <cell r="D47" t="str">
            <v>Số 4, Tôn Thất Tùng, Trung Tự, Đống Đa, Hà Nội</v>
          </cell>
        </row>
        <row r="48">
          <cell r="B48" t="str">
            <v>Giấy phép thành lập:</v>
          </cell>
        </row>
        <row r="49">
          <cell r="B49" t="str">
            <v>Chứng nhận Kinh doanh:</v>
          </cell>
        </row>
        <row r="50">
          <cell r="B50" t="str">
            <v>Chứng chỉ hành nghề:</v>
          </cell>
        </row>
        <row r="51">
          <cell r="D51" t="str">
            <v>Tel:</v>
          </cell>
          <cell r="F51" t="str">
            <v>Fax:</v>
          </cell>
        </row>
        <row r="52">
          <cell r="B52" t="str">
            <v xml:space="preserve"> Tư vấn giám sát</v>
          </cell>
          <cell r="C52">
            <v>4</v>
          </cell>
          <cell r="D52" t="str">
            <v>Ông (Bà):</v>
          </cell>
          <cell r="E52" t="str">
            <v>Phạm Hoàng Giang</v>
          </cell>
          <cell r="F52" t="str">
            <v>Chức vụ:</v>
          </cell>
          <cell r="G52" t="str">
            <v>Trưởng đoàn TVGS/Tư vấn trưởng</v>
          </cell>
        </row>
        <row r="53">
          <cell r="D53" t="str">
            <v>Ông (Bà):</v>
          </cell>
          <cell r="E53" t="str">
            <v>Nguyễn Thị Lụa</v>
          </cell>
          <cell r="F53" t="str">
            <v>Chức vụ:</v>
          </cell>
          <cell r="G53" t="str">
            <v>CB TVGS/Giám sát viên</v>
          </cell>
        </row>
        <row r="54">
          <cell r="D54" t="str">
            <v>Ông (Bà):</v>
          </cell>
          <cell r="E54" t="str">
            <v>Nguyễn Quang Minh</v>
          </cell>
          <cell r="F54" t="str">
            <v>Chức vụ:</v>
          </cell>
          <cell r="G54" t="str">
            <v>CB TVGS/Giám sát viên</v>
          </cell>
        </row>
        <row r="55">
          <cell r="D55" t="str">
            <v>Ông (Bà):</v>
          </cell>
          <cell r="E55" t="str">
            <v>Nguyễn Văn Hoàng</v>
          </cell>
          <cell r="F55" t="str">
            <v>Chức vụ:</v>
          </cell>
          <cell r="G55" t="str">
            <v>CB TVGS/Giám sát viên</v>
          </cell>
        </row>
        <row r="56">
          <cell r="D56" t="str">
            <v>Ông (Bà):</v>
          </cell>
          <cell r="F56" t="str">
            <v>Chức vụ:</v>
          </cell>
        </row>
        <row r="58">
          <cell r="B58" t="str">
            <v>Nhà thầu thi công</v>
          </cell>
          <cell r="D58" t="str">
            <v>Hòa Bình Corporation</v>
          </cell>
        </row>
        <row r="59">
          <cell r="B59" t="str">
            <v>Địa chỉ:</v>
          </cell>
        </row>
        <row r="60">
          <cell r="B60" t="str">
            <v>Giấy phép thành lập:</v>
          </cell>
        </row>
        <row r="61">
          <cell r="B61" t="str">
            <v>Chứng nhận Kinh doanh:</v>
          </cell>
          <cell r="H61">
            <v>0</v>
          </cell>
        </row>
        <row r="62">
          <cell r="B62" t="str">
            <v>Chứng chỉ hành nghề:</v>
          </cell>
        </row>
        <row r="63">
          <cell r="D63" t="str">
            <v>Tel:</v>
          </cell>
          <cell r="F63" t="str">
            <v>Fax:</v>
          </cell>
        </row>
        <row r="64">
          <cell r="B64" t="str">
            <v xml:space="preserve"> Nhà thầu thi công</v>
          </cell>
          <cell r="C64">
            <v>5</v>
          </cell>
          <cell r="D64" t="str">
            <v>Ông (Bà):</v>
          </cell>
          <cell r="E64" t="str">
            <v>Hoàng Anh Thư</v>
          </cell>
          <cell r="F64" t="str">
            <v>Chức vụ:</v>
          </cell>
          <cell r="G64" t="str">
            <v>Giám đốc</v>
          </cell>
        </row>
        <row r="65">
          <cell r="D65" t="str">
            <v>Ông (Bà):</v>
          </cell>
          <cell r="E65" t="str">
            <v>Nguyễn Quốc Toản</v>
          </cell>
          <cell r="F65" t="str">
            <v>Chức vụ:</v>
          </cell>
          <cell r="G65" t="str">
            <v>Chỉ huy trưởng</v>
          </cell>
        </row>
        <row r="66">
          <cell r="D66" t="str">
            <v>Ông (Bà):</v>
          </cell>
          <cell r="E66" t="str">
            <v>Nguyễn Văn Thắng</v>
          </cell>
          <cell r="F66" t="str">
            <v>Chức vụ:</v>
          </cell>
          <cell r="G66" t="str">
            <v>Chỉ huy phó</v>
          </cell>
        </row>
        <row r="67">
          <cell r="D67" t="str">
            <v>Ông (Bà):</v>
          </cell>
          <cell r="E67" t="str">
            <v>Lê Văn Sinh</v>
          </cell>
          <cell r="F67" t="str">
            <v>Chức vụ:</v>
          </cell>
          <cell r="G67" t="str">
            <v>CB Kỹ thuật</v>
          </cell>
        </row>
        <row r="68">
          <cell r="D68" t="str">
            <v>Ông (Bà):</v>
          </cell>
          <cell r="E68" t="str">
            <v>Trịnh Hoàng Dũng</v>
          </cell>
          <cell r="F68" t="str">
            <v>Chức vụ:</v>
          </cell>
          <cell r="G68" t="str">
            <v>Kỹ sư QS</v>
          </cell>
        </row>
        <row r="69">
          <cell r="D69" t="str">
            <v>Ông (Bà):</v>
          </cell>
          <cell r="F69" t="str">
            <v>Chức vụ:</v>
          </cell>
        </row>
        <row r="70">
          <cell r="D70" t="str">
            <v>Ông (Bà):</v>
          </cell>
          <cell r="F70" t="str">
            <v>Chức vụ:</v>
          </cell>
        </row>
        <row r="72">
          <cell r="B72" t="str">
            <v>Đơn vị thí nghiệm</v>
          </cell>
          <cell r="D72" t="str">
            <v>Phòng las số 925</v>
          </cell>
        </row>
        <row r="73">
          <cell r="B73" t="str">
            <v>Địa chỉ:</v>
          </cell>
        </row>
        <row r="74">
          <cell r="B74" t="str">
            <v>Giấy phép thành lập:</v>
          </cell>
        </row>
        <row r="75">
          <cell r="B75" t="str">
            <v>Chứng nhận Kinh doanh:</v>
          </cell>
        </row>
        <row r="76">
          <cell r="B76" t="str">
            <v>Chứng chỉ hành nghề:</v>
          </cell>
        </row>
        <row r="77">
          <cell r="D77" t="str">
            <v>Tel:</v>
          </cell>
          <cell r="F77" t="str">
            <v>Fax:</v>
          </cell>
        </row>
        <row r="78">
          <cell r="B78" t="str">
            <v xml:space="preserve"> Đơn vị thí nghiệm</v>
          </cell>
          <cell r="C78">
            <v>2</v>
          </cell>
          <cell r="D78" t="str">
            <v>Ông (Bà):</v>
          </cell>
          <cell r="E78" t="str">
            <v>Vũ Quang Vinh</v>
          </cell>
          <cell r="F78" t="str">
            <v>Chức vụ:</v>
          </cell>
          <cell r="G78" t="str">
            <v>CB Thí nghiệm</v>
          </cell>
        </row>
        <row r="79">
          <cell r="D79" t="str">
            <v>Ông (Bà):</v>
          </cell>
          <cell r="E79" t="str">
            <v>Trần Công Bằng</v>
          </cell>
          <cell r="F79" t="str">
            <v>Chức vụ:</v>
          </cell>
          <cell r="G79" t="str">
            <v>CB Thí nghiệm</v>
          </cell>
        </row>
        <row r="80">
          <cell r="D80" t="str">
            <v>Ông (Bà):</v>
          </cell>
          <cell r="F80" t="str">
            <v>Chức vụ:</v>
          </cell>
        </row>
        <row r="82">
          <cell r="B82" t="str">
            <v>Tư vấn thiết kế</v>
          </cell>
          <cell r="D82" t="str">
            <v>Phòng Thiết kế mô hình PM TVGS</v>
          </cell>
        </row>
        <row r="83">
          <cell r="B83" t="str">
            <v>Địa chỉ:</v>
          </cell>
        </row>
        <row r="84">
          <cell r="B84" t="str">
            <v>Giấy phép thành lập:</v>
          </cell>
          <cell r="D84" t="str">
            <v xml:space="preserve">Giấy phép số </v>
          </cell>
        </row>
        <row r="85">
          <cell r="B85" t="str">
            <v>Chứng nhận Kinh doanh:</v>
          </cell>
        </row>
        <row r="86">
          <cell r="B86" t="str">
            <v>Chứng chỉ hành nghề:</v>
          </cell>
        </row>
        <row r="87">
          <cell r="D87" t="str">
            <v>Tel:</v>
          </cell>
          <cell r="F87" t="str">
            <v>Fax:</v>
          </cell>
        </row>
        <row r="88">
          <cell r="B88" t="str">
            <v xml:space="preserve"> Tư vấn thiết kế</v>
          </cell>
          <cell r="C88">
            <v>2</v>
          </cell>
          <cell r="D88" t="str">
            <v>Ông (Bà):</v>
          </cell>
          <cell r="E88" t="str">
            <v>Lê Đức Thiện</v>
          </cell>
          <cell r="F88" t="str">
            <v>Chức vụ:</v>
          </cell>
          <cell r="G88" t="str">
            <v>Giám đốc</v>
          </cell>
        </row>
        <row r="89">
          <cell r="D89" t="str">
            <v>Ông (Bà):</v>
          </cell>
          <cell r="E89" t="str">
            <v>Phạm Văn Quang</v>
          </cell>
          <cell r="F89" t="str">
            <v>Chức vụ:</v>
          </cell>
          <cell r="G89" t="str">
            <v>Chủ trì</v>
          </cell>
        </row>
        <row r="90">
          <cell r="D90" t="str">
            <v>Ông (Bà):</v>
          </cell>
          <cell r="F90" t="str">
            <v>Chức vụ:</v>
          </cell>
        </row>
        <row r="92">
          <cell r="B92" t="str">
            <v>Đơn vị cung cấp thiết bị</v>
          </cell>
          <cell r="D92" t="str">
            <v>Phòng Kỹ thuật máy tính</v>
          </cell>
        </row>
        <row r="93">
          <cell r="B93" t="str">
            <v>Địa chỉ:</v>
          </cell>
        </row>
        <row r="94">
          <cell r="B94" t="str">
            <v>Giấy phép thành lập:</v>
          </cell>
        </row>
        <row r="95">
          <cell r="B95" t="str">
            <v>Chứng nhận Kinh doanh:</v>
          </cell>
        </row>
        <row r="96">
          <cell r="B96" t="str">
            <v>Chứng chỉ hành nghề:</v>
          </cell>
        </row>
        <row r="97">
          <cell r="D97" t="str">
            <v>Tel:</v>
          </cell>
          <cell r="F97" t="str">
            <v>Fax:</v>
          </cell>
        </row>
        <row r="98">
          <cell r="B98" t="str">
            <v xml:space="preserve"> Đơn vị cung cấp thiết bị</v>
          </cell>
          <cell r="D98" t="str">
            <v>Ông (Bà):</v>
          </cell>
          <cell r="F98" t="str">
            <v>Chức vụ:</v>
          </cell>
        </row>
        <row r="99">
          <cell r="D99" t="str">
            <v>Ông (Bà):</v>
          </cell>
          <cell r="F99" t="str">
            <v>Chức vụ:</v>
          </cell>
        </row>
        <row r="101">
          <cell r="B101" t="str">
            <v>Thành phần khác</v>
          </cell>
        </row>
        <row r="102">
          <cell r="B102" t="str">
            <v xml:space="preserve"> Thành phần khác</v>
          </cell>
          <cell r="C102">
            <v>3</v>
          </cell>
          <cell r="D102" t="str">
            <v>Ông (Bà):</v>
          </cell>
          <cell r="E102" t="str">
            <v>Hà Minh Đức</v>
          </cell>
          <cell r="F102" t="str">
            <v>Chức vụ:</v>
          </cell>
          <cell r="G102" t="str">
            <v>Tổ trưởng thi công</v>
          </cell>
        </row>
        <row r="103">
          <cell r="D103" t="str">
            <v>Ông (Bà):</v>
          </cell>
          <cell r="E103" t="str">
            <v>Bùi Hương Giang</v>
          </cell>
          <cell r="F103" t="str">
            <v>Chức vụ:</v>
          </cell>
          <cell r="G103" t="str">
            <v>Quản lý Dữ liệu</v>
          </cell>
        </row>
        <row r="104">
          <cell r="D104" t="str">
            <v>Ông (Bà):</v>
          </cell>
          <cell r="E104" t="str">
            <v>Nguyễn Vũ Phong</v>
          </cell>
          <cell r="F104" t="str">
            <v>Chức vụ:</v>
          </cell>
          <cell r="G104" t="str">
            <v>Cán bộ Dữ liệu</v>
          </cell>
        </row>
        <row r="105">
          <cell r="D105" t="str">
            <v>Ông (Bà):</v>
          </cell>
          <cell r="F105" t="str">
            <v>Chức vụ:</v>
          </cell>
        </row>
        <row r="106">
          <cell r="D106" t="str">
            <v>Ông (Bà):</v>
          </cell>
          <cell r="F106" t="str">
            <v>Chức vụ:</v>
          </cell>
        </row>
        <row r="107">
          <cell r="D107" t="str">
            <v>Ông (Bà):</v>
          </cell>
          <cell r="F107" t="str">
            <v>Chức vụ:</v>
          </cell>
        </row>
        <row r="108">
          <cell r="D108" t="str">
            <v>Ông (Bà):</v>
          </cell>
          <cell r="F108" t="str">
            <v>Chức vụ:</v>
          </cell>
        </row>
        <row r="109">
          <cell r="D109" t="str">
            <v>Ông (Bà):</v>
          </cell>
          <cell r="F109" t="str">
            <v>Chức vụ:</v>
          </cell>
        </row>
        <row r="110">
          <cell r="D110" t="str">
            <v>Ông (Bà):</v>
          </cell>
          <cell r="F110" t="str">
            <v>Chức vụ:</v>
          </cell>
        </row>
        <row r="111">
          <cell r="D111" t="str">
            <v>Ông (Bà):</v>
          </cell>
          <cell r="F111" t="str">
            <v>Chức vụ:</v>
          </cell>
        </row>
        <row r="116">
          <cell r="B116" t="str">
            <v xml:space="preserve"> Chủ đầu tư</v>
          </cell>
        </row>
        <row r="117">
          <cell r="B117" t="str">
            <v xml:space="preserve"> Nhà đầu tư</v>
          </cell>
        </row>
        <row r="118">
          <cell r="B118" t="str">
            <v xml:space="preserve"> Ban Quản lý dự án</v>
          </cell>
        </row>
        <row r="119">
          <cell r="B119" t="str">
            <v xml:space="preserve"> Tư vấn giám sát</v>
          </cell>
        </row>
        <row r="120">
          <cell r="B120" t="str">
            <v xml:space="preserve"> Nhà thầu thi công</v>
          </cell>
        </row>
        <row r="121">
          <cell r="B121" t="str">
            <v xml:space="preserve"> Đơn vị thí nghiệm</v>
          </cell>
        </row>
        <row r="122">
          <cell r="B122" t="str">
            <v xml:space="preserve"> Tư vấn thiết kế</v>
          </cell>
        </row>
        <row r="123">
          <cell r="B123" t="str">
            <v xml:space="preserve"> Đơn vị cung cấp thiết bị</v>
          </cell>
        </row>
      </sheetData>
      <sheetData sheetId="3" refreshError="1">
        <row r="4">
          <cell r="C4" t="str">
            <v>Nguyễn Quang Minh</v>
          </cell>
        </row>
        <row r="5">
          <cell r="C5" t="str">
            <v>Lê Văn Sinh</v>
          </cell>
        </row>
        <row r="6">
          <cell r="C6" t="str">
            <v>Vũ Quang Vinh</v>
          </cell>
        </row>
        <row r="11">
          <cell r="C11" t="str">
            <v>Nguyễn Quốc Toản</v>
          </cell>
          <cell r="D11" t="str">
            <v>Nguyễn Văn Thắng</v>
          </cell>
        </row>
        <row r="12">
          <cell r="C12" t="str">
            <v>Trịnh Hoàng Dũng</v>
          </cell>
          <cell r="D12" t="str">
            <v>Trịnh Hoàng Dũng</v>
          </cell>
        </row>
        <row r="18">
          <cell r="C18" t="str">
            <v>Nguyễn Quang Minh</v>
          </cell>
          <cell r="D18" t="str">
            <v>Nguyễn Thị Lụa</v>
          </cell>
        </row>
        <row r="19">
          <cell r="C19" t="str">
            <v>Lê Văn Sinh</v>
          </cell>
          <cell r="D19" t="str">
            <v>Lê Văn Sinh</v>
          </cell>
        </row>
        <row r="25">
          <cell r="C25" t="str">
            <v>Nguyễn Trung Sơn</v>
          </cell>
          <cell r="D25" t="str">
            <v>Nguyễn Thái Anh</v>
          </cell>
        </row>
        <row r="26">
          <cell r="C26" t="str">
            <v>Nguyễn Thị Lụa</v>
          </cell>
          <cell r="D26" t="str">
            <v>Nguyễn Quang Minh</v>
          </cell>
        </row>
        <row r="27">
          <cell r="C27" t="str">
            <v>Lê Văn Sinh</v>
          </cell>
          <cell r="D27" t="str">
            <v>Trịnh Hoàng Dũng</v>
          </cell>
        </row>
      </sheetData>
      <sheetData sheetId="4" refreshError="1"/>
      <sheetData sheetId="5" refreshError="1">
        <row r="3">
          <cell r="B3" t="str">
            <v>Dự án:</v>
          </cell>
        </row>
        <row r="4">
          <cell r="B4" t="str">
            <v>TRỤ SỞ PHÂN PHỐI VÀ CÀI ĐẶT PHẦN MỀM QLCL CÔNG TRÌNH GXD</v>
          </cell>
        </row>
        <row r="5">
          <cell r="B5" t="str">
            <v>Công trình:</v>
          </cell>
        </row>
        <row r="6">
          <cell r="B6" t="str">
            <v>TÒA NHÀ PHÂN PHỐI VÀ CÀI ĐẶT SỐ 124A, NGUYỄN NGỌC NẠI</v>
          </cell>
        </row>
        <row r="7">
          <cell r="B7" t="str">
            <v>Hạng mục:</v>
          </cell>
        </row>
        <row r="8">
          <cell r="B8" t="str">
            <v>VĂN PHÒNG HỖ TRỢ KHÁCH HÀNG</v>
          </cell>
        </row>
        <row r="9">
          <cell r="B9" t="str">
            <v>Gói thầu:</v>
          </cell>
        </row>
        <row r="10">
          <cell r="B10" t="str">
            <v>SỐ ĐIỆN THOẠI 0985099938</v>
          </cell>
        </row>
      </sheetData>
      <sheetData sheetId="6" refreshError="1"/>
      <sheetData sheetId="7" refreshError="1"/>
      <sheetData sheetId="8" refreshError="1"/>
      <sheetData sheetId="9" refreshError="1">
        <row r="7">
          <cell r="A7" t="str">
            <v>[1]</v>
          </cell>
          <cell r="B7" t="str">
            <v>[2]</v>
          </cell>
          <cell r="D7" t="str">
            <v>[3]</v>
          </cell>
          <cell r="E7" t="str">
            <v>[4]</v>
          </cell>
          <cell r="F7" t="str">
            <v>[5]</v>
          </cell>
          <cell r="G7" t="str">
            <v>[6]</v>
          </cell>
          <cell r="H7" t="str">
            <v>[7]</v>
          </cell>
          <cell r="I7" t="str">
            <v>[8]</v>
          </cell>
          <cell r="J7" t="str">
            <v>[9]</v>
          </cell>
          <cell r="K7" t="str">
            <v>[10]</v>
          </cell>
          <cell r="L7" t="str">
            <v>[11]</v>
          </cell>
          <cell r="M7" t="str">
            <v>[12]</v>
          </cell>
          <cell r="N7" t="str">
            <v>[13]</v>
          </cell>
          <cell r="O7" t="str">
            <v>[14]</v>
          </cell>
          <cell r="P7" t="str">
            <v>[15]</v>
          </cell>
          <cell r="Q7" t="str">
            <v>[16]</v>
          </cell>
          <cell r="R7" t="str">
            <v>[17]</v>
          </cell>
        </row>
        <row r="9">
          <cell r="B9" t="str">
            <v>HM</v>
          </cell>
          <cell r="D9" t="str">
            <v>HM1</v>
          </cell>
          <cell r="E9" t="str">
            <v>HẠNG MỤC 1</v>
          </cell>
        </row>
        <row r="10">
          <cell r="A10">
            <v>1</v>
          </cell>
          <cell r="B10" t="str">
            <v>VL.05</v>
          </cell>
          <cell r="D10" t="str">
            <v>01</v>
          </cell>
          <cell r="E10" t="str">
            <v xml:space="preserve">Thép Hòa Phát </v>
          </cell>
          <cell r="F10" t="str">
            <v>TCVN 197 : 2002 Vật liệu kim loại - thử kéo ở nhiệt độ thường.</v>
          </cell>
          <cell r="G10">
            <v>42860</v>
          </cell>
          <cell r="H10" t="str">
            <v>0234</v>
          </cell>
          <cell r="I10">
            <v>42860</v>
          </cell>
          <cell r="J10" t="str">
            <v>14h30-15h00</v>
          </cell>
          <cell r="K10">
            <v>42861</v>
          </cell>
          <cell r="M10">
            <v>42862</v>
          </cell>
          <cell r="N10" t="str">
            <v>8h30-9h00</v>
          </cell>
          <cell r="O10">
            <v>42862</v>
          </cell>
          <cell r="P10">
            <v>42863</v>
          </cell>
          <cell r="Q10" t="str">
            <v>14h30-15h00</v>
          </cell>
        </row>
        <row r="11">
          <cell r="E11" t="str">
            <v xml:space="preserve">D16; 65 tấn; CIII; 12345; 4 mẫu; 80 cm; </v>
          </cell>
          <cell r="F11" t="str">
            <v>TCVN 198 : 2008 Vật liệu kim loại - thử uốn ở nhiệt độ thường.</v>
          </cell>
          <cell r="G11" t="str">
            <v xml:space="preserve"> </v>
          </cell>
        </row>
        <row r="12">
          <cell r="E12" t="str">
            <v xml:space="preserve">D18; 35 tấn; CIII; 12345; 2 mẫu; 60 cm; </v>
          </cell>
          <cell r="F12" t="str">
            <v>TCVN 1651-1 : 2008 Thép cốt bê tông – Thép thanh tròn trơn</v>
          </cell>
          <cell r="G12" t="str">
            <v xml:space="preserve"> </v>
          </cell>
        </row>
        <row r="13">
          <cell r="F13" t="str">
            <v>TCVN 1651-2 : 2008 Thép cốt bê tông – Thép thanh vằn</v>
          </cell>
          <cell r="G13" t="str">
            <v xml:space="preserve"> </v>
          </cell>
        </row>
        <row r="14">
          <cell r="A14">
            <v>2</v>
          </cell>
          <cell r="B14" t="str">
            <v>VL.03</v>
          </cell>
          <cell r="D14" t="str">
            <v>02</v>
          </cell>
          <cell r="E14" t="str">
            <v>Xi măng Hoàng Thạch</v>
          </cell>
          <cell r="F14" t="str">
            <v>TCVN 4787 : 2009 Xi măng - PP lẫy mẫu và chuẩn bị mẫu thử.</v>
          </cell>
          <cell r="G14">
            <v>42861</v>
          </cell>
          <cell r="H14" t="str">
            <v>0235</v>
          </cell>
          <cell r="I14">
            <v>42861</v>
          </cell>
          <cell r="J14" t="str">
            <v>8h30-9h00</v>
          </cell>
          <cell r="K14">
            <v>42868</v>
          </cell>
          <cell r="M14">
            <v>42869</v>
          </cell>
          <cell r="N14" t="str">
            <v>8h30-9h00</v>
          </cell>
          <cell r="O14">
            <v>42869</v>
          </cell>
          <cell r="P14">
            <v>42870</v>
          </cell>
          <cell r="Q14" t="str">
            <v>14h30-15h00</v>
          </cell>
        </row>
        <row r="15">
          <cell r="E15" t="str">
            <v xml:space="preserve">Xi măng; 255 tấn; PC40; 1225; 6 mẫu; 50kg; </v>
          </cell>
          <cell r="G15" t="str">
            <v xml:space="preserve"> </v>
          </cell>
        </row>
        <row r="17">
          <cell r="B17" t="str">
            <v>HM</v>
          </cell>
          <cell r="D17" t="str">
            <v>HM2</v>
          </cell>
          <cell r="E17" t="str">
            <v>HẠNG MỤC 2</v>
          </cell>
        </row>
        <row r="18">
          <cell r="A18">
            <v>3</v>
          </cell>
          <cell r="B18" t="str">
            <v>VL.10</v>
          </cell>
          <cell r="D18" t="str">
            <v>03</v>
          </cell>
          <cell r="E18" t="str">
            <v>Bentonite</v>
          </cell>
          <cell r="F18" t="str">
            <v>TCVN 9395 : 2012 Cọc khoan nhồi - Thi công và nghiệm thu</v>
          </cell>
          <cell r="G18" t="str">
            <v xml:space="preserve"> </v>
          </cell>
        </row>
        <row r="19">
          <cell r="E19" t="str">
            <v xml:space="preserve">Bentonite Supergel; 2500 kg; Supergel; N.1203; 5 mẫu; 1500ml; </v>
          </cell>
        </row>
        <row r="20">
          <cell r="A20">
            <v>4</v>
          </cell>
          <cell r="B20" t="str">
            <v>VL.11</v>
          </cell>
          <cell r="D20" t="str">
            <v>04</v>
          </cell>
          <cell r="E20" t="str">
            <v>Cấp phối đá dăm</v>
          </cell>
          <cell r="F20" t="str">
            <v>22TCN 333-2006 về quy trình đầm nén đất, đá dăm trong phòng thí nghiệm.</v>
          </cell>
          <cell r="G20" t="str">
            <v xml:space="preserve"> </v>
          </cell>
        </row>
        <row r="21">
          <cell r="E21" t="str">
            <v xml:space="preserve">Cấp phối đá dăm; 800 m3; Loại 2; No.228; 4 mẫu; 200 kg; </v>
          </cell>
          <cell r="F21" t="str">
            <v>TCVN 4197 : 2012 Phương pháp xác định giới hạn chảy và giới hạn dẻo trong phòng thí nghiệm.</v>
          </cell>
          <cell r="G21" t="str">
            <v xml:space="preserve"> </v>
          </cell>
        </row>
      </sheetData>
      <sheetData sheetId="10" refreshError="1"/>
      <sheetData sheetId="11" refreshError="1"/>
      <sheetData sheetId="12" refreshError="1"/>
      <sheetData sheetId="13" refreshError="1"/>
      <sheetData sheetId="14" refreshError="1"/>
      <sheetData sheetId="15" refreshError="1">
        <row r="7">
          <cell r="A7" t="str">
            <v>[1]</v>
          </cell>
          <cell r="D7" t="str">
            <v>[2]</v>
          </cell>
          <cell r="E7" t="str">
            <v>[3]</v>
          </cell>
          <cell r="F7" t="str">
            <v>[4]</v>
          </cell>
          <cell r="G7" t="str">
            <v>[5]</v>
          </cell>
          <cell r="H7" t="str">
            <v>[6]</v>
          </cell>
          <cell r="I7" t="str">
            <v>[7]</v>
          </cell>
          <cell r="J7" t="str">
            <v>[7]</v>
          </cell>
          <cell r="K7" t="str">
            <v>[9]</v>
          </cell>
          <cell r="L7" t="str">
            <v>[10]</v>
          </cell>
          <cell r="M7" t="str">
            <v>[11]</v>
          </cell>
          <cell r="N7" t="str">
            <v>[12]</v>
          </cell>
          <cell r="O7" t="str">
            <v>[13]</v>
          </cell>
          <cell r="P7" t="str">
            <v>[14]</v>
          </cell>
          <cell r="Q7" t="str">
            <v>[15]</v>
          </cell>
          <cell r="R7" t="str">
            <v>[16]</v>
          </cell>
          <cell r="S7" t="str">
            <v>[17]</v>
          </cell>
          <cell r="T7" t="str">
            <v>[18]</v>
          </cell>
          <cell r="U7" t="str">
            <v>[19]</v>
          </cell>
          <cell r="V7" t="str">
            <v>[20]</v>
          </cell>
          <cell r="W7" t="str">
            <v>[21]</v>
          </cell>
          <cell r="X7" t="str">
            <v>[22]</v>
          </cell>
          <cell r="Y7" t="str">
            <v>[23]</v>
          </cell>
          <cell r="Z7" t="str">
            <v>[24]</v>
          </cell>
          <cell r="AA7" t="str">
            <v>[25]</v>
          </cell>
          <cell r="AB7" t="str">
            <v>[26]</v>
          </cell>
          <cell r="AC7" t="str">
            <v>[27]</v>
          </cell>
          <cell r="AD7" t="str">
            <v>[28]</v>
          </cell>
        </row>
        <row r="9">
          <cell r="D9" t="str">
            <v>HM</v>
          </cell>
          <cell r="F9" t="str">
            <v>HM1</v>
          </cell>
          <cell r="G9" t="str">
            <v>HẠNG MỤC 1</v>
          </cell>
        </row>
        <row r="10">
          <cell r="D10" t="str">
            <v>GD</v>
          </cell>
          <cell r="F10" t="str">
            <v>01GD</v>
          </cell>
          <cell r="G10" t="str">
            <v>PHẦN MÓNG</v>
          </cell>
        </row>
        <row r="11">
          <cell r="A11">
            <v>1</v>
          </cell>
          <cell r="D11" t="str">
            <v>AF.80000</v>
          </cell>
          <cell r="F11" t="str">
            <v>01</v>
          </cell>
          <cell r="G11" t="str">
            <v>Lắp đặt ván khuôn</v>
          </cell>
          <cell r="J11" t="str">
            <v>Tầng 1 trục X1/Y1</v>
          </cell>
          <cell r="K11" t="str">
            <v>KT:01TC; KC:02TC; KC:03TC</v>
          </cell>
          <cell r="L11" t="str">
            <v>TCVN 4055 : 2012 Tổ chức thi công</v>
          </cell>
          <cell r="M11" t="str">
            <v xml:space="preserve"> </v>
          </cell>
          <cell r="P11">
            <v>42897</v>
          </cell>
          <cell r="Q11" t="str">
            <v>8h20-9h00</v>
          </cell>
          <cell r="R11">
            <v>42897</v>
          </cell>
          <cell r="S11">
            <v>42898</v>
          </cell>
          <cell r="T11" t="str">
            <v>14h30-15h00</v>
          </cell>
          <cell r="V11">
            <v>42895</v>
          </cell>
          <cell r="W11">
            <v>42896</v>
          </cell>
          <cell r="Y11" t="str">
            <v>T</v>
          </cell>
        </row>
        <row r="12">
          <cell r="L12" t="str">
            <v>TCVN 5308 : 1991 Quy phạm kỹ thuật an toàn trong xây dựng</v>
          </cell>
          <cell r="M12" t="str">
            <v xml:space="preserve"> </v>
          </cell>
        </row>
        <row r="13">
          <cell r="L13" t="str">
            <v>TCVN 5637 : 1991 Quản lý chất lượng xây lắp công trình xây dựng. Nguyên tắc cơ bản</v>
          </cell>
          <cell r="M13" t="str">
            <v xml:space="preserve"> </v>
          </cell>
        </row>
        <row r="14">
          <cell r="L14" t="str">
            <v>TCVN 4453 : 1995 Kết cấu bê tông và bê tông cốt thép toàn khối. Quy phạm thi công và nghiệm thu.</v>
          </cell>
          <cell r="M14" t="str">
            <v xml:space="preserve"> </v>
          </cell>
        </row>
        <row r="15">
          <cell r="A15">
            <v>2</v>
          </cell>
          <cell r="D15" t="str">
            <v>AF.10000</v>
          </cell>
          <cell r="F15" t="str">
            <v>02</v>
          </cell>
          <cell r="G15" t="str">
            <v>Bê tông móng</v>
          </cell>
          <cell r="J15" t="str">
            <v>Tầng 1 trục X1/Y1</v>
          </cell>
          <cell r="K15" t="str">
            <v>KT:01TC; KC:02TC; KC:03TC</v>
          </cell>
          <cell r="L15" t="str">
            <v>TCVN 4055 : 2012 Tổ chức thi công</v>
          </cell>
          <cell r="M15">
            <v>42898</v>
          </cell>
          <cell r="N15" t="str">
            <v>8h30-9h00</v>
          </cell>
          <cell r="P15">
            <v>42905</v>
          </cell>
          <cell r="Q15" t="str">
            <v>8h20-9h00</v>
          </cell>
          <cell r="R15">
            <v>42905</v>
          </cell>
          <cell r="S15">
            <v>42906</v>
          </cell>
          <cell r="T15" t="str">
            <v>14h30-15h00</v>
          </cell>
          <cell r="V15">
            <v>42898</v>
          </cell>
          <cell r="W15">
            <v>42898</v>
          </cell>
          <cell r="Y15" t="str">
            <v>T</v>
          </cell>
          <cell r="Z15">
            <v>42898</v>
          </cell>
          <cell r="AA15" t="str">
            <v>8h20-9h00</v>
          </cell>
          <cell r="AC15">
            <v>42898</v>
          </cell>
          <cell r="AD15" t="str">
            <v>14h30-15h00</v>
          </cell>
        </row>
        <row r="16">
          <cell r="L16" t="str">
            <v>TCVN 5308 : 1991 Quy phạm kỹ thuật an toàn trong xây dựng</v>
          </cell>
          <cell r="M16" t="str">
            <v xml:space="preserve"> </v>
          </cell>
        </row>
        <row r="17">
          <cell r="L17" t="str">
            <v>TCVN 5637 : 1991 Quản lý chất lượng xây lắp công trình xây dựng. Nguyên tắc cơ bản</v>
          </cell>
          <cell r="M17" t="str">
            <v xml:space="preserve"> </v>
          </cell>
        </row>
        <row r="18">
          <cell r="L18" t="str">
            <v>TCVN 4453 : 1995 Kết cấu bê tông và bê tông cốt thép toàn khối. Quy phạm thi công và nghiệm thu.</v>
          </cell>
          <cell r="M18" t="str">
            <v xml:space="preserve"> </v>
          </cell>
        </row>
        <row r="19">
          <cell r="D19" t="str">
            <v>GD</v>
          </cell>
          <cell r="F19" t="str">
            <v>02GD</v>
          </cell>
          <cell r="G19" t="str">
            <v>PHẦN THÂN</v>
          </cell>
          <cell r="Y19" t="str">
            <v>T</v>
          </cell>
        </row>
        <row r="20">
          <cell r="A20">
            <v>3</v>
          </cell>
          <cell r="D20" t="str">
            <v>AF.60000</v>
          </cell>
          <cell r="F20" t="str">
            <v>03</v>
          </cell>
          <cell r="G20" t="str">
            <v>Lắp dựng cốt thép cột vách</v>
          </cell>
          <cell r="J20" t="str">
            <v>Tầng 1 trục X1/Y1</v>
          </cell>
          <cell r="K20" t="str">
            <v>KT:01TC; KC:02TC; KC:03TC</v>
          </cell>
          <cell r="L20" t="str">
            <v>TCVN 4055 : 2012 Tổ chức thi công</v>
          </cell>
          <cell r="M20" t="str">
            <v xml:space="preserve"> </v>
          </cell>
          <cell r="P20">
            <v>42909</v>
          </cell>
          <cell r="Q20" t="str">
            <v>8h20-9h00</v>
          </cell>
          <cell r="R20">
            <v>42909</v>
          </cell>
          <cell r="S20">
            <v>42910</v>
          </cell>
          <cell r="T20" t="str">
            <v>14h30-15h00</v>
          </cell>
          <cell r="V20">
            <v>42906</v>
          </cell>
          <cell r="W20">
            <v>42908</v>
          </cell>
          <cell r="Y20" t="str">
            <v>T</v>
          </cell>
        </row>
        <row r="21">
          <cell r="L21" t="str">
            <v>TCVN 5308 : 1991 Quy phạm kỹ thuật an toàn trong xây dựng</v>
          </cell>
          <cell r="M21" t="str">
            <v xml:space="preserve"> </v>
          </cell>
        </row>
        <row r="22">
          <cell r="L22" t="str">
            <v>TCVN 5637 : 1991 Quản lý chất lượng xây lắp công trình xây dựng. Nguyên tắc cơ bản</v>
          </cell>
          <cell r="M22" t="str">
            <v xml:space="preserve"> </v>
          </cell>
        </row>
        <row r="23">
          <cell r="L23" t="str">
            <v>TCVN 4453 : 1995 Kết cấu bê tông và bê tông cốt thép toàn khối. Quy phạm thi công và nghiệm thu.</v>
          </cell>
          <cell r="M23" t="str">
            <v xml:space="preserve"> </v>
          </cell>
        </row>
        <row r="24">
          <cell r="A24">
            <v>4</v>
          </cell>
          <cell r="D24" t="str">
            <v>AF.30000</v>
          </cell>
          <cell r="F24" t="str">
            <v>04</v>
          </cell>
          <cell r="G24" t="str">
            <v>Bê tông cột</v>
          </cell>
          <cell r="J24" t="str">
            <v>Tầng 1 trục X1/Y1</v>
          </cell>
          <cell r="K24" t="str">
            <v>KT:02TC; KC:02TC; KC:04TC</v>
          </cell>
          <cell r="L24" t="str">
            <v>TCVN 4055 : 2012 Tổ chức thi công</v>
          </cell>
          <cell r="M24">
            <v>42911</v>
          </cell>
          <cell r="N24" t="str">
            <v>8h30-9h00</v>
          </cell>
          <cell r="P24">
            <v>42918</v>
          </cell>
          <cell r="Q24" t="str">
            <v>8h20-9h00</v>
          </cell>
          <cell r="R24">
            <v>42918</v>
          </cell>
          <cell r="S24">
            <v>42919</v>
          </cell>
          <cell r="T24" t="str">
            <v>14h30-15h00</v>
          </cell>
          <cell r="V24">
            <v>42911</v>
          </cell>
          <cell r="W24">
            <v>42911</v>
          </cell>
          <cell r="Y24" t="str">
            <v>T</v>
          </cell>
          <cell r="Z24">
            <v>42911</v>
          </cell>
          <cell r="AA24" t="str">
            <v>8h20-9h00</v>
          </cell>
          <cell r="AC24">
            <v>42937</v>
          </cell>
          <cell r="AD24" t="str">
            <v>14h30-15h00</v>
          </cell>
        </row>
        <row r="25">
          <cell r="E25" t="str">
            <v>LM</v>
          </cell>
          <cell r="G25" t="str">
            <v xml:space="preserve">FTC; 300; 16 ± 1; 1 mẫu; 15x15x15 cm; Xi măng PC30; kg; 449,975; Cát; m3; 0,4551; Đá 1x2; m3; 0,886625; Nước; lít; 178,35; Phụ gia dẻo hóa; kg; 22,49875; ; ; </v>
          </cell>
          <cell r="L25" t="str">
            <v>TCVN 5308 : 1991 Quy phạm kỹ thuật an toàn trong xây dựng</v>
          </cell>
          <cell r="M25" t="str">
            <v xml:space="preserve"> </v>
          </cell>
        </row>
        <row r="26">
          <cell r="L26" t="str">
            <v>TCVN 5637 : 1991 Quản lý chất lượng xây lắp công trình xây dựng. Nguyên tắc cơ bản</v>
          </cell>
          <cell r="M26" t="str">
            <v xml:space="preserve"> </v>
          </cell>
        </row>
        <row r="27">
          <cell r="L27" t="str">
            <v>TCVN 4453 : 1995 Kết cấu bê tông và bê tông cốt thép toàn khối. Quy phạm thi công và nghiệm thu.</v>
          </cell>
          <cell r="M27" t="str">
            <v xml:space="preserve"> </v>
          </cell>
        </row>
      </sheetData>
      <sheetData sheetId="16" refreshError="1"/>
      <sheetData sheetId="17" refreshError="1"/>
      <sheetData sheetId="18" refreshError="1"/>
      <sheetData sheetId="19" refreshError="1"/>
      <sheetData sheetId="20" refreshError="1"/>
      <sheetData sheetId="21" refreshError="1"/>
      <sheetData sheetId="22" refreshError="1">
        <row r="7">
          <cell r="A7" t="str">
            <v>[1]</v>
          </cell>
          <cell r="B7" t="str">
            <v>[2]</v>
          </cell>
          <cell r="D7" t="str">
            <v>[2]</v>
          </cell>
          <cell r="E7" t="str">
            <v>[3]</v>
          </cell>
          <cell r="F7" t="str">
            <v>[3]</v>
          </cell>
          <cell r="G7" t="str">
            <v>[4]</v>
          </cell>
          <cell r="H7" t="str">
            <v>[5]</v>
          </cell>
          <cell r="I7" t="str">
            <v>[6]</v>
          </cell>
          <cell r="J7" t="str">
            <v>[7]</v>
          </cell>
          <cell r="K7" t="str">
            <v>[8]</v>
          </cell>
          <cell r="L7" t="str">
            <v>[9]</v>
          </cell>
          <cell r="M7" t="str">
            <v>[10]</v>
          </cell>
        </row>
        <row r="8">
          <cell r="A8">
            <v>1</v>
          </cell>
          <cell r="D8" t="str">
            <v>01GD</v>
          </cell>
          <cell r="E8" t="str">
            <v>PHẦN MÓNG</v>
          </cell>
          <cell r="M8">
            <v>1</v>
          </cell>
        </row>
        <row r="9">
          <cell r="A9">
            <v>2</v>
          </cell>
          <cell r="D9" t="str">
            <v>02GD</v>
          </cell>
          <cell r="E9" t="str">
            <v>PHẦN THÂN</v>
          </cell>
          <cell r="M9">
            <v>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row r="13">
          <cell r="F13">
            <v>0</v>
          </cell>
        </row>
        <row r="14">
          <cell r="F14">
            <v>0</v>
          </cell>
        </row>
        <row r="15">
          <cell r="F15">
            <v>0</v>
          </cell>
        </row>
        <row r="16">
          <cell r="F16">
            <v>0</v>
          </cell>
        </row>
        <row r="17">
          <cell r="F17">
            <v>0</v>
          </cell>
        </row>
        <row r="18">
          <cell r="F18">
            <v>4</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
      <sheetName val="DanhMucMay"/>
      <sheetName val="Thong tin"/>
      <sheetName val="Ky bien ban"/>
      <sheetName val="Danh muc ho so"/>
      <sheetName val="Ts"/>
      <sheetName val="Danh muc NT Vat lieu"/>
      <sheetName val="Lay mau VL"/>
      <sheetName val="NT noi bo vat lieu"/>
      <sheetName val="YCNT vat lieu"/>
      <sheetName val="NT vat lieu"/>
      <sheetName val="Vat lieu nhap ve"/>
      <sheetName val="Danh muc NT cong viec"/>
      <sheetName val="LMTN"/>
      <sheetName val="NT noi bo cong viec"/>
      <sheetName val="YCNT cong viec"/>
      <sheetName val="NT cong viec"/>
      <sheetName val="Bien ban kiem tra be tong"/>
      <sheetName val="BB theo doi do be tong"/>
      <sheetName val="Danh muc NT Giai doan"/>
      <sheetName val="NT noi bo Giai doan"/>
      <sheetName val="YCNT Giai doan"/>
      <sheetName val="NT Giai doan"/>
      <sheetName val="NT noi bo hoan thanh su dung"/>
      <sheetName val="YCNT hoan thanh su dung"/>
      <sheetName val="NT Hoan thanh su dung"/>
      <sheetName val="Ban giao mat bang"/>
      <sheetName val="Thay doi mau"/>
      <sheetName val="Chap thuan mau"/>
      <sheetName val="Thay doi TK"/>
      <sheetName val="Khoi luong"/>
      <sheetName val="Thong ke thep"/>
      <sheetName val="THKL"/>
      <sheetName val="ND Nhat ky"/>
      <sheetName val="Mau Nhat ky"/>
      <sheetName val="bìa hc"/>
      <sheetName val="Bìa1"/>
      <sheetName val="Bìa1vhM"/>
      <sheetName val="Bìa4vhM"/>
      <sheetName val="Tr vh2"/>
      <sheetName val="tr3p"/>
      <sheetName val="tr3t"/>
      <sheetName val="VHp"/>
      <sheetName val="VHt"/>
      <sheetName val="Theo doi be tong"/>
      <sheetName val="Quy cach lay mau"/>
      <sheetName val="DMHSHT"/>
      <sheetName val="Cong van den"/>
      <sheetName val="Cong van di"/>
      <sheetName val="Chap thuan mo"/>
      <sheetName val="Kiem tra thiet bi nhan luc"/>
      <sheetName val="Phong thi nghiem hien truong"/>
      <sheetName val="He thong moc"/>
      <sheetName val="Kiem tra dieu kien thi cong"/>
      <sheetName val="Bien ban hien truong"/>
      <sheetName val="Xu ly vi pham hien truong"/>
      <sheetName val="Bao cao chat luong"/>
      <sheetName val="Bìa2"/>
      <sheetName val="Bìa1dtM (2)"/>
      <sheetName val="Bìa4dtM (2)"/>
      <sheetName val="Bìadt2M"/>
      <sheetName val="Tr 2vh"/>
      <sheetName val="Tr 2dt"/>
      <sheetName val="tr3"/>
      <sheetName val="ND Nhat ky 2p"/>
      <sheetName val="ND Nhat ky2 t"/>
      <sheetName val="Tr 2-t"/>
      <sheetName val="Tr 2-p"/>
      <sheetName val="dtuT"/>
      <sheetName val="dtu p"/>
      <sheetName val="2sơn"/>
      <sheetName val="Bìa1dt"/>
      <sheetName val="Bìa2dt"/>
      <sheetName val="B1"/>
      <sheetName val="B2"/>
      <sheetName val="B2 (2)"/>
      <sheetName val="Tr 2dt (2)"/>
      <sheetName val="tr3 (3)"/>
      <sheetName val="dt1 (2)"/>
      <sheetName val="2sơn (2)"/>
      <sheetName val="Sheet1"/>
      <sheetName val="Sheet2"/>
      <sheetName val="NAT"/>
    </sheetNames>
    <sheetDataSet>
      <sheetData sheetId="0" refreshError="1"/>
      <sheetData sheetId="1" refreshError="1"/>
      <sheetData sheetId="2">
        <row r="1">
          <cell r="B1" t="str">
            <v>CÁC THÔNG TIN CHUNG</v>
          </cell>
        </row>
        <row r="2">
          <cell r="B2" t="str">
            <v>Dự án:</v>
          </cell>
          <cell r="D2" t="str">
            <v>LẮP ĐẶT HÀNG RÀO THÉP TẠI DẢI PHÂN CÁCH GIỮA TRÊN ĐƯỜNG TRƯỜNG CHINH (ĐOẠN TỪ NGÃ TƯ AN SƯƠNG ĐẾN CẦU THAM LƯƠNG)</v>
          </cell>
        </row>
        <row r="3">
          <cell r="B3" t="str">
            <v>Công trình:</v>
          </cell>
          <cell r="D3" t="str">
            <v>LẮP ĐẶT HÀNG RÀO THÉP TẠI DẢI PHÂN CÁCH GIỮA TRÊN ĐƯỜNG TRƯỜNG CHINH (ĐOẠN TỪ NGÃ TƯ AN SƯƠNG ĐẾN CẦU THAM LƯƠNG)</v>
          </cell>
        </row>
        <row r="4">
          <cell r="B4" t="str">
            <v>Hạng mục:</v>
          </cell>
          <cell r="D4" t="str">
            <v>DẢI PHÂN CÁCH, TIỂU ĐẢO</v>
          </cell>
        </row>
        <row r="5">
          <cell r="B5" t="str">
            <v>Gói thầu:</v>
          </cell>
          <cell r="D5" t="str">
            <v>Xây lắp</v>
          </cell>
        </row>
        <row r="6">
          <cell r="B6" t="str">
            <v>Hợp đồng số:</v>
          </cell>
          <cell r="D6" t="str">
            <v>01042014GXD-HCM</v>
          </cell>
        </row>
        <row r="7">
          <cell r="B7" t="str">
            <v>Địa điểm xây dựng</v>
          </cell>
          <cell r="D7" t="str">
            <v>Quận 12 - Tp. Hồ Chí Minh</v>
          </cell>
        </row>
        <row r="8">
          <cell r="B8" t="str">
            <v>Tỉnh / Thành phố</v>
          </cell>
          <cell r="D8" t="str">
            <v>Hồ Chí Minh</v>
          </cell>
        </row>
        <row r="10">
          <cell r="B10" t="str">
            <v>Chủ đầu tư</v>
          </cell>
          <cell r="D10" t="str">
            <v>Khu Quản lý giao thông đô thị số 3</v>
          </cell>
        </row>
        <row r="11">
          <cell r="B11" t="str">
            <v>Địa chỉ:</v>
          </cell>
          <cell r="D11" t="str">
            <v>Số 1002 Quốc lộ 1, Phường Thạnh Xuân, Quận 12</v>
          </cell>
        </row>
        <row r="12">
          <cell r="D12" t="str">
            <v>Tel:</v>
          </cell>
          <cell r="E12" t="str">
            <v>08.388834633</v>
          </cell>
          <cell r="F12" t="str">
            <v>Fax:</v>
          </cell>
          <cell r="G12" t="str">
            <v>08.388834633</v>
          </cell>
        </row>
        <row r="13">
          <cell r="B13" t="str">
            <v xml:space="preserve"> Chủ đầu tư</v>
          </cell>
          <cell r="C13">
            <v>3</v>
          </cell>
          <cell r="D13" t="str">
            <v>Ông (Bà):</v>
          </cell>
          <cell r="E13" t="str">
            <v>Võ Khánh Hưng</v>
          </cell>
          <cell r="F13" t="str">
            <v>Chức vụ:</v>
          </cell>
          <cell r="G13" t="str">
            <v>Giám Đốc</v>
          </cell>
        </row>
        <row r="14">
          <cell r="D14" t="str">
            <v>Ông (Bà):</v>
          </cell>
          <cell r="E14" t="str">
            <v>Trịnh Linh Phương</v>
          </cell>
          <cell r="F14" t="str">
            <v>Chức vụ:</v>
          </cell>
          <cell r="G14" t="str">
            <v>Phó GĐ</v>
          </cell>
        </row>
        <row r="15">
          <cell r="D15" t="str">
            <v>Ông (Bà):</v>
          </cell>
          <cell r="E15" t="str">
            <v>Phạm Ngọc Dũng</v>
          </cell>
          <cell r="F15" t="str">
            <v>Chức vụ:</v>
          </cell>
          <cell r="G15" t="str">
            <v>Phó GĐ</v>
          </cell>
        </row>
        <row r="16">
          <cell r="D16" t="str">
            <v>Ông (Bà):</v>
          </cell>
          <cell r="E16" t="str">
            <v>Huỳnh Thị Nga</v>
          </cell>
          <cell r="F16" t="str">
            <v>Chức vụ:</v>
          </cell>
          <cell r="G16" t="str">
            <v>Phó GĐ</v>
          </cell>
        </row>
        <row r="17">
          <cell r="D17" t="str">
            <v>Ông (Bà):</v>
          </cell>
          <cell r="F17" t="str">
            <v>Chức vụ:</v>
          </cell>
        </row>
        <row r="18">
          <cell r="D18" t="str">
            <v>Ông (Bà):</v>
          </cell>
          <cell r="F18" t="str">
            <v>Chức vụ:</v>
          </cell>
        </row>
        <row r="19">
          <cell r="D19" t="str">
            <v>Ông (Bà):</v>
          </cell>
          <cell r="F19" t="str">
            <v>Chức vụ:</v>
          </cell>
        </row>
        <row r="20">
          <cell r="D20" t="str">
            <v>Ông (Bà):</v>
          </cell>
          <cell r="F20" t="str">
            <v>Chức vụ:</v>
          </cell>
        </row>
        <row r="22">
          <cell r="B22" t="str">
            <v>Nhà đầu tư</v>
          </cell>
        </row>
        <row r="23">
          <cell r="B23" t="str">
            <v>Địa chỉ:</v>
          </cell>
        </row>
        <row r="24">
          <cell r="D24" t="str">
            <v>Tel:</v>
          </cell>
          <cell r="E24" t="str">
            <v>04.35682482</v>
          </cell>
          <cell r="F24" t="str">
            <v>Fax:</v>
          </cell>
          <cell r="G24" t="str">
            <v>04.35682483</v>
          </cell>
        </row>
        <row r="25">
          <cell r="B25" t="str">
            <v xml:space="preserve"> Nhà đầu tư</v>
          </cell>
          <cell r="C25">
            <v>1</v>
          </cell>
          <cell r="D25" t="str">
            <v>Ông (Bà):</v>
          </cell>
          <cell r="F25" t="str">
            <v>Chức vụ:</v>
          </cell>
          <cell r="G25" t="str">
            <v>Trưởng ban QLXD</v>
          </cell>
        </row>
        <row r="26">
          <cell r="D26" t="str">
            <v>Ông (Bà):</v>
          </cell>
          <cell r="F26" t="str">
            <v>Chức vụ:</v>
          </cell>
          <cell r="G26" t="str">
            <v>Phó Trưởng ban QLXD</v>
          </cell>
        </row>
        <row r="27">
          <cell r="D27" t="str">
            <v>Ông (Bà):</v>
          </cell>
          <cell r="F27" t="str">
            <v>Chức vụ:</v>
          </cell>
        </row>
        <row r="28">
          <cell r="D28" t="str">
            <v>Ông (Bà):</v>
          </cell>
          <cell r="E28" t="str">
            <v xml:space="preserve"> </v>
          </cell>
          <cell r="F28" t="str">
            <v>Chức vụ:</v>
          </cell>
        </row>
        <row r="29">
          <cell r="D29" t="str">
            <v>Ông (Bà):</v>
          </cell>
          <cell r="F29" t="str">
            <v>Chức vụ:</v>
          </cell>
        </row>
        <row r="30">
          <cell r="D30" t="str">
            <v>Ông (Bà):</v>
          </cell>
          <cell r="F30" t="str">
            <v>Chức vụ:</v>
          </cell>
        </row>
        <row r="31">
          <cell r="D31" t="str">
            <v>Ông (Bà):</v>
          </cell>
          <cell r="F31" t="str">
            <v>Chức vụ:</v>
          </cell>
        </row>
        <row r="32">
          <cell r="D32" t="str">
            <v>Ông (Bà):</v>
          </cell>
          <cell r="F32" t="str">
            <v>Chức vụ:</v>
          </cell>
        </row>
        <row r="34">
          <cell r="B34" t="str">
            <v>Ban Quản lý dự án</v>
          </cell>
          <cell r="D34" t="str">
            <v>Ban Quản lý dự án 2</v>
          </cell>
        </row>
        <row r="35">
          <cell r="B35" t="str">
            <v>Địa chỉ:</v>
          </cell>
          <cell r="D35" t="str">
            <v>Số 1002 Quốc lộ 1, Phường Thạnh Xuân, Quận 12</v>
          </cell>
        </row>
        <row r="36">
          <cell r="D36" t="str">
            <v>Tel:</v>
          </cell>
          <cell r="E36" t="str">
            <v>04.35682482</v>
          </cell>
          <cell r="F36" t="str">
            <v>Fax:</v>
          </cell>
          <cell r="G36" t="str">
            <v>04.35682483</v>
          </cell>
        </row>
        <row r="37">
          <cell r="B37" t="str">
            <v xml:space="preserve"> Ban Quản lý dự án</v>
          </cell>
          <cell r="C37">
            <v>2</v>
          </cell>
          <cell r="D37" t="str">
            <v>Ông (Bà):</v>
          </cell>
          <cell r="E37" t="str">
            <v>Trần Văn Độ</v>
          </cell>
          <cell r="F37" t="str">
            <v>Chức vụ:</v>
          </cell>
          <cell r="G37" t="str">
            <v>Trưởng ban QLDA2</v>
          </cell>
        </row>
        <row r="38">
          <cell r="D38" t="str">
            <v>Ông (Bà):</v>
          </cell>
          <cell r="E38" t="str">
            <v>Đoàn Thị Phương Thanh</v>
          </cell>
          <cell r="F38" t="str">
            <v>Chức vụ:</v>
          </cell>
          <cell r="G38" t="str">
            <v>CB BQLDA2</v>
          </cell>
        </row>
        <row r="39">
          <cell r="D39" t="str">
            <v>Ông (Bà):</v>
          </cell>
          <cell r="E39" t="str">
            <v>Huỳnh Văn Thức</v>
          </cell>
          <cell r="F39" t="str">
            <v>Chức vụ:</v>
          </cell>
          <cell r="G39" t="str">
            <v>CB BQLDA2</v>
          </cell>
        </row>
        <row r="40">
          <cell r="D40" t="str">
            <v>Ông (Bà):</v>
          </cell>
          <cell r="F40" t="str">
            <v>Chức vụ:</v>
          </cell>
        </row>
        <row r="41">
          <cell r="D41" t="str">
            <v>Ông (Bà):</v>
          </cell>
          <cell r="F41" t="str">
            <v>Chức vụ:</v>
          </cell>
        </row>
        <row r="42">
          <cell r="D42" t="str">
            <v>Ông (Bà):</v>
          </cell>
          <cell r="F42" t="str">
            <v>Chức vụ:</v>
          </cell>
        </row>
        <row r="43">
          <cell r="D43" t="str">
            <v>Ông (Bà):</v>
          </cell>
          <cell r="F43" t="str">
            <v>Chức vụ:</v>
          </cell>
        </row>
        <row r="44">
          <cell r="D44" t="str">
            <v>Ông (Bà):</v>
          </cell>
          <cell r="F44" t="str">
            <v>Chức vụ:</v>
          </cell>
        </row>
        <row r="46">
          <cell r="B46" t="str">
            <v>Tư vấn giám sát</v>
          </cell>
          <cell r="D46" t="str">
            <v>Trung tâm SX phần mềm Quản lý hồ sơ nghiệm thu</v>
          </cell>
        </row>
        <row r="47">
          <cell r="B47" t="str">
            <v>Địa chỉ:</v>
          </cell>
          <cell r="D47" t="str">
            <v>Số 2a/55, Nguyễn Ngọc Nại</v>
          </cell>
        </row>
        <row r="48">
          <cell r="B48" t="str">
            <v>Giấy phép thành lập:</v>
          </cell>
        </row>
        <row r="49">
          <cell r="B49" t="str">
            <v>Chứng nhận Kinh doanh:</v>
          </cell>
        </row>
        <row r="50">
          <cell r="B50" t="str">
            <v>Chứng chỉ hành nghề:</v>
          </cell>
        </row>
        <row r="51">
          <cell r="D51" t="str">
            <v>Tel:</v>
          </cell>
          <cell r="F51" t="str">
            <v>Fax:</v>
          </cell>
        </row>
        <row r="52">
          <cell r="B52" t="str">
            <v xml:space="preserve"> Tư vấn giám sát</v>
          </cell>
          <cell r="C52">
            <v>4</v>
          </cell>
          <cell r="D52" t="str">
            <v>Ông (Bà):</v>
          </cell>
          <cell r="E52" t="str">
            <v>Trần Hoàng Linh</v>
          </cell>
          <cell r="F52" t="str">
            <v>Chức vụ:</v>
          </cell>
          <cell r="G52" t="str">
            <v>CB TVGS</v>
          </cell>
        </row>
        <row r="53">
          <cell r="D53" t="str">
            <v>Ông (Bà):</v>
          </cell>
          <cell r="E53" t="str">
            <v>Hoàng Nguyên Thành</v>
          </cell>
          <cell r="F53" t="str">
            <v>Chức vụ:</v>
          </cell>
          <cell r="G53" t="str">
            <v>CB TVGS</v>
          </cell>
        </row>
        <row r="54">
          <cell r="D54" t="str">
            <v>Ông (Bà):</v>
          </cell>
          <cell r="E54" t="str">
            <v>Nguyễn Thanh Tùng</v>
          </cell>
          <cell r="F54" t="str">
            <v>Chức vụ:</v>
          </cell>
          <cell r="G54" t="str">
            <v>Giám Đốc</v>
          </cell>
        </row>
        <row r="55">
          <cell r="D55" t="str">
            <v>Ông (Bà):</v>
          </cell>
          <cell r="E55" t="str">
            <v>Nguyễn Văn Hoàng</v>
          </cell>
          <cell r="F55" t="str">
            <v>Chức vụ:</v>
          </cell>
          <cell r="G55" t="str">
            <v>CB TVGS</v>
          </cell>
        </row>
        <row r="56">
          <cell r="D56" t="str">
            <v>Ông (Bà):</v>
          </cell>
          <cell r="F56" t="str">
            <v>Chức vụ:</v>
          </cell>
        </row>
        <row r="58">
          <cell r="B58" t="str">
            <v>Nhà thầu thi công</v>
          </cell>
          <cell r="D58" t="str">
            <v>Công ty CP Công trình giao thông Sài Gòn</v>
          </cell>
        </row>
        <row r="59">
          <cell r="B59" t="str">
            <v>Địa chỉ:</v>
          </cell>
          <cell r="D59" t="str">
            <v>132, Đường Đào Duy Từ, Phường 6, Quận 10, Tp. Hồ Chí Minh</v>
          </cell>
        </row>
        <row r="60">
          <cell r="B60" t="str">
            <v>Giấy phép thành lập:</v>
          </cell>
        </row>
        <row r="61">
          <cell r="B61" t="str">
            <v>Chứng nhận Kinh doanh:</v>
          </cell>
          <cell r="H61">
            <v>0</v>
          </cell>
        </row>
        <row r="62">
          <cell r="B62" t="str">
            <v>Chứng chỉ hành nghề:</v>
          </cell>
        </row>
        <row r="63">
          <cell r="D63" t="str">
            <v>Tel:</v>
          </cell>
          <cell r="F63" t="str">
            <v>Fax:</v>
          </cell>
        </row>
        <row r="64">
          <cell r="B64" t="str">
            <v xml:space="preserve"> Nhà thầu thi công</v>
          </cell>
          <cell r="C64">
            <v>6</v>
          </cell>
          <cell r="D64" t="str">
            <v>Ông (Bà):</v>
          </cell>
          <cell r="E64" t="str">
            <v>Hoàng Anh Giao</v>
          </cell>
          <cell r="F64" t="str">
            <v>Chức vụ:</v>
          </cell>
          <cell r="G64" t="str">
            <v>Giám đốc</v>
          </cell>
        </row>
        <row r="65">
          <cell r="D65" t="str">
            <v>Ông (Bà):</v>
          </cell>
          <cell r="E65" t="str">
            <v>Nguyễn Đình Tuấn</v>
          </cell>
          <cell r="F65" t="str">
            <v>Chức vụ:</v>
          </cell>
          <cell r="G65" t="str">
            <v>Chỉ huy trưởng</v>
          </cell>
        </row>
        <row r="66">
          <cell r="D66" t="str">
            <v>Ông (Bà):</v>
          </cell>
          <cell r="E66" t="str">
            <v>Nguyễn Văn Thắng</v>
          </cell>
          <cell r="F66" t="str">
            <v>Chức vụ:</v>
          </cell>
          <cell r="G66" t="str">
            <v>Chỉ huy phó</v>
          </cell>
        </row>
        <row r="67">
          <cell r="D67" t="str">
            <v>Ông (Bà):</v>
          </cell>
          <cell r="E67" t="str">
            <v>Trần Quốc Toản</v>
          </cell>
          <cell r="F67" t="str">
            <v>Chức vụ:</v>
          </cell>
          <cell r="G67" t="str">
            <v>KSCL</v>
          </cell>
        </row>
        <row r="68">
          <cell r="D68" t="str">
            <v>Ông (Bà):</v>
          </cell>
          <cell r="E68" t="str">
            <v>Trịnh Hoàng</v>
          </cell>
          <cell r="F68" t="str">
            <v>Chức vụ:</v>
          </cell>
          <cell r="G68" t="str">
            <v>CBKT</v>
          </cell>
        </row>
        <row r="69">
          <cell r="D69" t="str">
            <v>Ông (Bà):</v>
          </cell>
          <cell r="E69" t="str">
            <v>Phạm Văn Đực</v>
          </cell>
          <cell r="F69" t="str">
            <v>Chức vụ:</v>
          </cell>
          <cell r="G69" t="str">
            <v>CBKT</v>
          </cell>
        </row>
        <row r="70">
          <cell r="D70" t="str">
            <v>Ông (Bà):</v>
          </cell>
          <cell r="F70" t="str">
            <v>Chức vụ:</v>
          </cell>
        </row>
        <row r="72">
          <cell r="B72" t="str">
            <v>Đơn vị thí nghiệm</v>
          </cell>
          <cell r="D72" t="str">
            <v>Phòng las số 925</v>
          </cell>
        </row>
        <row r="73">
          <cell r="B73" t="str">
            <v>Địa chỉ:</v>
          </cell>
        </row>
        <row r="74">
          <cell r="B74" t="str">
            <v>Giấy phép thành lập:</v>
          </cell>
        </row>
        <row r="75">
          <cell r="B75" t="str">
            <v>Chứng nhận Kinh doanh:</v>
          </cell>
        </row>
        <row r="76">
          <cell r="B76" t="str">
            <v>Chứng chỉ hành nghề:</v>
          </cell>
        </row>
        <row r="77">
          <cell r="D77" t="str">
            <v>Tel:</v>
          </cell>
          <cell r="F77" t="str">
            <v>Fax:</v>
          </cell>
        </row>
        <row r="78">
          <cell r="B78" t="str">
            <v xml:space="preserve"> Đơn vị thí nghiệm</v>
          </cell>
          <cell r="C78">
            <v>3</v>
          </cell>
          <cell r="D78" t="str">
            <v>Ông (Bà):</v>
          </cell>
          <cell r="E78" t="str">
            <v>Thí Văn Nghiệm</v>
          </cell>
          <cell r="F78" t="str">
            <v>Chức vụ:</v>
          </cell>
          <cell r="G78" t="str">
            <v>CB Thí nghiệm</v>
          </cell>
        </row>
        <row r="79">
          <cell r="D79" t="str">
            <v>Ông (Bà):</v>
          </cell>
          <cell r="E79" t="str">
            <v>Trần Văn Châu</v>
          </cell>
          <cell r="F79" t="str">
            <v>Chức vụ:</v>
          </cell>
          <cell r="G79" t="str">
            <v>CB Thí nghiệm</v>
          </cell>
        </row>
        <row r="80">
          <cell r="D80" t="str">
            <v>Ông (Bà):</v>
          </cell>
          <cell r="E80" t="str">
            <v>Nguyễn Văn A</v>
          </cell>
          <cell r="F80" t="str">
            <v>Chức vụ:</v>
          </cell>
          <cell r="G80" t="str">
            <v>CB Thí nghiệm</v>
          </cell>
        </row>
        <row r="82">
          <cell r="B82" t="str">
            <v>Tư vấn thiết kế</v>
          </cell>
          <cell r="D82" t="str">
            <v>Công ty TNHH Tư vấn thiết kế B.R</v>
          </cell>
        </row>
        <row r="83">
          <cell r="B83" t="str">
            <v>Địa chỉ:</v>
          </cell>
        </row>
        <row r="84">
          <cell r="B84" t="str">
            <v>Giấy phép thành lập:</v>
          </cell>
          <cell r="D84" t="str">
            <v xml:space="preserve">Giấy phép số </v>
          </cell>
        </row>
        <row r="85">
          <cell r="B85" t="str">
            <v>Chứng nhận Kinh doanh:</v>
          </cell>
        </row>
        <row r="86">
          <cell r="B86" t="str">
            <v>Chứng chỉ hành nghề:</v>
          </cell>
        </row>
        <row r="87">
          <cell r="D87" t="str">
            <v>Tel:</v>
          </cell>
          <cell r="F87" t="str">
            <v>Fax:</v>
          </cell>
        </row>
        <row r="88">
          <cell r="B88" t="str">
            <v xml:space="preserve"> Tư vấn thiết kế</v>
          </cell>
          <cell r="C88">
            <v>2</v>
          </cell>
          <cell r="D88" t="str">
            <v>Ông (Bà):</v>
          </cell>
          <cell r="E88" t="str">
            <v>Mai Chí Linh</v>
          </cell>
          <cell r="F88" t="str">
            <v>Chức vụ:</v>
          </cell>
          <cell r="G88" t="str">
            <v>Giám đốc</v>
          </cell>
        </row>
        <row r="89">
          <cell r="D89" t="str">
            <v>Ông (Bà):</v>
          </cell>
          <cell r="E89" t="str">
            <v>Phạm Văn Thắng</v>
          </cell>
          <cell r="F89" t="str">
            <v>Chức vụ:</v>
          </cell>
          <cell r="G89" t="str">
            <v>Chủ trì</v>
          </cell>
        </row>
        <row r="90">
          <cell r="D90" t="str">
            <v>Ông (Bà):</v>
          </cell>
          <cell r="F90" t="str">
            <v>Chức vụ:</v>
          </cell>
        </row>
        <row r="92">
          <cell r="B92" t="str">
            <v>Đơn vị cung cấp vật tư, thiết bị</v>
          </cell>
        </row>
        <row r="93">
          <cell r="B93" t="str">
            <v>Địa chỉ:</v>
          </cell>
        </row>
        <row r="94">
          <cell r="B94" t="str">
            <v>Giấy phép thành lập:</v>
          </cell>
        </row>
        <row r="95">
          <cell r="B95" t="str">
            <v>Chứng nhận Kinh doanh:</v>
          </cell>
        </row>
        <row r="96">
          <cell r="B96" t="str">
            <v>Chứng chỉ hành nghề:</v>
          </cell>
        </row>
        <row r="97">
          <cell r="D97" t="str">
            <v>Tel:</v>
          </cell>
          <cell r="F97" t="str">
            <v>Fax:</v>
          </cell>
        </row>
        <row r="98">
          <cell r="B98" t="str">
            <v xml:space="preserve"> Đơn vị cung cấp vật tư, thiết bị</v>
          </cell>
          <cell r="D98" t="str">
            <v>Ông (Bà):</v>
          </cell>
          <cell r="F98" t="str">
            <v>Chức vụ:</v>
          </cell>
        </row>
        <row r="99">
          <cell r="D99" t="str">
            <v>Ông (Bà):</v>
          </cell>
          <cell r="F99" t="str">
            <v>Chức vụ:</v>
          </cell>
        </row>
        <row r="101">
          <cell r="B101" t="str">
            <v>Thành phần khác</v>
          </cell>
        </row>
        <row r="102">
          <cell r="B102" t="str">
            <v xml:space="preserve"> Thành phần khác</v>
          </cell>
          <cell r="C102">
            <v>3</v>
          </cell>
          <cell r="D102" t="str">
            <v>Ông (Bà):</v>
          </cell>
          <cell r="E102" t="str">
            <v>Dương Minh Đức</v>
          </cell>
          <cell r="F102" t="str">
            <v>Chức vụ:</v>
          </cell>
          <cell r="G102" t="str">
            <v>Tổ trưởng thi công</v>
          </cell>
        </row>
        <row r="103">
          <cell r="D103" t="str">
            <v>Ông (Bà):</v>
          </cell>
          <cell r="E103" t="str">
            <v>Bùi Hương Giang</v>
          </cell>
          <cell r="F103" t="str">
            <v>Chức vụ:</v>
          </cell>
          <cell r="G103" t="str">
            <v>Quản lý Dữ liệu</v>
          </cell>
        </row>
        <row r="104">
          <cell r="D104" t="str">
            <v>Ông (Bà):</v>
          </cell>
          <cell r="E104" t="str">
            <v>Trần Thị Liệu</v>
          </cell>
          <cell r="F104" t="str">
            <v>Chức vụ:</v>
          </cell>
          <cell r="G104" t="str">
            <v>Cán bộ Dữ liệu</v>
          </cell>
        </row>
        <row r="105">
          <cell r="D105" t="str">
            <v>Ông (Bà):</v>
          </cell>
          <cell r="F105" t="str">
            <v>Chức vụ:</v>
          </cell>
        </row>
        <row r="106">
          <cell r="D106" t="str">
            <v>Ông (Bà):</v>
          </cell>
          <cell r="F106" t="str">
            <v>Chức vụ:</v>
          </cell>
        </row>
        <row r="107">
          <cell r="D107" t="str">
            <v>Ông (Bà):</v>
          </cell>
          <cell r="F107" t="str">
            <v>Chức vụ:</v>
          </cell>
        </row>
        <row r="108">
          <cell r="D108" t="str">
            <v>Ông (Bà):</v>
          </cell>
          <cell r="F108" t="str">
            <v>Chức vụ:</v>
          </cell>
        </row>
        <row r="109">
          <cell r="D109" t="str">
            <v>Ông (Bà):</v>
          </cell>
          <cell r="F109" t="str">
            <v>Chức vụ:</v>
          </cell>
        </row>
        <row r="110">
          <cell r="D110" t="str">
            <v>Ông (Bà):</v>
          </cell>
          <cell r="F110" t="str">
            <v>Chức vụ:</v>
          </cell>
        </row>
        <row r="111">
          <cell r="D111" t="str">
            <v>Ông (Bà):</v>
          </cell>
          <cell r="F111" t="str">
            <v>Chức vụ:</v>
          </cell>
        </row>
        <row r="116">
          <cell r="B116" t="str">
            <v xml:space="preserve"> Chủ đầu tư</v>
          </cell>
        </row>
        <row r="117">
          <cell r="B117" t="str">
            <v xml:space="preserve"> Nhà đầu tư</v>
          </cell>
        </row>
        <row r="118">
          <cell r="B118" t="str">
            <v xml:space="preserve"> Ban Quản lý dự án</v>
          </cell>
        </row>
        <row r="119">
          <cell r="B119" t="str">
            <v xml:space="preserve"> Tư vấn giám sát</v>
          </cell>
        </row>
        <row r="120">
          <cell r="B120" t="str">
            <v xml:space="preserve"> Nhà thầu thi công</v>
          </cell>
        </row>
        <row r="121">
          <cell r="B121" t="str">
            <v xml:space="preserve"> Đơn vị thí nghiệm</v>
          </cell>
        </row>
        <row r="122">
          <cell r="B122" t="str">
            <v xml:space="preserve"> Tư vấn thiết kế</v>
          </cell>
        </row>
        <row r="123">
          <cell r="B123" t="str">
            <v xml:space="preserve"> Đơn vị cung cấp vật tư, thiết bị</v>
          </cell>
        </row>
      </sheetData>
      <sheetData sheetId="3">
        <row r="4">
          <cell r="C4" t="str">
            <v>Trần Hoàng Linh</v>
          </cell>
        </row>
        <row r="5">
          <cell r="C5" t="str">
            <v>Trịnh Hoàng</v>
          </cell>
        </row>
        <row r="6">
          <cell r="C6" t="str">
            <v>Trần Văn Châu</v>
          </cell>
        </row>
        <row r="11">
          <cell r="C11" t="str">
            <v>Nguyễn Văn Thắng</v>
          </cell>
          <cell r="D11" t="str">
            <v>Trần Đăng Khoa</v>
          </cell>
        </row>
        <row r="12">
          <cell r="C12" t="str">
            <v>Trần Quốc Toản</v>
          </cell>
          <cell r="D12" t="str">
            <v>Nguyễn Đình Tuấn</v>
          </cell>
        </row>
        <row r="13">
          <cell r="C13" t="str">
            <v>Hoàng Nguyên Thành</v>
          </cell>
        </row>
        <row r="14">
          <cell r="C14" t="str">
            <v>Nguyễn Văn Hoàng</v>
          </cell>
        </row>
        <row r="20">
          <cell r="C20" t="str">
            <v>Trần Hoàng Linh</v>
          </cell>
          <cell r="D20" t="str">
            <v>Nguyễn Thanh Tùng</v>
          </cell>
        </row>
        <row r="21">
          <cell r="C21" t="str">
            <v>Trần Đăng Khoa</v>
          </cell>
          <cell r="D21" t="str">
            <v>Trần Đăng Khoa</v>
          </cell>
        </row>
        <row r="27">
          <cell r="C27" t="str">
            <v>Nguyễn Thái Anh</v>
          </cell>
          <cell r="D27" t="str">
            <v>Nguyễn Thái Anh</v>
          </cell>
        </row>
        <row r="28">
          <cell r="C28" t="str">
            <v>Trần Hoàng Linh</v>
          </cell>
          <cell r="D28" t="str">
            <v>Nguyễn Thanh Tùng</v>
          </cell>
        </row>
        <row r="29">
          <cell r="C29" t="str">
            <v>Trịnh Hoàng</v>
          </cell>
          <cell r="D29" t="str">
            <v>Trần Đăng Khoa</v>
          </cell>
        </row>
      </sheetData>
      <sheetData sheetId="4" refreshError="1"/>
      <sheetData sheetId="5">
        <row r="3">
          <cell r="B3" t="str">
            <v>Dự án:</v>
          </cell>
        </row>
        <row r="4">
          <cell r="B4" t="str">
            <v>TRỤ SỞ PHÂN PHỐI VÀ CÀI ĐẶT PHẦN MỀM QLCL CÔNG TRÌNH GXD</v>
          </cell>
        </row>
        <row r="5">
          <cell r="B5" t="str">
            <v>Công trình:</v>
          </cell>
        </row>
        <row r="6">
          <cell r="B6" t="str">
            <v>VĂN PHÒNG PHÂN PHỐI VÀ CÀI ĐẶT SỐ 2A/55, NGUYỄN NGỌC NẠI</v>
          </cell>
        </row>
        <row r="7">
          <cell r="B7" t="str">
            <v>Hạng mục:</v>
          </cell>
        </row>
        <row r="8">
          <cell r="B8" t="str">
            <v>VĂN PHÒNG HỖ TRỢ KHÁCH HÀNG SỐ 18, NGUYỄN NGỌC NẠI</v>
          </cell>
        </row>
        <row r="9">
          <cell r="B9" t="str">
            <v>Gói thầu:</v>
          </cell>
        </row>
        <row r="10">
          <cell r="B10" t="str">
            <v>SỐ ĐIỆN THOẠI 0985099938</v>
          </cell>
        </row>
      </sheetData>
      <sheetData sheetId="6">
        <row r="7">
          <cell r="A7" t="str">
            <v>[1]</v>
          </cell>
          <cell r="B7" t="str">
            <v>[2]</v>
          </cell>
          <cell r="D7" t="str">
            <v>[3]</v>
          </cell>
          <cell r="E7" t="str">
            <v>[4]</v>
          </cell>
          <cell r="F7" t="str">
            <v>[5]</v>
          </cell>
          <cell r="G7" t="str">
            <v>[6]</v>
          </cell>
          <cell r="H7" t="str">
            <v>[7]</v>
          </cell>
          <cell r="I7" t="str">
            <v>[8]</v>
          </cell>
          <cell r="J7" t="str">
            <v>[9]</v>
          </cell>
          <cell r="K7" t="str">
            <v>[10]</v>
          </cell>
          <cell r="L7" t="str">
            <v>[11]</v>
          </cell>
          <cell r="M7" t="str">
            <v>[12]</v>
          </cell>
          <cell r="N7" t="str">
            <v>[13]</v>
          </cell>
          <cell r="O7" t="str">
            <v>[14]</v>
          </cell>
          <cell r="P7" t="str">
            <v>[15]</v>
          </cell>
          <cell r="Q7" t="str">
            <v>[16]</v>
          </cell>
          <cell r="R7" t="str">
            <v>[17]</v>
          </cell>
        </row>
        <row r="9">
          <cell r="A9">
            <v>1</v>
          </cell>
          <cell r="B9" t="str">
            <v>VL.03</v>
          </cell>
          <cell r="D9" t="str">
            <v>01</v>
          </cell>
          <cell r="E9" t="str">
            <v>Xi măng</v>
          </cell>
          <cell r="F9" t="str">
            <v>TCVN 4787 : 2009 Xi măng - PP lẫy mẫu và chuẩn bị mẫu thử.</v>
          </cell>
          <cell r="G9">
            <v>42495</v>
          </cell>
          <cell r="H9" t="str">
            <v>0234</v>
          </cell>
          <cell r="I9">
            <v>42129</v>
          </cell>
          <cell r="J9" t="str">
            <v>14h30-15h00</v>
          </cell>
          <cell r="K9" t="str">
            <v>15/5/2016</v>
          </cell>
          <cell r="L9" t="str">
            <v>152/KQTNXM</v>
          </cell>
          <cell r="M9">
            <v>42502</v>
          </cell>
          <cell r="N9" t="str">
            <v>8h30-9h00</v>
          </cell>
          <cell r="O9">
            <v>42502</v>
          </cell>
          <cell r="P9">
            <v>42503</v>
          </cell>
          <cell r="Q9" t="str">
            <v>14h30-15h00</v>
          </cell>
        </row>
        <row r="10">
          <cell r="E10" t="str">
            <v xml:space="preserve">Xi măng; 200 tấn; PCB40; 5; 4 mẫu; Mỗi lần lấy mẫu là 5kg hoặc có thể lớn hơn tùy theo yêu cầu; </v>
          </cell>
        </row>
        <row r="11">
          <cell r="A11">
            <v>2</v>
          </cell>
          <cell r="B11" t="str">
            <v>VL.01</v>
          </cell>
          <cell r="D11" t="str">
            <v>02</v>
          </cell>
          <cell r="E11" t="str">
            <v>Cát đổ bê tông</v>
          </cell>
          <cell r="F11" t="str">
            <v>TCVN 7570 : 2006 Cốt liệu cho bê tông và vữa - Yêu cầu kỹ thuật.</v>
          </cell>
          <cell r="G11">
            <v>42495</v>
          </cell>
          <cell r="I11">
            <v>42495</v>
          </cell>
          <cell r="J11" t="str">
            <v>14h30-15h01</v>
          </cell>
          <cell r="K11" t="str">
            <v>15/5/2016</v>
          </cell>
        </row>
        <row r="12">
          <cell r="E12" t="str">
            <v xml:space="preserve">Cát; 100 m3; ; ; 1 mẫu; Mỗi loại vật liệu lấy từ 01 đến 02 mẫu để thí nghiệm khối lượng mẫu khoảng 50kg; </v>
          </cell>
          <cell r="F12" t="str">
            <v>TCVN 7572-1 : 2006 Cốt liệu cho bê tông và vữa - Phương pháp thử. Phần 1: Lấy mẫu.</v>
          </cell>
          <cell r="G12" t="str">
            <v xml:space="preserve"> </v>
          </cell>
        </row>
        <row r="13">
          <cell r="F13" t="str">
            <v>TCVN 7572-2 : 2006 Cốt liệu cho bê tông và vữa - Phương pháp thử. Phần 2: Xác định thành phần hạt.</v>
          </cell>
          <cell r="G13" t="str">
            <v xml:space="preserve"> </v>
          </cell>
        </row>
        <row r="14">
          <cell r="F14" t="str">
            <v>TCVN 7572-3 : 2006 Cốt liệu cho bê tông và vữa - Phương pháp thử. Phần 3: Hướng dẫn xác định thành phần thanh lọc.</v>
          </cell>
        </row>
        <row r="15">
          <cell r="A15">
            <v>3</v>
          </cell>
          <cell r="B15" t="str">
            <v>VL.01</v>
          </cell>
          <cell r="D15" t="str">
            <v>03</v>
          </cell>
          <cell r="E15" t="str">
            <v>Cát mịn, ML = 1,5-2</v>
          </cell>
          <cell r="F15" t="str">
            <v>TCVN 7570 : 2006 Cốt liệu cho bê tông và vữa - Yêu cầu kỹ thuật.</v>
          </cell>
          <cell r="G15">
            <v>42496</v>
          </cell>
          <cell r="H15" t="str">
            <v>0235</v>
          </cell>
          <cell r="I15">
            <v>42496</v>
          </cell>
          <cell r="J15" t="str">
            <v>8h30-9h00</v>
          </cell>
          <cell r="K15">
            <v>42503</v>
          </cell>
          <cell r="M15">
            <v>42504</v>
          </cell>
          <cell r="N15" t="str">
            <v>8h30-9h00</v>
          </cell>
          <cell r="O15">
            <v>42504</v>
          </cell>
          <cell r="P15">
            <v>42505</v>
          </cell>
          <cell r="Q15" t="str">
            <v>14h30-15h00</v>
          </cell>
        </row>
        <row r="16">
          <cell r="F16" t="str">
            <v>TCVN 7572-1 : 2006 Cốt liệu cho bê tông và vữa - Phương pháp thử. Phần 1: Lấy mẫu.</v>
          </cell>
        </row>
        <row r="17">
          <cell r="F17" t="str">
            <v>TCVN 7572-2 : 2006 Cốt liệu cho bê tông và vữa - Phương pháp thử. Phần 2: Xác định thành phần hạt.</v>
          </cell>
        </row>
        <row r="18">
          <cell r="F18" t="str">
            <v>TCVN 7572-3 : 2006 Cốt liệu cho bê tông và vữa - Phương pháp thử. Phần 3: Hướng dẫn xác định thành phần thanh lọc.</v>
          </cell>
        </row>
        <row r="19">
          <cell r="F19" t="str">
            <v>TCVN 7572-4 : 2006 Cốt liệu cho bê tông và vữa - Phương pháp thử. Phần 4: Xác định khối lượng riêng, khối lượng thể tích và độ hút nước.</v>
          </cell>
        </row>
        <row r="20">
          <cell r="A20">
            <v>4</v>
          </cell>
          <cell r="B20" t="str">
            <v>VL.11</v>
          </cell>
          <cell r="D20" t="str">
            <v>04</v>
          </cell>
          <cell r="E20" t="str">
            <v>Cấp phối đá dăm</v>
          </cell>
          <cell r="F20" t="str">
            <v>22TCN 333-2006 về quy trình đầm nén đất, đá dăm trong phòng thí nghiệm.</v>
          </cell>
          <cell r="G20">
            <v>42497</v>
          </cell>
          <cell r="H20">
            <v>238</v>
          </cell>
          <cell r="I20">
            <v>42496</v>
          </cell>
          <cell r="J20" t="str">
            <v>8h30-9h00</v>
          </cell>
          <cell r="K20">
            <v>42505</v>
          </cell>
          <cell r="M20">
            <v>42506</v>
          </cell>
          <cell r="N20" t="str">
            <v>8h30-9h00</v>
          </cell>
          <cell r="O20">
            <v>42506</v>
          </cell>
          <cell r="P20">
            <v>42507</v>
          </cell>
          <cell r="Q20" t="str">
            <v>14h30-15h00</v>
          </cell>
        </row>
        <row r="21">
          <cell r="F21" t="str">
            <v>TCVN 4197 : 2012 Phương pháp xác định giới hạn chảy và giới hạn dẻo trong phòng thí nghiệm.</v>
          </cell>
          <cell r="G21" t="str">
            <v xml:space="preserve"> </v>
          </cell>
        </row>
        <row r="22">
          <cell r="A22">
            <v>5</v>
          </cell>
          <cell r="B22" t="str">
            <v>VL.03</v>
          </cell>
          <cell r="D22">
            <v>5</v>
          </cell>
          <cell r="E22" t="str">
            <v>Xi măng</v>
          </cell>
          <cell r="F22" t="str">
            <v>TCVN 4787 : 2009 Xi măng - PP lẫy mẫu và chuẩn bị mẫu thử.</v>
          </cell>
        </row>
        <row r="23">
          <cell r="A23">
            <v>6</v>
          </cell>
          <cell r="B23" t="str">
            <v>VL.11</v>
          </cell>
          <cell r="D23">
            <v>6</v>
          </cell>
          <cell r="E23" t="str">
            <v>Cấp phối đá dăm</v>
          </cell>
          <cell r="F23" t="str">
            <v>22TCN 333-2006 về quy trình đầm nén đất, đá dăm trong phòng thí nghiệm.</v>
          </cell>
        </row>
        <row r="24">
          <cell r="E24" t="str">
            <v xml:space="preserve">Cấp phối đá dăm; 1000 m3; Dmax 25; ; 5 mẫu; 100 - 200 kg tùy theo mẫu đá; </v>
          </cell>
          <cell r="F24" t="str">
            <v>TCVN 4197 : 2012 Phương pháp xác định giới hạn chảy và giới hạn dẻo trong phòng thí nghiệm.</v>
          </cell>
        </row>
        <row r="25">
          <cell r="F25" t="str">
            <v>TCVN 8859 : 2011 Lớp móng cấp phối đá dăm trong kết cấu áo đường ô tô - Vật liệu, thi công và nghiệm thu</v>
          </cell>
        </row>
      </sheetData>
      <sheetData sheetId="7" refreshError="1"/>
      <sheetData sheetId="8" refreshError="1"/>
      <sheetData sheetId="9" refreshError="1"/>
      <sheetData sheetId="10" refreshError="1"/>
      <sheetData sheetId="11" refreshError="1"/>
      <sheetData sheetId="12">
        <row r="7">
          <cell r="A7" t="str">
            <v>[1]</v>
          </cell>
          <cell r="B7" t="str">
            <v>[2]</v>
          </cell>
          <cell r="C7" t="str">
            <v>[3]</v>
          </cell>
          <cell r="D7" t="str">
            <v>[4]</v>
          </cell>
          <cell r="E7" t="str">
            <v>[5]</v>
          </cell>
          <cell r="F7" t="str">
            <v>[6]</v>
          </cell>
          <cell r="G7" t="str">
            <v>[7]</v>
          </cell>
          <cell r="H7" t="str">
            <v>[8]</v>
          </cell>
          <cell r="I7" t="str">
            <v>[9]</v>
          </cell>
          <cell r="J7" t="str">
            <v>[10]</v>
          </cell>
          <cell r="K7" t="str">
            <v>[11]</v>
          </cell>
          <cell r="L7" t="str">
            <v>[12]</v>
          </cell>
          <cell r="M7" t="str">
            <v>[13]</v>
          </cell>
          <cell r="N7" t="str">
            <v>[14]</v>
          </cell>
          <cell r="O7" t="str">
            <v>[15]</v>
          </cell>
          <cell r="P7" t="str">
            <v>[16]</v>
          </cell>
          <cell r="Q7" t="str">
            <v>[17]</v>
          </cell>
          <cell r="R7" t="str">
            <v>[18]</v>
          </cell>
          <cell r="S7" t="str">
            <v>[19]</v>
          </cell>
          <cell r="T7" t="str">
            <v>[20]</v>
          </cell>
          <cell r="U7" t="str">
            <v>[21]</v>
          </cell>
          <cell r="V7" t="str">
            <v>[22]</v>
          </cell>
          <cell r="W7" t="str">
            <v>[23]</v>
          </cell>
          <cell r="X7" t="str">
            <v>[24]</v>
          </cell>
          <cell r="Y7" t="str">
            <v>[25]</v>
          </cell>
          <cell r="Z7" t="str">
            <v>[26]</v>
          </cell>
        </row>
        <row r="8">
          <cell r="D8" t="str">
            <v/>
          </cell>
        </row>
        <row r="9">
          <cell r="B9" t="str">
            <v>HM</v>
          </cell>
          <cell r="D9" t="str">
            <v>HM1</v>
          </cell>
          <cell r="E9" t="str">
            <v>DẢI PHÂN CÁCH</v>
          </cell>
        </row>
        <row r="10">
          <cell r="B10" t="str">
            <v>GD</v>
          </cell>
          <cell r="D10" t="str">
            <v>01GD</v>
          </cell>
          <cell r="E10" t="str">
            <v>DẢI PHÂN CÁCH</v>
          </cell>
        </row>
        <row r="11">
          <cell r="A11">
            <v>1</v>
          </cell>
          <cell r="B11" t="str">
            <v>AB.11411</v>
          </cell>
          <cell r="D11" t="str">
            <v>01</v>
          </cell>
          <cell r="E11" t="str">
            <v>Đào đất hố móng</v>
          </cell>
          <cell r="F11" t="str">
            <v>Đào suốt tuyến</v>
          </cell>
          <cell r="H11" t="str">
            <v>TCVN 5637 : 1991 Quản lý chất lượng xây lắp công trình xây dựng. Nguyên tắc cơ bản</v>
          </cell>
          <cell r="L11">
            <v>42865</v>
          </cell>
          <cell r="M11" t="str">
            <v>8h00-9h00</v>
          </cell>
          <cell r="N11">
            <v>42865</v>
          </cell>
          <cell r="O11">
            <v>42866</v>
          </cell>
          <cell r="P11" t="str">
            <v>15h00-15h30</v>
          </cell>
          <cell r="R11">
            <v>42500</v>
          </cell>
          <cell r="S11">
            <v>42502</v>
          </cell>
          <cell r="U11" t="str">
            <v>T</v>
          </cell>
        </row>
        <row r="12">
          <cell r="D12" t="str">
            <v/>
          </cell>
          <cell r="H12" t="str">
            <v>TCVN 4055 : 2012 Tổ chức thi công</v>
          </cell>
        </row>
        <row r="13">
          <cell r="D13" t="str">
            <v/>
          </cell>
          <cell r="H13" t="str">
            <v>TCVN 5308 : 1991 Quy phạm kỹ thuật an toàn trong xây dựng</v>
          </cell>
        </row>
        <row r="14">
          <cell r="A14">
            <v>2</v>
          </cell>
          <cell r="B14" t="str">
            <v>AB.41431</v>
          </cell>
          <cell r="D14" t="str">
            <v>02</v>
          </cell>
          <cell r="E14" t="str">
            <v>Vận chuyển đất bằng ôtô tự đổ 10 tấn trong phạm vi ≤1000m, đất cấp I</v>
          </cell>
          <cell r="F14" t="str">
            <v>Suốt tuyến</v>
          </cell>
          <cell r="H14" t="str">
            <v>TCVN 4055 : 2012 Tổ chức thi công</v>
          </cell>
          <cell r="L14">
            <v>42865</v>
          </cell>
          <cell r="M14" t="str">
            <v>8h00-9h00</v>
          </cell>
          <cell r="N14">
            <v>42865</v>
          </cell>
          <cell r="O14">
            <v>42866</v>
          </cell>
          <cell r="P14" t="str">
            <v>15h00-15h30</v>
          </cell>
          <cell r="R14">
            <v>42500</v>
          </cell>
          <cell r="S14">
            <v>42502</v>
          </cell>
          <cell r="U14" t="str">
            <v>T</v>
          </cell>
        </row>
        <row r="15">
          <cell r="D15" t="str">
            <v/>
          </cell>
          <cell r="H15" t="str">
            <v>TCVN 5308 : 1991 Quy phạm kỹ thuật an toàn trong xây dựng</v>
          </cell>
        </row>
        <row r="16">
          <cell r="A16">
            <v>3</v>
          </cell>
          <cell r="B16" t="str">
            <v>AB.42331*6</v>
          </cell>
          <cell r="D16" t="str">
            <v>03</v>
          </cell>
          <cell r="E16" t="str">
            <v>Vận chuyển tiếp cự ly 6km tiếp theo - Ôtô 10 tấn, đất cấp I</v>
          </cell>
          <cell r="F16" t="str">
            <v>Suốt tuyến</v>
          </cell>
          <cell r="H16" t="str">
            <v>TCVN 4055 : 2012 Tổ chức thi công</v>
          </cell>
          <cell r="L16">
            <v>42865</v>
          </cell>
          <cell r="M16" t="str">
            <v>8h00-9h00</v>
          </cell>
          <cell r="N16">
            <v>42865</v>
          </cell>
          <cell r="O16">
            <v>42866</v>
          </cell>
          <cell r="P16" t="str">
            <v>15h00-15h30</v>
          </cell>
          <cell r="R16">
            <v>42500</v>
          </cell>
          <cell r="S16">
            <v>42502</v>
          </cell>
          <cell r="U16" t="str">
            <v>T</v>
          </cell>
        </row>
        <row r="17">
          <cell r="D17" t="str">
            <v/>
          </cell>
          <cell r="H17" t="str">
            <v>TCVN 5308 : 1991 Quy phạm kỹ thuật an toàn trong xây dựng</v>
          </cell>
        </row>
        <row r="18">
          <cell r="A18">
            <v>4</v>
          </cell>
          <cell r="B18" t="str">
            <v>AG.13111</v>
          </cell>
          <cell r="D18" t="str">
            <v>04</v>
          </cell>
          <cell r="E18" t="str">
            <v>Cốt thép móng trụ Þ&lt;=10mm</v>
          </cell>
          <cell r="F18" t="str">
            <v>Suốt tuyến</v>
          </cell>
          <cell r="H18" t="str">
            <v>TCVN 1651-2 : 2008 Thép cốt bê tông – Thép thanh vằn</v>
          </cell>
          <cell r="I18" t="str">
            <v xml:space="preserve"> </v>
          </cell>
          <cell r="L18">
            <v>42508</v>
          </cell>
          <cell r="M18" t="str">
            <v>8h00-9h00</v>
          </cell>
          <cell r="N18">
            <v>42508</v>
          </cell>
          <cell r="O18">
            <v>42509</v>
          </cell>
          <cell r="P18" t="str">
            <v>15h00-15h30</v>
          </cell>
          <cell r="R18">
            <v>42500</v>
          </cell>
          <cell r="S18">
            <v>42510</v>
          </cell>
          <cell r="U18" t="str">
            <v>T</v>
          </cell>
        </row>
        <row r="19">
          <cell r="D19" t="str">
            <v/>
          </cell>
          <cell r="H19" t="str">
            <v>TCVN 9392 : 2012 Thép cốt bê tông - Hàn hồ quang</v>
          </cell>
        </row>
        <row r="20">
          <cell r="A20">
            <v>5</v>
          </cell>
          <cell r="B20" t="str">
            <v>AG.11453</v>
          </cell>
          <cell r="D20" t="str">
            <v>05</v>
          </cell>
          <cell r="E20" t="str">
            <v>Bê tông chân cột đá 1x2, f'c=16Mpa, đúc sẵn</v>
          </cell>
          <cell r="F20" t="str">
            <v>Suốt tuyến</v>
          </cell>
          <cell r="H20" t="str">
            <v>TCVN 5637 : 1991 Quản lý chất lượng xây lắp công trình xây dựng. Nguyên tắc cơ bản</v>
          </cell>
          <cell r="I20">
            <v>42502</v>
          </cell>
          <cell r="J20" t="str">
            <v>9h00-9h30</v>
          </cell>
          <cell r="L20">
            <v>42510</v>
          </cell>
          <cell r="M20" t="str">
            <v>8h00-9h00</v>
          </cell>
          <cell r="N20">
            <v>42510</v>
          </cell>
          <cell r="O20">
            <v>42511</v>
          </cell>
          <cell r="P20" t="str">
            <v>15h00-15h30</v>
          </cell>
          <cell r="R20">
            <v>42502</v>
          </cell>
          <cell r="S20">
            <v>42512</v>
          </cell>
          <cell r="U20" t="str">
            <v>T</v>
          </cell>
          <cell r="V20">
            <v>42502</v>
          </cell>
          <cell r="W20" t="str">
            <v>8h00-9h00</v>
          </cell>
          <cell r="Y20">
            <v>42502</v>
          </cell>
          <cell r="Z20" t="str">
            <v>9h00-10h00</v>
          </cell>
        </row>
        <row r="21">
          <cell r="C21" t="str">
            <v>LM</v>
          </cell>
          <cell r="D21" t="str">
            <v/>
          </cell>
          <cell r="E21" t="str">
            <v>Sản xuất tại công trường; 16Mpa; 2-4; 3; 15x15x15</v>
          </cell>
          <cell r="H21" t="str">
            <v>TCVN 4055 : 2012 Tổ chức thi công</v>
          </cell>
        </row>
        <row r="22">
          <cell r="D22" t="str">
            <v/>
          </cell>
          <cell r="H22" t="str">
            <v>TCVN 5308 : 1991 Quy phạm kỹ thuật an toàn trong xây dựng</v>
          </cell>
        </row>
        <row r="23">
          <cell r="A23">
            <v>6</v>
          </cell>
          <cell r="B23" t="str">
            <v>AG.32211</v>
          </cell>
          <cell r="D23" t="str">
            <v>06</v>
          </cell>
          <cell r="E23" t="str">
            <v>Ván khuôn móng chân cột đúc sẵn</v>
          </cell>
          <cell r="F23" t="str">
            <v>Suốt tuyến</v>
          </cell>
          <cell r="H23" t="str">
            <v>TCVN 9115 : 2012 Kết cấu bê tông và bê tông cốt thép lắp ghép - Thi công và nghiệm thu</v>
          </cell>
          <cell r="L23">
            <v>42510</v>
          </cell>
          <cell r="M23" t="str">
            <v>8h00-9h00</v>
          </cell>
          <cell r="N23">
            <v>42510</v>
          </cell>
          <cell r="O23">
            <v>42511</v>
          </cell>
          <cell r="P23" t="str">
            <v>15h00-15h30</v>
          </cell>
          <cell r="R23">
            <v>42502</v>
          </cell>
          <cell r="S23">
            <v>42512</v>
          </cell>
          <cell r="U23" t="str">
            <v>T</v>
          </cell>
        </row>
        <row r="24">
          <cell r="D24" t="str">
            <v/>
          </cell>
          <cell r="H24" t="str">
            <v>TCVN 4055 : 2012 Tổ chức thi công</v>
          </cell>
        </row>
        <row r="25">
          <cell r="D25" t="str">
            <v/>
          </cell>
          <cell r="H25" t="str">
            <v>TCVN 5308 : 1991 Quy phạm kỹ thuật an toàn trong xây dựng</v>
          </cell>
        </row>
        <row r="26">
          <cell r="A26">
            <v>7</v>
          </cell>
          <cell r="B26" t="str">
            <v>AG.42121</v>
          </cell>
          <cell r="D26" t="str">
            <v>07</v>
          </cell>
          <cell r="E26" t="str">
            <v>Lắp đặt chân cột</v>
          </cell>
          <cell r="F26" t="str">
            <v>Suốt tuyến</v>
          </cell>
          <cell r="H26" t="str">
            <v>TCVN 5637 : 1991 Quản lý chất lượng xây lắp công trình xây dựng. Nguyên tắc cơ bản</v>
          </cell>
          <cell r="L26">
            <v>42541</v>
          </cell>
          <cell r="M26" t="str">
            <v>8h00-9h00</v>
          </cell>
          <cell r="N26">
            <v>42541</v>
          </cell>
          <cell r="O26">
            <v>42542</v>
          </cell>
          <cell r="P26" t="str">
            <v>15h00-15h30</v>
          </cell>
          <cell r="R26">
            <v>42512</v>
          </cell>
          <cell r="S26">
            <v>42543</v>
          </cell>
          <cell r="U26" t="str">
            <v>T</v>
          </cell>
        </row>
        <row r="27">
          <cell r="D27" t="str">
            <v/>
          </cell>
          <cell r="H27" t="str">
            <v>TCVN 4055 : 2012 Tổ chức thi công</v>
          </cell>
        </row>
        <row r="28">
          <cell r="D28" t="str">
            <v/>
          </cell>
          <cell r="H28" t="str">
            <v>TCVN 5308 : 1991 Quy phạm kỹ thuật an toàn trong xây dựng</v>
          </cell>
        </row>
        <row r="29">
          <cell r="A29">
            <v>8</v>
          </cell>
          <cell r="B29" t="str">
            <v>AF.11213</v>
          </cell>
          <cell r="D29" t="str">
            <v>08</v>
          </cell>
          <cell r="E29" t="str">
            <v>Bê tông móng đá 1x2, f'c=16Mpa, đổ tại chỗ</v>
          </cell>
          <cell r="F29" t="str">
            <v>Suốt tuyến</v>
          </cell>
          <cell r="H29" t="str">
            <v>TCVN 4055 : 2012 Tổ chức thi công</v>
          </cell>
          <cell r="I29">
            <v>42515</v>
          </cell>
          <cell r="J29" t="str">
            <v>9h00-9h30</v>
          </cell>
          <cell r="L29">
            <v>42533</v>
          </cell>
          <cell r="M29" t="str">
            <v>8h00-9h00</v>
          </cell>
          <cell r="N29">
            <v>42533</v>
          </cell>
          <cell r="O29">
            <v>42534</v>
          </cell>
          <cell r="P29" t="str">
            <v>15h00-15h30</v>
          </cell>
          <cell r="R29">
            <v>42515</v>
          </cell>
          <cell r="S29">
            <v>42535</v>
          </cell>
          <cell r="U29" t="str">
            <v>T</v>
          </cell>
        </row>
        <row r="30">
          <cell r="C30" t="str">
            <v>LM</v>
          </cell>
          <cell r="D30" t="str">
            <v/>
          </cell>
          <cell r="E30" t="str">
            <v>Sản xuất tại công trường; 16Mpa; 2-4; 9; 15x15x15;</v>
          </cell>
          <cell r="H30" t="str">
            <v>TCVN 4453 : 1995 Kết cấu bê tông và bê tông cốt thép toàn khối. Quy phạm thi công và nghiệm thu.</v>
          </cell>
        </row>
        <row r="31">
          <cell r="D31" t="str">
            <v/>
          </cell>
          <cell r="H31" t="str">
            <v>TCVN 5308 : 1991 Quy phạm kỹ thuật an toàn trong xây dựng</v>
          </cell>
        </row>
        <row r="33">
          <cell r="A33">
            <v>9</v>
          </cell>
          <cell r="B33" t="str">
            <v>AI.11421</v>
          </cell>
          <cell r="D33" t="str">
            <v>09</v>
          </cell>
          <cell r="E33" t="str">
            <v>Sản xuất kết cấu hàng rào</v>
          </cell>
          <cell r="F33" t="str">
            <v>Suốt tuyến</v>
          </cell>
          <cell r="H33" t="str">
            <v>TCVN 5637 : 1991 Quản lý chất lượng xây lắp công trình xây dựng. Nguyên tắc cơ bản</v>
          </cell>
          <cell r="L33">
            <v>42515</v>
          </cell>
          <cell r="M33" t="str">
            <v>8h00-9h00</v>
          </cell>
          <cell r="N33">
            <v>42515</v>
          </cell>
          <cell r="O33">
            <v>42516</v>
          </cell>
          <cell r="P33" t="str">
            <v>15h00-15h30</v>
          </cell>
          <cell r="R33">
            <v>42502</v>
          </cell>
          <cell r="S33">
            <v>42517</v>
          </cell>
          <cell r="U33" t="str">
            <v>T</v>
          </cell>
        </row>
        <row r="34">
          <cell r="D34" t="str">
            <v/>
          </cell>
          <cell r="H34" t="str">
            <v>TCVN 4055 : 2012 Tổ chức thi công</v>
          </cell>
        </row>
        <row r="35">
          <cell r="D35" t="str">
            <v/>
          </cell>
          <cell r="H35" t="str">
            <v>TCVN 5308 : 1991 Quy phạm kỹ thuật an toàn trong xây dựng</v>
          </cell>
        </row>
        <row r="36">
          <cell r="A36">
            <v>10</v>
          </cell>
          <cell r="B36" t="str">
            <v>AI.63211</v>
          </cell>
          <cell r="D36" t="str">
            <v>10</v>
          </cell>
          <cell r="E36" t="str">
            <v>Lắp dựng hàng rào</v>
          </cell>
          <cell r="F36" t="str">
            <v>Suốt tuyến</v>
          </cell>
          <cell r="H36" t="str">
            <v>TCVN 5637 : 1991 Quản lý chất lượng xây lắp công trình xây dựng. Nguyên tắc cơ bản</v>
          </cell>
          <cell r="L36">
            <v>42533</v>
          </cell>
          <cell r="M36" t="str">
            <v>8h00-9h00</v>
          </cell>
          <cell r="N36">
            <v>42533</v>
          </cell>
          <cell r="O36">
            <v>42534</v>
          </cell>
          <cell r="P36" t="str">
            <v>15h00-15h30</v>
          </cell>
          <cell r="R36">
            <v>42519</v>
          </cell>
          <cell r="S36">
            <v>42535</v>
          </cell>
          <cell r="U36" t="str">
            <v>T</v>
          </cell>
        </row>
        <row r="37">
          <cell r="D37" t="str">
            <v/>
          </cell>
          <cell r="H37" t="str">
            <v>TCVN 4055 : 2012 Tổ chức thi công</v>
          </cell>
        </row>
        <row r="38">
          <cell r="D38" t="str">
            <v/>
          </cell>
          <cell r="H38" t="str">
            <v>TCVN 5308 : 1991 Quy phạm kỹ thuật an toàn trong xây dựng</v>
          </cell>
        </row>
        <row r="39">
          <cell r="A39">
            <v>11</v>
          </cell>
          <cell r="B39" t="str">
            <v>AI.11421</v>
          </cell>
          <cell r="D39" t="str">
            <v>11</v>
          </cell>
          <cell r="E39" t="str">
            <v>Sản xuất kết cấu trụ hàng rào</v>
          </cell>
          <cell r="F39" t="str">
            <v>Suốt tuyến</v>
          </cell>
          <cell r="H39" t="str">
            <v>TCVN 5637 : 1991 Quản lý chất lượng xây lắp công trình xây dựng. Nguyên tắc cơ bản</v>
          </cell>
          <cell r="L39">
            <v>42515</v>
          </cell>
          <cell r="M39" t="str">
            <v>8h00-9h00</v>
          </cell>
          <cell r="N39">
            <v>42515</v>
          </cell>
          <cell r="O39">
            <v>42516</v>
          </cell>
          <cell r="P39" t="str">
            <v>15h00-15h30</v>
          </cell>
          <cell r="R39">
            <v>42502</v>
          </cell>
          <cell r="S39">
            <v>42517</v>
          </cell>
          <cell r="U39" t="str">
            <v>T</v>
          </cell>
        </row>
        <row r="40">
          <cell r="D40" t="str">
            <v/>
          </cell>
          <cell r="H40" t="str">
            <v>TCVN 4055 : 2012 Tổ chức thi công</v>
          </cell>
        </row>
        <row r="41">
          <cell r="D41" t="str">
            <v/>
          </cell>
          <cell r="H41" t="str">
            <v>TCVN 5308 : 1991 Quy phạm kỹ thuật an toàn trong xây dựng</v>
          </cell>
        </row>
        <row r="42">
          <cell r="A42">
            <v>12</v>
          </cell>
          <cell r="B42" t="str">
            <v>AI.61131vd</v>
          </cell>
          <cell r="D42" t="str">
            <v>12</v>
          </cell>
          <cell r="E42" t="str">
            <v>Lắp dựng trụ hàng rào</v>
          </cell>
          <cell r="F42" t="str">
            <v>Suốt tuyến</v>
          </cell>
          <cell r="H42" t="str">
            <v>TCVN 5637 : 1991 Quản lý chất lượng xây lắp công trình xây dựng. Nguyên tắc cơ bản</v>
          </cell>
          <cell r="M42" t="str">
            <v>8h00-9h00</v>
          </cell>
          <cell r="P42" t="str">
            <v>15h00-15h30</v>
          </cell>
          <cell r="R42">
            <v>42519</v>
          </cell>
          <cell r="S42">
            <v>42535</v>
          </cell>
          <cell r="U42" t="str">
            <v>T</v>
          </cell>
        </row>
        <row r="43">
          <cell r="D43" t="str">
            <v/>
          </cell>
          <cell r="H43" t="str">
            <v>TCVN 4055 : 2012 Tổ chức thi công</v>
          </cell>
        </row>
        <row r="44">
          <cell r="D44" t="str">
            <v/>
          </cell>
          <cell r="H44" t="str">
            <v>TCVN 5308 : 1991 Quy phạm kỹ thuật an toàn trong xây dựng</v>
          </cell>
        </row>
        <row r="45">
          <cell r="A45">
            <v>13</v>
          </cell>
          <cell r="B45" t="str">
            <v>XS.5211a</v>
          </cell>
          <cell r="D45" t="str">
            <v>13</v>
          </cell>
          <cell r="E45" t="str">
            <v>Lắp đặt bu long M16x400</v>
          </cell>
          <cell r="F45" t="str">
            <v>Suốt tuyến</v>
          </cell>
          <cell r="H45" t="str">
            <v>TCVN 5637 : 1991 Quản lý chất lượng xây lắp công trình xây dựng. Nguyên tắc cơ bản</v>
          </cell>
          <cell r="M45" t="str">
            <v>8h00-9h00</v>
          </cell>
          <cell r="P45" t="str">
            <v>15h00-15h30</v>
          </cell>
          <cell r="R45">
            <v>42519</v>
          </cell>
          <cell r="S45">
            <v>42535</v>
          </cell>
          <cell r="U45" t="str">
            <v>T</v>
          </cell>
        </row>
        <row r="46">
          <cell r="D46" t="str">
            <v/>
          </cell>
          <cell r="H46" t="str">
            <v>TCVN 4055 : 2012 Tổ chức thi công</v>
          </cell>
        </row>
        <row r="47">
          <cell r="D47" t="str">
            <v/>
          </cell>
          <cell r="H47" t="str">
            <v>TCVN 5308 : 1991 Quy phạm kỹ thuật an toàn trong xây dựng</v>
          </cell>
        </row>
        <row r="48">
          <cell r="A48">
            <v>14</v>
          </cell>
          <cell r="B48" t="str">
            <v>XS.5211a</v>
          </cell>
          <cell r="D48" t="str">
            <v>14</v>
          </cell>
          <cell r="E48" t="str">
            <v>Lắp đặt bu long M12x150</v>
          </cell>
          <cell r="F48" t="str">
            <v>Suốt tuyến</v>
          </cell>
          <cell r="H48" t="str">
            <v>TCVN 5637 : 1991 Quản lý chất lượng xây lắp công trình xây dựng. Nguyên tắc cơ bản</v>
          </cell>
          <cell r="M48" t="str">
            <v>8h00-9h00</v>
          </cell>
          <cell r="P48" t="str">
            <v>15h00-15h30</v>
          </cell>
          <cell r="R48">
            <v>42519</v>
          </cell>
          <cell r="S48">
            <v>42535</v>
          </cell>
          <cell r="U48" t="str">
            <v>T</v>
          </cell>
        </row>
        <row r="49">
          <cell r="D49" t="str">
            <v/>
          </cell>
          <cell r="H49" t="str">
            <v>TCVN 4055 : 2012 Tổ chức thi công</v>
          </cell>
        </row>
        <row r="50">
          <cell r="D50" t="str">
            <v/>
          </cell>
          <cell r="H50" t="str">
            <v>TCVN 5308 : 1991 Quy phạm kỹ thuật an toàn trong xây dựng</v>
          </cell>
        </row>
        <row r="51">
          <cell r="A51">
            <v>15</v>
          </cell>
          <cell r="B51" t="str">
            <v>TT</v>
          </cell>
          <cell r="D51" t="str">
            <v>15</v>
          </cell>
          <cell r="E51" t="str">
            <v>Mạ kẽm</v>
          </cell>
          <cell r="F51" t="str">
            <v>Suốt tuyến</v>
          </cell>
          <cell r="H51" t="str">
            <v>TCVN 5408 : 2007 Lớp phủ kẽm nhúng nóng trên bề mặt sản phẩm gang và thép - Yêu cầu kỹ thuật và phương pháp thử</v>
          </cell>
          <cell r="I51" t="str">
            <v xml:space="preserve"> </v>
          </cell>
          <cell r="P51" t="str">
            <v>15h00-15h30</v>
          </cell>
          <cell r="R51">
            <v>42518</v>
          </cell>
          <cell r="S51">
            <v>42523</v>
          </cell>
          <cell r="U51" t="str">
            <v>T</v>
          </cell>
        </row>
        <row r="52">
          <cell r="D52" t="str">
            <v/>
          </cell>
          <cell r="H52" t="str">
            <v>TCVN 5026 : 2010 Lớp phủ kim loại và phủ vô cơ khác - Lớp kẽm mạ điện có xử lý bổ sung trên nền gang hoặc thép</v>
          </cell>
          <cell r="M52" t="str">
            <v>8h00-9h00</v>
          </cell>
        </row>
        <row r="53">
          <cell r="D53" t="str">
            <v/>
          </cell>
          <cell r="H53" t="str">
            <v>Tham khảo các tiêu chuẩn ASTM về mạ kẽn nhúng nóng</v>
          </cell>
        </row>
        <row r="54">
          <cell r="D54" t="str">
            <v/>
          </cell>
        </row>
        <row r="55">
          <cell r="D55" t="str">
            <v/>
          </cell>
        </row>
      </sheetData>
      <sheetData sheetId="13" refreshError="1"/>
      <sheetData sheetId="14" refreshError="1"/>
      <sheetData sheetId="15" refreshError="1"/>
      <sheetData sheetId="16" refreshError="1"/>
      <sheetData sheetId="17" refreshError="1"/>
      <sheetData sheetId="18" refreshError="1"/>
      <sheetData sheetId="19">
        <row r="7">
          <cell r="A7" t="str">
            <v>[1]</v>
          </cell>
          <cell r="B7" t="str">
            <v>[2]</v>
          </cell>
          <cell r="D7" t="str">
            <v>[2]</v>
          </cell>
          <cell r="E7" t="str">
            <v>[3]</v>
          </cell>
          <cell r="F7" t="str">
            <v>[3]</v>
          </cell>
          <cell r="G7" t="str">
            <v>[4]</v>
          </cell>
          <cell r="H7" t="str">
            <v>[5]</v>
          </cell>
          <cell r="I7" t="str">
            <v>[6]</v>
          </cell>
          <cell r="J7" t="str">
            <v>[7]</v>
          </cell>
          <cell r="K7" t="str">
            <v>[8]</v>
          </cell>
          <cell r="L7" t="str">
            <v>[9]</v>
          </cell>
          <cell r="M7" t="str">
            <v>[10]</v>
          </cell>
        </row>
        <row r="8">
          <cell r="A8">
            <v>1</v>
          </cell>
          <cell r="D8" t="str">
            <v>01GD</v>
          </cell>
          <cell r="E8" t="str">
            <v>DẢI PHÂN CÁCH</v>
          </cell>
          <cell r="M8">
            <v>1</v>
          </cell>
        </row>
        <row r="9">
          <cell r="A9">
            <v>2</v>
          </cell>
          <cell r="D9" t="str">
            <v>02GD</v>
          </cell>
          <cell r="E9" t="str">
            <v>PHẦN THÂN</v>
          </cell>
          <cell r="M9">
            <v>1</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G5">
            <v>42502</v>
          </cell>
        </row>
      </sheetData>
      <sheetData sheetId="34" refreshError="1"/>
      <sheetData sheetId="35"/>
      <sheetData sheetId="36" refreshError="1"/>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pageSetUpPr fitToPage="1"/>
  </sheetPr>
  <dimension ref="A1:S57"/>
  <sheetViews>
    <sheetView topLeftCell="A42" zoomScaleNormal="100" zoomScaleSheetLayoutView="80" workbookViewId="0">
      <selection activeCell="P11" sqref="P11"/>
    </sheetView>
  </sheetViews>
  <sheetFormatPr defaultRowHeight="16.5"/>
  <cols>
    <col min="1" max="1" width="1.375" style="1" customWidth="1"/>
    <col min="2" max="2" width="16.125" style="1" customWidth="1"/>
    <col min="3" max="3" width="5.75" style="1" customWidth="1"/>
    <col min="4" max="4" width="8.375" style="1" customWidth="1"/>
    <col min="5" max="5" width="8.75" style="1" customWidth="1"/>
    <col min="6" max="6" width="6.25" style="1" customWidth="1"/>
    <col min="7" max="7" width="2.75" style="1" customWidth="1"/>
    <col min="8" max="8" width="8.75" style="1" customWidth="1"/>
    <col min="9" max="9" width="9.125" style="1" customWidth="1"/>
    <col min="10" max="10" width="4.75" style="1" customWidth="1"/>
    <col min="11" max="11" width="11.125" style="1" customWidth="1"/>
    <col min="12" max="12" width="18.25" style="1" customWidth="1"/>
    <col min="13" max="13" width="1.25" style="1" customWidth="1"/>
    <col min="14" max="14" width="9.125" style="1"/>
    <col min="15" max="15" width="10.625" style="1" bestFit="1" customWidth="1"/>
    <col min="16" max="256" width="9.125" style="1"/>
    <col min="257" max="257" width="1.375" style="1" customWidth="1"/>
    <col min="258" max="258" width="16.125" style="1" customWidth="1"/>
    <col min="259" max="259" width="5.75" style="1" customWidth="1"/>
    <col min="260" max="260" width="8.375" style="1" customWidth="1"/>
    <col min="261" max="261" width="8.75" style="1" customWidth="1"/>
    <col min="262" max="262" width="6.25" style="1" customWidth="1"/>
    <col min="263" max="263" width="2.75" style="1" customWidth="1"/>
    <col min="264" max="264" width="8.75" style="1" customWidth="1"/>
    <col min="265" max="265" width="9.125" style="1"/>
    <col min="266" max="266" width="4.75" style="1" customWidth="1"/>
    <col min="267" max="267" width="11.125" style="1" customWidth="1"/>
    <col min="268" max="268" width="18.25" style="1" customWidth="1"/>
    <col min="269" max="269" width="1.25" style="1" customWidth="1"/>
    <col min="270" max="270" width="9.125" style="1"/>
    <col min="271" max="271" width="10.625" style="1" bestFit="1" customWidth="1"/>
    <col min="272" max="512" width="9.125" style="1"/>
    <col min="513" max="513" width="1.375" style="1" customWidth="1"/>
    <col min="514" max="514" width="16.125" style="1" customWidth="1"/>
    <col min="515" max="515" width="5.75" style="1" customWidth="1"/>
    <col min="516" max="516" width="8.375" style="1" customWidth="1"/>
    <col min="517" max="517" width="8.75" style="1" customWidth="1"/>
    <col min="518" max="518" width="6.25" style="1" customWidth="1"/>
    <col min="519" max="519" width="2.75" style="1" customWidth="1"/>
    <col min="520" max="520" width="8.75" style="1" customWidth="1"/>
    <col min="521" max="521" width="9.125" style="1"/>
    <col min="522" max="522" width="4.75" style="1" customWidth="1"/>
    <col min="523" max="523" width="11.125" style="1" customWidth="1"/>
    <col min="524" max="524" width="18.25" style="1" customWidth="1"/>
    <col min="525" max="525" width="1.25" style="1" customWidth="1"/>
    <col min="526" max="526" width="9.125" style="1"/>
    <col min="527" max="527" width="10.625" style="1" bestFit="1" customWidth="1"/>
    <col min="528" max="768" width="9.125" style="1"/>
    <col min="769" max="769" width="1.375" style="1" customWidth="1"/>
    <col min="770" max="770" width="16.125" style="1" customWidth="1"/>
    <col min="771" max="771" width="5.75" style="1" customWidth="1"/>
    <col min="772" max="772" width="8.375" style="1" customWidth="1"/>
    <col min="773" max="773" width="8.75" style="1" customWidth="1"/>
    <col min="774" max="774" width="6.25" style="1" customWidth="1"/>
    <col min="775" max="775" width="2.75" style="1" customWidth="1"/>
    <col min="776" max="776" width="8.75" style="1" customWidth="1"/>
    <col min="777" max="777" width="9.125" style="1"/>
    <col min="778" max="778" width="4.75" style="1" customWidth="1"/>
    <col min="779" max="779" width="11.125" style="1" customWidth="1"/>
    <col min="780" max="780" width="18.25" style="1" customWidth="1"/>
    <col min="781" max="781" width="1.25" style="1" customWidth="1"/>
    <col min="782" max="782" width="9.125" style="1"/>
    <col min="783" max="783" width="10.625" style="1" bestFit="1" customWidth="1"/>
    <col min="784" max="1024" width="9.125" style="1"/>
    <col min="1025" max="1025" width="1.375" style="1" customWidth="1"/>
    <col min="1026" max="1026" width="16.125" style="1" customWidth="1"/>
    <col min="1027" max="1027" width="5.75" style="1" customWidth="1"/>
    <col min="1028" max="1028" width="8.375" style="1" customWidth="1"/>
    <col min="1029" max="1029" width="8.75" style="1" customWidth="1"/>
    <col min="1030" max="1030" width="6.25" style="1" customWidth="1"/>
    <col min="1031" max="1031" width="2.75" style="1" customWidth="1"/>
    <col min="1032" max="1032" width="8.75" style="1" customWidth="1"/>
    <col min="1033" max="1033" width="9.125" style="1"/>
    <col min="1034" max="1034" width="4.75" style="1" customWidth="1"/>
    <col min="1035" max="1035" width="11.125" style="1" customWidth="1"/>
    <col min="1036" max="1036" width="18.25" style="1" customWidth="1"/>
    <col min="1037" max="1037" width="1.25" style="1" customWidth="1"/>
    <col min="1038" max="1038" width="9.125" style="1"/>
    <col min="1039" max="1039" width="10.625" style="1" bestFit="1" customWidth="1"/>
    <col min="1040" max="1280" width="9.125" style="1"/>
    <col min="1281" max="1281" width="1.375" style="1" customWidth="1"/>
    <col min="1282" max="1282" width="16.125" style="1" customWidth="1"/>
    <col min="1283" max="1283" width="5.75" style="1" customWidth="1"/>
    <col min="1284" max="1284" width="8.375" style="1" customWidth="1"/>
    <col min="1285" max="1285" width="8.75" style="1" customWidth="1"/>
    <col min="1286" max="1286" width="6.25" style="1" customWidth="1"/>
    <col min="1287" max="1287" width="2.75" style="1" customWidth="1"/>
    <col min="1288" max="1288" width="8.75" style="1" customWidth="1"/>
    <col min="1289" max="1289" width="9.125" style="1"/>
    <col min="1290" max="1290" width="4.75" style="1" customWidth="1"/>
    <col min="1291" max="1291" width="11.125" style="1" customWidth="1"/>
    <col min="1292" max="1292" width="18.25" style="1" customWidth="1"/>
    <col min="1293" max="1293" width="1.25" style="1" customWidth="1"/>
    <col min="1294" max="1294" width="9.125" style="1"/>
    <col min="1295" max="1295" width="10.625" style="1" bestFit="1" customWidth="1"/>
    <col min="1296" max="1536" width="9.125" style="1"/>
    <col min="1537" max="1537" width="1.375" style="1" customWidth="1"/>
    <col min="1538" max="1538" width="16.125" style="1" customWidth="1"/>
    <col min="1539" max="1539" width="5.75" style="1" customWidth="1"/>
    <col min="1540" max="1540" width="8.375" style="1" customWidth="1"/>
    <col min="1541" max="1541" width="8.75" style="1" customWidth="1"/>
    <col min="1542" max="1542" width="6.25" style="1" customWidth="1"/>
    <col min="1543" max="1543" width="2.75" style="1" customWidth="1"/>
    <col min="1544" max="1544" width="8.75" style="1" customWidth="1"/>
    <col min="1545" max="1545" width="9.125" style="1"/>
    <col min="1546" max="1546" width="4.75" style="1" customWidth="1"/>
    <col min="1547" max="1547" width="11.125" style="1" customWidth="1"/>
    <col min="1548" max="1548" width="18.25" style="1" customWidth="1"/>
    <col min="1549" max="1549" width="1.25" style="1" customWidth="1"/>
    <col min="1550" max="1550" width="9.125" style="1"/>
    <col min="1551" max="1551" width="10.625" style="1" bestFit="1" customWidth="1"/>
    <col min="1552" max="1792" width="9.125" style="1"/>
    <col min="1793" max="1793" width="1.375" style="1" customWidth="1"/>
    <col min="1794" max="1794" width="16.125" style="1" customWidth="1"/>
    <col min="1795" max="1795" width="5.75" style="1" customWidth="1"/>
    <col min="1796" max="1796" width="8.375" style="1" customWidth="1"/>
    <col min="1797" max="1797" width="8.75" style="1" customWidth="1"/>
    <col min="1798" max="1798" width="6.25" style="1" customWidth="1"/>
    <col min="1799" max="1799" width="2.75" style="1" customWidth="1"/>
    <col min="1800" max="1800" width="8.75" style="1" customWidth="1"/>
    <col min="1801" max="1801" width="9.125" style="1"/>
    <col min="1802" max="1802" width="4.75" style="1" customWidth="1"/>
    <col min="1803" max="1803" width="11.125" style="1" customWidth="1"/>
    <col min="1804" max="1804" width="18.25" style="1" customWidth="1"/>
    <col min="1805" max="1805" width="1.25" style="1" customWidth="1"/>
    <col min="1806" max="1806" width="9.125" style="1"/>
    <col min="1807" max="1807" width="10.625" style="1" bestFit="1" customWidth="1"/>
    <col min="1808" max="2048" width="9.125" style="1"/>
    <col min="2049" max="2049" width="1.375" style="1" customWidth="1"/>
    <col min="2050" max="2050" width="16.125" style="1" customWidth="1"/>
    <col min="2051" max="2051" width="5.75" style="1" customWidth="1"/>
    <col min="2052" max="2052" width="8.375" style="1" customWidth="1"/>
    <col min="2053" max="2053" width="8.75" style="1" customWidth="1"/>
    <col min="2054" max="2054" width="6.25" style="1" customWidth="1"/>
    <col min="2055" max="2055" width="2.75" style="1" customWidth="1"/>
    <col min="2056" max="2056" width="8.75" style="1" customWidth="1"/>
    <col min="2057" max="2057" width="9.125" style="1"/>
    <col min="2058" max="2058" width="4.75" style="1" customWidth="1"/>
    <col min="2059" max="2059" width="11.125" style="1" customWidth="1"/>
    <col min="2060" max="2060" width="18.25" style="1" customWidth="1"/>
    <col min="2061" max="2061" width="1.25" style="1" customWidth="1"/>
    <col min="2062" max="2062" width="9.125" style="1"/>
    <col min="2063" max="2063" width="10.625" style="1" bestFit="1" customWidth="1"/>
    <col min="2064" max="2304" width="9.125" style="1"/>
    <col min="2305" max="2305" width="1.375" style="1" customWidth="1"/>
    <col min="2306" max="2306" width="16.125" style="1" customWidth="1"/>
    <col min="2307" max="2307" width="5.75" style="1" customWidth="1"/>
    <col min="2308" max="2308" width="8.375" style="1" customWidth="1"/>
    <col min="2309" max="2309" width="8.75" style="1" customWidth="1"/>
    <col min="2310" max="2310" width="6.25" style="1" customWidth="1"/>
    <col min="2311" max="2311" width="2.75" style="1" customWidth="1"/>
    <col min="2312" max="2312" width="8.75" style="1" customWidth="1"/>
    <col min="2313" max="2313" width="9.125" style="1"/>
    <col min="2314" max="2314" width="4.75" style="1" customWidth="1"/>
    <col min="2315" max="2315" width="11.125" style="1" customWidth="1"/>
    <col min="2316" max="2316" width="18.25" style="1" customWidth="1"/>
    <col min="2317" max="2317" width="1.25" style="1" customWidth="1"/>
    <col min="2318" max="2318" width="9.125" style="1"/>
    <col min="2319" max="2319" width="10.625" style="1" bestFit="1" customWidth="1"/>
    <col min="2320" max="2560" width="9.125" style="1"/>
    <col min="2561" max="2561" width="1.375" style="1" customWidth="1"/>
    <col min="2562" max="2562" width="16.125" style="1" customWidth="1"/>
    <col min="2563" max="2563" width="5.75" style="1" customWidth="1"/>
    <col min="2564" max="2564" width="8.375" style="1" customWidth="1"/>
    <col min="2565" max="2565" width="8.75" style="1" customWidth="1"/>
    <col min="2566" max="2566" width="6.25" style="1" customWidth="1"/>
    <col min="2567" max="2567" width="2.75" style="1" customWidth="1"/>
    <col min="2568" max="2568" width="8.75" style="1" customWidth="1"/>
    <col min="2569" max="2569" width="9.125" style="1"/>
    <col min="2570" max="2570" width="4.75" style="1" customWidth="1"/>
    <col min="2571" max="2571" width="11.125" style="1" customWidth="1"/>
    <col min="2572" max="2572" width="18.25" style="1" customWidth="1"/>
    <col min="2573" max="2573" width="1.25" style="1" customWidth="1"/>
    <col min="2574" max="2574" width="9.125" style="1"/>
    <col min="2575" max="2575" width="10.625" style="1" bestFit="1" customWidth="1"/>
    <col min="2576" max="2816" width="9.125" style="1"/>
    <col min="2817" max="2817" width="1.375" style="1" customWidth="1"/>
    <col min="2818" max="2818" width="16.125" style="1" customWidth="1"/>
    <col min="2819" max="2819" width="5.75" style="1" customWidth="1"/>
    <col min="2820" max="2820" width="8.375" style="1" customWidth="1"/>
    <col min="2821" max="2821" width="8.75" style="1" customWidth="1"/>
    <col min="2822" max="2822" width="6.25" style="1" customWidth="1"/>
    <col min="2823" max="2823" width="2.75" style="1" customWidth="1"/>
    <col min="2824" max="2824" width="8.75" style="1" customWidth="1"/>
    <col min="2825" max="2825" width="9.125" style="1"/>
    <col min="2826" max="2826" width="4.75" style="1" customWidth="1"/>
    <col min="2827" max="2827" width="11.125" style="1" customWidth="1"/>
    <col min="2828" max="2828" width="18.25" style="1" customWidth="1"/>
    <col min="2829" max="2829" width="1.25" style="1" customWidth="1"/>
    <col min="2830" max="2830" width="9.125" style="1"/>
    <col min="2831" max="2831" width="10.625" style="1" bestFit="1" customWidth="1"/>
    <col min="2832" max="3072" width="9.125" style="1"/>
    <col min="3073" max="3073" width="1.375" style="1" customWidth="1"/>
    <col min="3074" max="3074" width="16.125" style="1" customWidth="1"/>
    <col min="3075" max="3075" width="5.75" style="1" customWidth="1"/>
    <col min="3076" max="3076" width="8.375" style="1" customWidth="1"/>
    <col min="3077" max="3077" width="8.75" style="1" customWidth="1"/>
    <col min="3078" max="3078" width="6.25" style="1" customWidth="1"/>
    <col min="3079" max="3079" width="2.75" style="1" customWidth="1"/>
    <col min="3080" max="3080" width="8.75" style="1" customWidth="1"/>
    <col min="3081" max="3081" width="9.125" style="1"/>
    <col min="3082" max="3082" width="4.75" style="1" customWidth="1"/>
    <col min="3083" max="3083" width="11.125" style="1" customWidth="1"/>
    <col min="3084" max="3084" width="18.25" style="1" customWidth="1"/>
    <col min="3085" max="3085" width="1.25" style="1" customWidth="1"/>
    <col min="3086" max="3086" width="9.125" style="1"/>
    <col min="3087" max="3087" width="10.625" style="1" bestFit="1" customWidth="1"/>
    <col min="3088" max="3328" width="9.125" style="1"/>
    <col min="3329" max="3329" width="1.375" style="1" customWidth="1"/>
    <col min="3330" max="3330" width="16.125" style="1" customWidth="1"/>
    <col min="3331" max="3331" width="5.75" style="1" customWidth="1"/>
    <col min="3332" max="3332" width="8.375" style="1" customWidth="1"/>
    <col min="3333" max="3333" width="8.75" style="1" customWidth="1"/>
    <col min="3334" max="3334" width="6.25" style="1" customWidth="1"/>
    <col min="3335" max="3335" width="2.75" style="1" customWidth="1"/>
    <col min="3336" max="3336" width="8.75" style="1" customWidth="1"/>
    <col min="3337" max="3337" width="9.125" style="1"/>
    <col min="3338" max="3338" width="4.75" style="1" customWidth="1"/>
    <col min="3339" max="3339" width="11.125" style="1" customWidth="1"/>
    <col min="3340" max="3340" width="18.25" style="1" customWidth="1"/>
    <col min="3341" max="3341" width="1.25" style="1" customWidth="1"/>
    <col min="3342" max="3342" width="9.125" style="1"/>
    <col min="3343" max="3343" width="10.625" style="1" bestFit="1" customWidth="1"/>
    <col min="3344" max="3584" width="9.125" style="1"/>
    <col min="3585" max="3585" width="1.375" style="1" customWidth="1"/>
    <col min="3586" max="3586" width="16.125" style="1" customWidth="1"/>
    <col min="3587" max="3587" width="5.75" style="1" customWidth="1"/>
    <col min="3588" max="3588" width="8.375" style="1" customWidth="1"/>
    <col min="3589" max="3589" width="8.75" style="1" customWidth="1"/>
    <col min="3590" max="3590" width="6.25" style="1" customWidth="1"/>
    <col min="3591" max="3591" width="2.75" style="1" customWidth="1"/>
    <col min="3592" max="3592" width="8.75" style="1" customWidth="1"/>
    <col min="3593" max="3593" width="9.125" style="1"/>
    <col min="3594" max="3594" width="4.75" style="1" customWidth="1"/>
    <col min="3595" max="3595" width="11.125" style="1" customWidth="1"/>
    <col min="3596" max="3596" width="18.25" style="1" customWidth="1"/>
    <col min="3597" max="3597" width="1.25" style="1" customWidth="1"/>
    <col min="3598" max="3598" width="9.125" style="1"/>
    <col min="3599" max="3599" width="10.625" style="1" bestFit="1" customWidth="1"/>
    <col min="3600" max="3840" width="9.125" style="1"/>
    <col min="3841" max="3841" width="1.375" style="1" customWidth="1"/>
    <col min="3842" max="3842" width="16.125" style="1" customWidth="1"/>
    <col min="3843" max="3843" width="5.75" style="1" customWidth="1"/>
    <col min="3844" max="3844" width="8.375" style="1" customWidth="1"/>
    <col min="3845" max="3845" width="8.75" style="1" customWidth="1"/>
    <col min="3846" max="3846" width="6.25" style="1" customWidth="1"/>
    <col min="3847" max="3847" width="2.75" style="1" customWidth="1"/>
    <col min="3848" max="3848" width="8.75" style="1" customWidth="1"/>
    <col min="3849" max="3849" width="9.125" style="1"/>
    <col min="3850" max="3850" width="4.75" style="1" customWidth="1"/>
    <col min="3851" max="3851" width="11.125" style="1" customWidth="1"/>
    <col min="3852" max="3852" width="18.25" style="1" customWidth="1"/>
    <col min="3853" max="3853" width="1.25" style="1" customWidth="1"/>
    <col min="3854" max="3854" width="9.125" style="1"/>
    <col min="3855" max="3855" width="10.625" style="1" bestFit="1" customWidth="1"/>
    <col min="3856" max="4096" width="9.125" style="1"/>
    <col min="4097" max="4097" width="1.375" style="1" customWidth="1"/>
    <col min="4098" max="4098" width="16.125" style="1" customWidth="1"/>
    <col min="4099" max="4099" width="5.75" style="1" customWidth="1"/>
    <col min="4100" max="4100" width="8.375" style="1" customWidth="1"/>
    <col min="4101" max="4101" width="8.75" style="1" customWidth="1"/>
    <col min="4102" max="4102" width="6.25" style="1" customWidth="1"/>
    <col min="4103" max="4103" width="2.75" style="1" customWidth="1"/>
    <col min="4104" max="4104" width="8.75" style="1" customWidth="1"/>
    <col min="4105" max="4105" width="9.125" style="1"/>
    <col min="4106" max="4106" width="4.75" style="1" customWidth="1"/>
    <col min="4107" max="4107" width="11.125" style="1" customWidth="1"/>
    <col min="4108" max="4108" width="18.25" style="1" customWidth="1"/>
    <col min="4109" max="4109" width="1.25" style="1" customWidth="1"/>
    <col min="4110" max="4110" width="9.125" style="1"/>
    <col min="4111" max="4111" width="10.625" style="1" bestFit="1" customWidth="1"/>
    <col min="4112" max="4352" width="9.125" style="1"/>
    <col min="4353" max="4353" width="1.375" style="1" customWidth="1"/>
    <col min="4354" max="4354" width="16.125" style="1" customWidth="1"/>
    <col min="4355" max="4355" width="5.75" style="1" customWidth="1"/>
    <col min="4356" max="4356" width="8.375" style="1" customWidth="1"/>
    <col min="4357" max="4357" width="8.75" style="1" customWidth="1"/>
    <col min="4358" max="4358" width="6.25" style="1" customWidth="1"/>
    <col min="4359" max="4359" width="2.75" style="1" customWidth="1"/>
    <col min="4360" max="4360" width="8.75" style="1" customWidth="1"/>
    <col min="4361" max="4361" width="9.125" style="1"/>
    <col min="4362" max="4362" width="4.75" style="1" customWidth="1"/>
    <col min="4363" max="4363" width="11.125" style="1" customWidth="1"/>
    <col min="4364" max="4364" width="18.25" style="1" customWidth="1"/>
    <col min="4365" max="4365" width="1.25" style="1" customWidth="1"/>
    <col min="4366" max="4366" width="9.125" style="1"/>
    <col min="4367" max="4367" width="10.625" style="1" bestFit="1" customWidth="1"/>
    <col min="4368" max="4608" width="9.125" style="1"/>
    <col min="4609" max="4609" width="1.375" style="1" customWidth="1"/>
    <col min="4610" max="4610" width="16.125" style="1" customWidth="1"/>
    <col min="4611" max="4611" width="5.75" style="1" customWidth="1"/>
    <col min="4612" max="4612" width="8.375" style="1" customWidth="1"/>
    <col min="4613" max="4613" width="8.75" style="1" customWidth="1"/>
    <col min="4614" max="4614" width="6.25" style="1" customWidth="1"/>
    <col min="4615" max="4615" width="2.75" style="1" customWidth="1"/>
    <col min="4616" max="4616" width="8.75" style="1" customWidth="1"/>
    <col min="4617" max="4617" width="9.125" style="1"/>
    <col min="4618" max="4618" width="4.75" style="1" customWidth="1"/>
    <col min="4619" max="4619" width="11.125" style="1" customWidth="1"/>
    <col min="4620" max="4620" width="18.25" style="1" customWidth="1"/>
    <col min="4621" max="4621" width="1.25" style="1" customWidth="1"/>
    <col min="4622" max="4622" width="9.125" style="1"/>
    <col min="4623" max="4623" width="10.625" style="1" bestFit="1" customWidth="1"/>
    <col min="4624" max="4864" width="9.125" style="1"/>
    <col min="4865" max="4865" width="1.375" style="1" customWidth="1"/>
    <col min="4866" max="4866" width="16.125" style="1" customWidth="1"/>
    <col min="4867" max="4867" width="5.75" style="1" customWidth="1"/>
    <col min="4868" max="4868" width="8.375" style="1" customWidth="1"/>
    <col min="4869" max="4869" width="8.75" style="1" customWidth="1"/>
    <col min="4870" max="4870" width="6.25" style="1" customWidth="1"/>
    <col min="4871" max="4871" width="2.75" style="1" customWidth="1"/>
    <col min="4872" max="4872" width="8.75" style="1" customWidth="1"/>
    <col min="4873" max="4873" width="9.125" style="1"/>
    <col min="4874" max="4874" width="4.75" style="1" customWidth="1"/>
    <col min="4875" max="4875" width="11.125" style="1" customWidth="1"/>
    <col min="4876" max="4876" width="18.25" style="1" customWidth="1"/>
    <col min="4877" max="4877" width="1.25" style="1" customWidth="1"/>
    <col min="4878" max="4878" width="9.125" style="1"/>
    <col min="4879" max="4879" width="10.625" style="1" bestFit="1" customWidth="1"/>
    <col min="4880" max="5120" width="9.125" style="1"/>
    <col min="5121" max="5121" width="1.375" style="1" customWidth="1"/>
    <col min="5122" max="5122" width="16.125" style="1" customWidth="1"/>
    <col min="5123" max="5123" width="5.75" style="1" customWidth="1"/>
    <col min="5124" max="5124" width="8.375" style="1" customWidth="1"/>
    <col min="5125" max="5125" width="8.75" style="1" customWidth="1"/>
    <col min="5126" max="5126" width="6.25" style="1" customWidth="1"/>
    <col min="5127" max="5127" width="2.75" style="1" customWidth="1"/>
    <col min="5128" max="5128" width="8.75" style="1" customWidth="1"/>
    <col min="5129" max="5129" width="9.125" style="1"/>
    <col min="5130" max="5130" width="4.75" style="1" customWidth="1"/>
    <col min="5131" max="5131" width="11.125" style="1" customWidth="1"/>
    <col min="5132" max="5132" width="18.25" style="1" customWidth="1"/>
    <col min="5133" max="5133" width="1.25" style="1" customWidth="1"/>
    <col min="5134" max="5134" width="9.125" style="1"/>
    <col min="5135" max="5135" width="10.625" style="1" bestFit="1" customWidth="1"/>
    <col min="5136" max="5376" width="9.125" style="1"/>
    <col min="5377" max="5377" width="1.375" style="1" customWidth="1"/>
    <col min="5378" max="5378" width="16.125" style="1" customWidth="1"/>
    <col min="5379" max="5379" width="5.75" style="1" customWidth="1"/>
    <col min="5380" max="5380" width="8.375" style="1" customWidth="1"/>
    <col min="5381" max="5381" width="8.75" style="1" customWidth="1"/>
    <col min="5382" max="5382" width="6.25" style="1" customWidth="1"/>
    <col min="5383" max="5383" width="2.75" style="1" customWidth="1"/>
    <col min="5384" max="5384" width="8.75" style="1" customWidth="1"/>
    <col min="5385" max="5385" width="9.125" style="1"/>
    <col min="5386" max="5386" width="4.75" style="1" customWidth="1"/>
    <col min="5387" max="5387" width="11.125" style="1" customWidth="1"/>
    <col min="5388" max="5388" width="18.25" style="1" customWidth="1"/>
    <col min="5389" max="5389" width="1.25" style="1" customWidth="1"/>
    <col min="5390" max="5390" width="9.125" style="1"/>
    <col min="5391" max="5391" width="10.625" style="1" bestFit="1" customWidth="1"/>
    <col min="5392" max="5632" width="9.125" style="1"/>
    <col min="5633" max="5633" width="1.375" style="1" customWidth="1"/>
    <col min="5634" max="5634" width="16.125" style="1" customWidth="1"/>
    <col min="5635" max="5635" width="5.75" style="1" customWidth="1"/>
    <col min="5636" max="5636" width="8.375" style="1" customWidth="1"/>
    <col min="5637" max="5637" width="8.75" style="1" customWidth="1"/>
    <col min="5638" max="5638" width="6.25" style="1" customWidth="1"/>
    <col min="5639" max="5639" width="2.75" style="1" customWidth="1"/>
    <col min="5640" max="5640" width="8.75" style="1" customWidth="1"/>
    <col min="5641" max="5641" width="9.125" style="1"/>
    <col min="5642" max="5642" width="4.75" style="1" customWidth="1"/>
    <col min="5643" max="5643" width="11.125" style="1" customWidth="1"/>
    <col min="5644" max="5644" width="18.25" style="1" customWidth="1"/>
    <col min="5645" max="5645" width="1.25" style="1" customWidth="1"/>
    <col min="5646" max="5646" width="9.125" style="1"/>
    <col min="5647" max="5647" width="10.625" style="1" bestFit="1" customWidth="1"/>
    <col min="5648" max="5888" width="9.125" style="1"/>
    <col min="5889" max="5889" width="1.375" style="1" customWidth="1"/>
    <col min="5890" max="5890" width="16.125" style="1" customWidth="1"/>
    <col min="5891" max="5891" width="5.75" style="1" customWidth="1"/>
    <col min="5892" max="5892" width="8.375" style="1" customWidth="1"/>
    <col min="5893" max="5893" width="8.75" style="1" customWidth="1"/>
    <col min="5894" max="5894" width="6.25" style="1" customWidth="1"/>
    <col min="5895" max="5895" width="2.75" style="1" customWidth="1"/>
    <col min="5896" max="5896" width="8.75" style="1" customWidth="1"/>
    <col min="5897" max="5897" width="9.125" style="1"/>
    <col min="5898" max="5898" width="4.75" style="1" customWidth="1"/>
    <col min="5899" max="5899" width="11.125" style="1" customWidth="1"/>
    <col min="5900" max="5900" width="18.25" style="1" customWidth="1"/>
    <col min="5901" max="5901" width="1.25" style="1" customWidth="1"/>
    <col min="5902" max="5902" width="9.125" style="1"/>
    <col min="5903" max="5903" width="10.625" style="1" bestFit="1" customWidth="1"/>
    <col min="5904" max="6144" width="9.125" style="1"/>
    <col min="6145" max="6145" width="1.375" style="1" customWidth="1"/>
    <col min="6146" max="6146" width="16.125" style="1" customWidth="1"/>
    <col min="6147" max="6147" width="5.75" style="1" customWidth="1"/>
    <col min="6148" max="6148" width="8.375" style="1" customWidth="1"/>
    <col min="6149" max="6149" width="8.75" style="1" customWidth="1"/>
    <col min="6150" max="6150" width="6.25" style="1" customWidth="1"/>
    <col min="6151" max="6151" width="2.75" style="1" customWidth="1"/>
    <col min="6152" max="6152" width="8.75" style="1" customWidth="1"/>
    <col min="6153" max="6153" width="9.125" style="1"/>
    <col min="6154" max="6154" width="4.75" style="1" customWidth="1"/>
    <col min="6155" max="6155" width="11.125" style="1" customWidth="1"/>
    <col min="6156" max="6156" width="18.25" style="1" customWidth="1"/>
    <col min="6157" max="6157" width="1.25" style="1" customWidth="1"/>
    <col min="6158" max="6158" width="9.125" style="1"/>
    <col min="6159" max="6159" width="10.625" style="1" bestFit="1" customWidth="1"/>
    <col min="6160" max="6400" width="9.125" style="1"/>
    <col min="6401" max="6401" width="1.375" style="1" customWidth="1"/>
    <col min="6402" max="6402" width="16.125" style="1" customWidth="1"/>
    <col min="6403" max="6403" width="5.75" style="1" customWidth="1"/>
    <col min="6404" max="6404" width="8.375" style="1" customWidth="1"/>
    <col min="6405" max="6405" width="8.75" style="1" customWidth="1"/>
    <col min="6406" max="6406" width="6.25" style="1" customWidth="1"/>
    <col min="6407" max="6407" width="2.75" style="1" customWidth="1"/>
    <col min="6408" max="6408" width="8.75" style="1" customWidth="1"/>
    <col min="6409" max="6409" width="9.125" style="1"/>
    <col min="6410" max="6410" width="4.75" style="1" customWidth="1"/>
    <col min="6411" max="6411" width="11.125" style="1" customWidth="1"/>
    <col min="6412" max="6412" width="18.25" style="1" customWidth="1"/>
    <col min="6413" max="6413" width="1.25" style="1" customWidth="1"/>
    <col min="6414" max="6414" width="9.125" style="1"/>
    <col min="6415" max="6415" width="10.625" style="1" bestFit="1" customWidth="1"/>
    <col min="6416" max="6656" width="9.125" style="1"/>
    <col min="6657" max="6657" width="1.375" style="1" customWidth="1"/>
    <col min="6658" max="6658" width="16.125" style="1" customWidth="1"/>
    <col min="6659" max="6659" width="5.75" style="1" customWidth="1"/>
    <col min="6660" max="6660" width="8.375" style="1" customWidth="1"/>
    <col min="6661" max="6661" width="8.75" style="1" customWidth="1"/>
    <col min="6662" max="6662" width="6.25" style="1" customWidth="1"/>
    <col min="6663" max="6663" width="2.75" style="1" customWidth="1"/>
    <col min="6664" max="6664" width="8.75" style="1" customWidth="1"/>
    <col min="6665" max="6665" width="9.125" style="1"/>
    <col min="6666" max="6666" width="4.75" style="1" customWidth="1"/>
    <col min="6667" max="6667" width="11.125" style="1" customWidth="1"/>
    <col min="6668" max="6668" width="18.25" style="1" customWidth="1"/>
    <col min="6669" max="6669" width="1.25" style="1" customWidth="1"/>
    <col min="6670" max="6670" width="9.125" style="1"/>
    <col min="6671" max="6671" width="10.625" style="1" bestFit="1" customWidth="1"/>
    <col min="6672" max="6912" width="9.125" style="1"/>
    <col min="6913" max="6913" width="1.375" style="1" customWidth="1"/>
    <col min="6914" max="6914" width="16.125" style="1" customWidth="1"/>
    <col min="6915" max="6915" width="5.75" style="1" customWidth="1"/>
    <col min="6916" max="6916" width="8.375" style="1" customWidth="1"/>
    <col min="6917" max="6917" width="8.75" style="1" customWidth="1"/>
    <col min="6918" max="6918" width="6.25" style="1" customWidth="1"/>
    <col min="6919" max="6919" width="2.75" style="1" customWidth="1"/>
    <col min="6920" max="6920" width="8.75" style="1" customWidth="1"/>
    <col min="6921" max="6921" width="9.125" style="1"/>
    <col min="6922" max="6922" width="4.75" style="1" customWidth="1"/>
    <col min="6923" max="6923" width="11.125" style="1" customWidth="1"/>
    <col min="6924" max="6924" width="18.25" style="1" customWidth="1"/>
    <col min="6925" max="6925" width="1.25" style="1" customWidth="1"/>
    <col min="6926" max="6926" width="9.125" style="1"/>
    <col min="6927" max="6927" width="10.625" style="1" bestFit="1" customWidth="1"/>
    <col min="6928" max="7168" width="9.125" style="1"/>
    <col min="7169" max="7169" width="1.375" style="1" customWidth="1"/>
    <col min="7170" max="7170" width="16.125" style="1" customWidth="1"/>
    <col min="7171" max="7171" width="5.75" style="1" customWidth="1"/>
    <col min="7172" max="7172" width="8.375" style="1" customWidth="1"/>
    <col min="7173" max="7173" width="8.75" style="1" customWidth="1"/>
    <col min="7174" max="7174" width="6.25" style="1" customWidth="1"/>
    <col min="7175" max="7175" width="2.75" style="1" customWidth="1"/>
    <col min="7176" max="7176" width="8.75" style="1" customWidth="1"/>
    <col min="7177" max="7177" width="9.125" style="1"/>
    <col min="7178" max="7178" width="4.75" style="1" customWidth="1"/>
    <col min="7179" max="7179" width="11.125" style="1" customWidth="1"/>
    <col min="7180" max="7180" width="18.25" style="1" customWidth="1"/>
    <col min="7181" max="7181" width="1.25" style="1" customWidth="1"/>
    <col min="7182" max="7182" width="9.125" style="1"/>
    <col min="7183" max="7183" width="10.625" style="1" bestFit="1" customWidth="1"/>
    <col min="7184" max="7424" width="9.125" style="1"/>
    <col min="7425" max="7425" width="1.375" style="1" customWidth="1"/>
    <col min="7426" max="7426" width="16.125" style="1" customWidth="1"/>
    <col min="7427" max="7427" width="5.75" style="1" customWidth="1"/>
    <col min="7428" max="7428" width="8.375" style="1" customWidth="1"/>
    <col min="7429" max="7429" width="8.75" style="1" customWidth="1"/>
    <col min="7430" max="7430" width="6.25" style="1" customWidth="1"/>
    <col min="7431" max="7431" width="2.75" style="1" customWidth="1"/>
    <col min="7432" max="7432" width="8.75" style="1" customWidth="1"/>
    <col min="7433" max="7433" width="9.125" style="1"/>
    <col min="7434" max="7434" width="4.75" style="1" customWidth="1"/>
    <col min="7435" max="7435" width="11.125" style="1" customWidth="1"/>
    <col min="7436" max="7436" width="18.25" style="1" customWidth="1"/>
    <col min="7437" max="7437" width="1.25" style="1" customWidth="1"/>
    <col min="7438" max="7438" width="9.125" style="1"/>
    <col min="7439" max="7439" width="10.625" style="1" bestFit="1" customWidth="1"/>
    <col min="7440" max="7680" width="9.125" style="1"/>
    <col min="7681" max="7681" width="1.375" style="1" customWidth="1"/>
    <col min="7682" max="7682" width="16.125" style="1" customWidth="1"/>
    <col min="7683" max="7683" width="5.75" style="1" customWidth="1"/>
    <col min="7684" max="7684" width="8.375" style="1" customWidth="1"/>
    <col min="7685" max="7685" width="8.75" style="1" customWidth="1"/>
    <col min="7686" max="7686" width="6.25" style="1" customWidth="1"/>
    <col min="7687" max="7687" width="2.75" style="1" customWidth="1"/>
    <col min="7688" max="7688" width="8.75" style="1" customWidth="1"/>
    <col min="7689" max="7689" width="9.125" style="1"/>
    <col min="7690" max="7690" width="4.75" style="1" customWidth="1"/>
    <col min="7691" max="7691" width="11.125" style="1" customWidth="1"/>
    <col min="7692" max="7692" width="18.25" style="1" customWidth="1"/>
    <col min="7693" max="7693" width="1.25" style="1" customWidth="1"/>
    <col min="7694" max="7694" width="9.125" style="1"/>
    <col min="7695" max="7695" width="10.625" style="1" bestFit="1" customWidth="1"/>
    <col min="7696" max="7936" width="9.125" style="1"/>
    <col min="7937" max="7937" width="1.375" style="1" customWidth="1"/>
    <col min="7938" max="7938" width="16.125" style="1" customWidth="1"/>
    <col min="7939" max="7939" width="5.75" style="1" customWidth="1"/>
    <col min="7940" max="7940" width="8.375" style="1" customWidth="1"/>
    <col min="7941" max="7941" width="8.75" style="1" customWidth="1"/>
    <col min="7942" max="7942" width="6.25" style="1" customWidth="1"/>
    <col min="7943" max="7943" width="2.75" style="1" customWidth="1"/>
    <col min="7944" max="7944" width="8.75" style="1" customWidth="1"/>
    <col min="7945" max="7945" width="9.125" style="1"/>
    <col min="7946" max="7946" width="4.75" style="1" customWidth="1"/>
    <col min="7947" max="7947" width="11.125" style="1" customWidth="1"/>
    <col min="7948" max="7948" width="18.25" style="1" customWidth="1"/>
    <col min="7949" max="7949" width="1.25" style="1" customWidth="1"/>
    <col min="7950" max="7950" width="9.125" style="1"/>
    <col min="7951" max="7951" width="10.625" style="1" bestFit="1" customWidth="1"/>
    <col min="7952" max="8192" width="9.125" style="1"/>
    <col min="8193" max="8193" width="1.375" style="1" customWidth="1"/>
    <col min="8194" max="8194" width="16.125" style="1" customWidth="1"/>
    <col min="8195" max="8195" width="5.75" style="1" customWidth="1"/>
    <col min="8196" max="8196" width="8.375" style="1" customWidth="1"/>
    <col min="8197" max="8197" width="8.75" style="1" customWidth="1"/>
    <col min="8198" max="8198" width="6.25" style="1" customWidth="1"/>
    <col min="8199" max="8199" width="2.75" style="1" customWidth="1"/>
    <col min="8200" max="8200" width="8.75" style="1" customWidth="1"/>
    <col min="8201" max="8201" width="9.125" style="1"/>
    <col min="8202" max="8202" width="4.75" style="1" customWidth="1"/>
    <col min="8203" max="8203" width="11.125" style="1" customWidth="1"/>
    <col min="8204" max="8204" width="18.25" style="1" customWidth="1"/>
    <col min="8205" max="8205" width="1.25" style="1" customWidth="1"/>
    <col min="8206" max="8206" width="9.125" style="1"/>
    <col min="8207" max="8207" width="10.625" style="1" bestFit="1" customWidth="1"/>
    <col min="8208" max="8448" width="9.125" style="1"/>
    <col min="8449" max="8449" width="1.375" style="1" customWidth="1"/>
    <col min="8450" max="8450" width="16.125" style="1" customWidth="1"/>
    <col min="8451" max="8451" width="5.75" style="1" customWidth="1"/>
    <col min="8452" max="8452" width="8.375" style="1" customWidth="1"/>
    <col min="8453" max="8453" width="8.75" style="1" customWidth="1"/>
    <col min="8454" max="8454" width="6.25" style="1" customWidth="1"/>
    <col min="8455" max="8455" width="2.75" style="1" customWidth="1"/>
    <col min="8456" max="8456" width="8.75" style="1" customWidth="1"/>
    <col min="8457" max="8457" width="9.125" style="1"/>
    <col min="8458" max="8458" width="4.75" style="1" customWidth="1"/>
    <col min="8459" max="8459" width="11.125" style="1" customWidth="1"/>
    <col min="8460" max="8460" width="18.25" style="1" customWidth="1"/>
    <col min="8461" max="8461" width="1.25" style="1" customWidth="1"/>
    <col min="8462" max="8462" width="9.125" style="1"/>
    <col min="8463" max="8463" width="10.625" style="1" bestFit="1" customWidth="1"/>
    <col min="8464" max="8704" width="9.125" style="1"/>
    <col min="8705" max="8705" width="1.375" style="1" customWidth="1"/>
    <col min="8706" max="8706" width="16.125" style="1" customWidth="1"/>
    <col min="8707" max="8707" width="5.75" style="1" customWidth="1"/>
    <col min="8708" max="8708" width="8.375" style="1" customWidth="1"/>
    <col min="8709" max="8709" width="8.75" style="1" customWidth="1"/>
    <col min="8710" max="8710" width="6.25" style="1" customWidth="1"/>
    <col min="8711" max="8711" width="2.75" style="1" customWidth="1"/>
    <col min="8712" max="8712" width="8.75" style="1" customWidth="1"/>
    <col min="8713" max="8713" width="9.125" style="1"/>
    <col min="8714" max="8714" width="4.75" style="1" customWidth="1"/>
    <col min="8715" max="8715" width="11.125" style="1" customWidth="1"/>
    <col min="8716" max="8716" width="18.25" style="1" customWidth="1"/>
    <col min="8717" max="8717" width="1.25" style="1" customWidth="1"/>
    <col min="8718" max="8718" width="9.125" style="1"/>
    <col min="8719" max="8719" width="10.625" style="1" bestFit="1" customWidth="1"/>
    <col min="8720" max="8960" width="9.125" style="1"/>
    <col min="8961" max="8961" width="1.375" style="1" customWidth="1"/>
    <col min="8962" max="8962" width="16.125" style="1" customWidth="1"/>
    <col min="8963" max="8963" width="5.75" style="1" customWidth="1"/>
    <col min="8964" max="8964" width="8.375" style="1" customWidth="1"/>
    <col min="8965" max="8965" width="8.75" style="1" customWidth="1"/>
    <col min="8966" max="8966" width="6.25" style="1" customWidth="1"/>
    <col min="8967" max="8967" width="2.75" style="1" customWidth="1"/>
    <col min="8968" max="8968" width="8.75" style="1" customWidth="1"/>
    <col min="8969" max="8969" width="9.125" style="1"/>
    <col min="8970" max="8970" width="4.75" style="1" customWidth="1"/>
    <col min="8971" max="8971" width="11.125" style="1" customWidth="1"/>
    <col min="8972" max="8972" width="18.25" style="1" customWidth="1"/>
    <col min="8973" max="8973" width="1.25" style="1" customWidth="1"/>
    <col min="8974" max="8974" width="9.125" style="1"/>
    <col min="8975" max="8975" width="10.625" style="1" bestFit="1" customWidth="1"/>
    <col min="8976" max="9216" width="9.125" style="1"/>
    <col min="9217" max="9217" width="1.375" style="1" customWidth="1"/>
    <col min="9218" max="9218" width="16.125" style="1" customWidth="1"/>
    <col min="9219" max="9219" width="5.75" style="1" customWidth="1"/>
    <col min="9220" max="9220" width="8.375" style="1" customWidth="1"/>
    <col min="9221" max="9221" width="8.75" style="1" customWidth="1"/>
    <col min="9222" max="9222" width="6.25" style="1" customWidth="1"/>
    <col min="9223" max="9223" width="2.75" style="1" customWidth="1"/>
    <col min="9224" max="9224" width="8.75" style="1" customWidth="1"/>
    <col min="9225" max="9225" width="9.125" style="1"/>
    <col min="9226" max="9226" width="4.75" style="1" customWidth="1"/>
    <col min="9227" max="9227" width="11.125" style="1" customWidth="1"/>
    <col min="9228" max="9228" width="18.25" style="1" customWidth="1"/>
    <col min="9229" max="9229" width="1.25" style="1" customWidth="1"/>
    <col min="9230" max="9230" width="9.125" style="1"/>
    <col min="9231" max="9231" width="10.625" style="1" bestFit="1" customWidth="1"/>
    <col min="9232" max="9472" width="9.125" style="1"/>
    <col min="9473" max="9473" width="1.375" style="1" customWidth="1"/>
    <col min="9474" max="9474" width="16.125" style="1" customWidth="1"/>
    <col min="9475" max="9475" width="5.75" style="1" customWidth="1"/>
    <col min="9476" max="9476" width="8.375" style="1" customWidth="1"/>
    <col min="9477" max="9477" width="8.75" style="1" customWidth="1"/>
    <col min="9478" max="9478" width="6.25" style="1" customWidth="1"/>
    <col min="9479" max="9479" width="2.75" style="1" customWidth="1"/>
    <col min="9480" max="9480" width="8.75" style="1" customWidth="1"/>
    <col min="9481" max="9481" width="9.125" style="1"/>
    <col min="9482" max="9482" width="4.75" style="1" customWidth="1"/>
    <col min="9483" max="9483" width="11.125" style="1" customWidth="1"/>
    <col min="9484" max="9484" width="18.25" style="1" customWidth="1"/>
    <col min="9485" max="9485" width="1.25" style="1" customWidth="1"/>
    <col min="9486" max="9486" width="9.125" style="1"/>
    <col min="9487" max="9487" width="10.625" style="1" bestFit="1" customWidth="1"/>
    <col min="9488" max="9728" width="9.125" style="1"/>
    <col min="9729" max="9729" width="1.375" style="1" customWidth="1"/>
    <col min="9730" max="9730" width="16.125" style="1" customWidth="1"/>
    <col min="9731" max="9731" width="5.75" style="1" customWidth="1"/>
    <col min="9732" max="9732" width="8.375" style="1" customWidth="1"/>
    <col min="9733" max="9733" width="8.75" style="1" customWidth="1"/>
    <col min="9734" max="9734" width="6.25" style="1" customWidth="1"/>
    <col min="9735" max="9735" width="2.75" style="1" customWidth="1"/>
    <col min="9736" max="9736" width="8.75" style="1" customWidth="1"/>
    <col min="9737" max="9737" width="9.125" style="1"/>
    <col min="9738" max="9738" width="4.75" style="1" customWidth="1"/>
    <col min="9739" max="9739" width="11.125" style="1" customWidth="1"/>
    <col min="9740" max="9740" width="18.25" style="1" customWidth="1"/>
    <col min="9741" max="9741" width="1.25" style="1" customWidth="1"/>
    <col min="9742" max="9742" width="9.125" style="1"/>
    <col min="9743" max="9743" width="10.625" style="1" bestFit="1" customWidth="1"/>
    <col min="9744" max="9984" width="9.125" style="1"/>
    <col min="9985" max="9985" width="1.375" style="1" customWidth="1"/>
    <col min="9986" max="9986" width="16.125" style="1" customWidth="1"/>
    <col min="9987" max="9987" width="5.75" style="1" customWidth="1"/>
    <col min="9988" max="9988" width="8.375" style="1" customWidth="1"/>
    <col min="9989" max="9989" width="8.75" style="1" customWidth="1"/>
    <col min="9990" max="9990" width="6.25" style="1" customWidth="1"/>
    <col min="9991" max="9991" width="2.75" style="1" customWidth="1"/>
    <col min="9992" max="9992" width="8.75" style="1" customWidth="1"/>
    <col min="9993" max="9993" width="9.125" style="1"/>
    <col min="9994" max="9994" width="4.75" style="1" customWidth="1"/>
    <col min="9995" max="9995" width="11.125" style="1" customWidth="1"/>
    <col min="9996" max="9996" width="18.25" style="1" customWidth="1"/>
    <col min="9997" max="9997" width="1.25" style="1" customWidth="1"/>
    <col min="9998" max="9998" width="9.125" style="1"/>
    <col min="9999" max="9999" width="10.625" style="1" bestFit="1" customWidth="1"/>
    <col min="10000" max="10240" width="9.125" style="1"/>
    <col min="10241" max="10241" width="1.375" style="1" customWidth="1"/>
    <col min="10242" max="10242" width="16.125" style="1" customWidth="1"/>
    <col min="10243" max="10243" width="5.75" style="1" customWidth="1"/>
    <col min="10244" max="10244" width="8.375" style="1" customWidth="1"/>
    <col min="10245" max="10245" width="8.75" style="1" customWidth="1"/>
    <col min="10246" max="10246" width="6.25" style="1" customWidth="1"/>
    <col min="10247" max="10247" width="2.75" style="1" customWidth="1"/>
    <col min="10248" max="10248" width="8.75" style="1" customWidth="1"/>
    <col min="10249" max="10249" width="9.125" style="1"/>
    <col min="10250" max="10250" width="4.75" style="1" customWidth="1"/>
    <col min="10251" max="10251" width="11.125" style="1" customWidth="1"/>
    <col min="10252" max="10252" width="18.25" style="1" customWidth="1"/>
    <col min="10253" max="10253" width="1.25" style="1" customWidth="1"/>
    <col min="10254" max="10254" width="9.125" style="1"/>
    <col min="10255" max="10255" width="10.625" style="1" bestFit="1" customWidth="1"/>
    <col min="10256" max="10496" width="9.125" style="1"/>
    <col min="10497" max="10497" width="1.375" style="1" customWidth="1"/>
    <col min="10498" max="10498" width="16.125" style="1" customWidth="1"/>
    <col min="10499" max="10499" width="5.75" style="1" customWidth="1"/>
    <col min="10500" max="10500" width="8.375" style="1" customWidth="1"/>
    <col min="10501" max="10501" width="8.75" style="1" customWidth="1"/>
    <col min="10502" max="10502" width="6.25" style="1" customWidth="1"/>
    <col min="10503" max="10503" width="2.75" style="1" customWidth="1"/>
    <col min="10504" max="10504" width="8.75" style="1" customWidth="1"/>
    <col min="10505" max="10505" width="9.125" style="1"/>
    <col min="10506" max="10506" width="4.75" style="1" customWidth="1"/>
    <col min="10507" max="10507" width="11.125" style="1" customWidth="1"/>
    <col min="10508" max="10508" width="18.25" style="1" customWidth="1"/>
    <col min="10509" max="10509" width="1.25" style="1" customWidth="1"/>
    <col min="10510" max="10510" width="9.125" style="1"/>
    <col min="10511" max="10511" width="10.625" style="1" bestFit="1" customWidth="1"/>
    <col min="10512" max="10752" width="9.125" style="1"/>
    <col min="10753" max="10753" width="1.375" style="1" customWidth="1"/>
    <col min="10754" max="10754" width="16.125" style="1" customWidth="1"/>
    <col min="10755" max="10755" width="5.75" style="1" customWidth="1"/>
    <col min="10756" max="10756" width="8.375" style="1" customWidth="1"/>
    <col min="10757" max="10757" width="8.75" style="1" customWidth="1"/>
    <col min="10758" max="10758" width="6.25" style="1" customWidth="1"/>
    <col min="10759" max="10759" width="2.75" style="1" customWidth="1"/>
    <col min="10760" max="10760" width="8.75" style="1" customWidth="1"/>
    <col min="10761" max="10761" width="9.125" style="1"/>
    <col min="10762" max="10762" width="4.75" style="1" customWidth="1"/>
    <col min="10763" max="10763" width="11.125" style="1" customWidth="1"/>
    <col min="10764" max="10764" width="18.25" style="1" customWidth="1"/>
    <col min="10765" max="10765" width="1.25" style="1" customWidth="1"/>
    <col min="10766" max="10766" width="9.125" style="1"/>
    <col min="10767" max="10767" width="10.625" style="1" bestFit="1" customWidth="1"/>
    <col min="10768" max="11008" width="9.125" style="1"/>
    <col min="11009" max="11009" width="1.375" style="1" customWidth="1"/>
    <col min="11010" max="11010" width="16.125" style="1" customWidth="1"/>
    <col min="11011" max="11011" width="5.75" style="1" customWidth="1"/>
    <col min="11012" max="11012" width="8.375" style="1" customWidth="1"/>
    <col min="11013" max="11013" width="8.75" style="1" customWidth="1"/>
    <col min="11014" max="11014" width="6.25" style="1" customWidth="1"/>
    <col min="11015" max="11015" width="2.75" style="1" customWidth="1"/>
    <col min="11016" max="11016" width="8.75" style="1" customWidth="1"/>
    <col min="11017" max="11017" width="9.125" style="1"/>
    <col min="11018" max="11018" width="4.75" style="1" customWidth="1"/>
    <col min="11019" max="11019" width="11.125" style="1" customWidth="1"/>
    <col min="11020" max="11020" width="18.25" style="1" customWidth="1"/>
    <col min="11021" max="11021" width="1.25" style="1" customWidth="1"/>
    <col min="11022" max="11022" width="9.125" style="1"/>
    <col min="11023" max="11023" width="10.625" style="1" bestFit="1" customWidth="1"/>
    <col min="11024" max="11264" width="9.125" style="1"/>
    <col min="11265" max="11265" width="1.375" style="1" customWidth="1"/>
    <col min="11266" max="11266" width="16.125" style="1" customWidth="1"/>
    <col min="11267" max="11267" width="5.75" style="1" customWidth="1"/>
    <col min="11268" max="11268" width="8.375" style="1" customWidth="1"/>
    <col min="11269" max="11269" width="8.75" style="1" customWidth="1"/>
    <col min="11270" max="11270" width="6.25" style="1" customWidth="1"/>
    <col min="11271" max="11271" width="2.75" style="1" customWidth="1"/>
    <col min="11272" max="11272" width="8.75" style="1" customWidth="1"/>
    <col min="11273" max="11273" width="9.125" style="1"/>
    <col min="11274" max="11274" width="4.75" style="1" customWidth="1"/>
    <col min="11275" max="11275" width="11.125" style="1" customWidth="1"/>
    <col min="11276" max="11276" width="18.25" style="1" customWidth="1"/>
    <col min="11277" max="11277" width="1.25" style="1" customWidth="1"/>
    <col min="11278" max="11278" width="9.125" style="1"/>
    <col min="11279" max="11279" width="10.625" style="1" bestFit="1" customWidth="1"/>
    <col min="11280" max="11520" width="9.125" style="1"/>
    <col min="11521" max="11521" width="1.375" style="1" customWidth="1"/>
    <col min="11522" max="11522" width="16.125" style="1" customWidth="1"/>
    <col min="11523" max="11523" width="5.75" style="1" customWidth="1"/>
    <col min="11524" max="11524" width="8.375" style="1" customWidth="1"/>
    <col min="11525" max="11525" width="8.75" style="1" customWidth="1"/>
    <col min="11526" max="11526" width="6.25" style="1" customWidth="1"/>
    <col min="11527" max="11527" width="2.75" style="1" customWidth="1"/>
    <col min="11528" max="11528" width="8.75" style="1" customWidth="1"/>
    <col min="11529" max="11529" width="9.125" style="1"/>
    <col min="11530" max="11530" width="4.75" style="1" customWidth="1"/>
    <col min="11531" max="11531" width="11.125" style="1" customWidth="1"/>
    <col min="11532" max="11532" width="18.25" style="1" customWidth="1"/>
    <col min="11533" max="11533" width="1.25" style="1" customWidth="1"/>
    <col min="11534" max="11534" width="9.125" style="1"/>
    <col min="11535" max="11535" width="10.625" style="1" bestFit="1" customWidth="1"/>
    <col min="11536" max="11776" width="9.125" style="1"/>
    <col min="11777" max="11777" width="1.375" style="1" customWidth="1"/>
    <col min="11778" max="11778" width="16.125" style="1" customWidth="1"/>
    <col min="11779" max="11779" width="5.75" style="1" customWidth="1"/>
    <col min="11780" max="11780" width="8.375" style="1" customWidth="1"/>
    <col min="11781" max="11781" width="8.75" style="1" customWidth="1"/>
    <col min="11782" max="11782" width="6.25" style="1" customWidth="1"/>
    <col min="11783" max="11783" width="2.75" style="1" customWidth="1"/>
    <col min="11784" max="11784" width="8.75" style="1" customWidth="1"/>
    <col min="11785" max="11785" width="9.125" style="1"/>
    <col min="11786" max="11786" width="4.75" style="1" customWidth="1"/>
    <col min="11787" max="11787" width="11.125" style="1" customWidth="1"/>
    <col min="11788" max="11788" width="18.25" style="1" customWidth="1"/>
    <col min="11789" max="11789" width="1.25" style="1" customWidth="1"/>
    <col min="11790" max="11790" width="9.125" style="1"/>
    <col min="11791" max="11791" width="10.625" style="1" bestFit="1" customWidth="1"/>
    <col min="11792" max="12032" width="9.125" style="1"/>
    <col min="12033" max="12033" width="1.375" style="1" customWidth="1"/>
    <col min="12034" max="12034" width="16.125" style="1" customWidth="1"/>
    <col min="12035" max="12035" width="5.75" style="1" customWidth="1"/>
    <col min="12036" max="12036" width="8.375" style="1" customWidth="1"/>
    <col min="12037" max="12037" width="8.75" style="1" customWidth="1"/>
    <col min="12038" max="12038" width="6.25" style="1" customWidth="1"/>
    <col min="12039" max="12039" width="2.75" style="1" customWidth="1"/>
    <col min="12040" max="12040" width="8.75" style="1" customWidth="1"/>
    <col min="12041" max="12041" width="9.125" style="1"/>
    <col min="12042" max="12042" width="4.75" style="1" customWidth="1"/>
    <col min="12043" max="12043" width="11.125" style="1" customWidth="1"/>
    <col min="12044" max="12044" width="18.25" style="1" customWidth="1"/>
    <col min="12045" max="12045" width="1.25" style="1" customWidth="1"/>
    <col min="12046" max="12046" width="9.125" style="1"/>
    <col min="12047" max="12047" width="10.625" style="1" bestFit="1" customWidth="1"/>
    <col min="12048" max="12288" width="9.125" style="1"/>
    <col min="12289" max="12289" width="1.375" style="1" customWidth="1"/>
    <col min="12290" max="12290" width="16.125" style="1" customWidth="1"/>
    <col min="12291" max="12291" width="5.75" style="1" customWidth="1"/>
    <col min="12292" max="12292" width="8.375" style="1" customWidth="1"/>
    <col min="12293" max="12293" width="8.75" style="1" customWidth="1"/>
    <col min="12294" max="12294" width="6.25" style="1" customWidth="1"/>
    <col min="12295" max="12295" width="2.75" style="1" customWidth="1"/>
    <col min="12296" max="12296" width="8.75" style="1" customWidth="1"/>
    <col min="12297" max="12297" width="9.125" style="1"/>
    <col min="12298" max="12298" width="4.75" style="1" customWidth="1"/>
    <col min="12299" max="12299" width="11.125" style="1" customWidth="1"/>
    <col min="12300" max="12300" width="18.25" style="1" customWidth="1"/>
    <col min="12301" max="12301" width="1.25" style="1" customWidth="1"/>
    <col min="12302" max="12302" width="9.125" style="1"/>
    <col min="12303" max="12303" width="10.625" style="1" bestFit="1" customWidth="1"/>
    <col min="12304" max="12544" width="9.125" style="1"/>
    <col min="12545" max="12545" width="1.375" style="1" customWidth="1"/>
    <col min="12546" max="12546" width="16.125" style="1" customWidth="1"/>
    <col min="12547" max="12547" width="5.75" style="1" customWidth="1"/>
    <col min="12548" max="12548" width="8.375" style="1" customWidth="1"/>
    <col min="12549" max="12549" width="8.75" style="1" customWidth="1"/>
    <col min="12550" max="12550" width="6.25" style="1" customWidth="1"/>
    <col min="12551" max="12551" width="2.75" style="1" customWidth="1"/>
    <col min="12552" max="12552" width="8.75" style="1" customWidth="1"/>
    <col min="12553" max="12553" width="9.125" style="1"/>
    <col min="12554" max="12554" width="4.75" style="1" customWidth="1"/>
    <col min="12555" max="12555" width="11.125" style="1" customWidth="1"/>
    <col min="12556" max="12556" width="18.25" style="1" customWidth="1"/>
    <col min="12557" max="12557" width="1.25" style="1" customWidth="1"/>
    <col min="12558" max="12558" width="9.125" style="1"/>
    <col min="12559" max="12559" width="10.625" style="1" bestFit="1" customWidth="1"/>
    <col min="12560" max="12800" width="9.125" style="1"/>
    <col min="12801" max="12801" width="1.375" style="1" customWidth="1"/>
    <col min="12802" max="12802" width="16.125" style="1" customWidth="1"/>
    <col min="12803" max="12803" width="5.75" style="1" customWidth="1"/>
    <col min="12804" max="12804" width="8.375" style="1" customWidth="1"/>
    <col min="12805" max="12805" width="8.75" style="1" customWidth="1"/>
    <col min="12806" max="12806" width="6.25" style="1" customWidth="1"/>
    <col min="12807" max="12807" width="2.75" style="1" customWidth="1"/>
    <col min="12808" max="12808" width="8.75" style="1" customWidth="1"/>
    <col min="12809" max="12809" width="9.125" style="1"/>
    <col min="12810" max="12810" width="4.75" style="1" customWidth="1"/>
    <col min="12811" max="12811" width="11.125" style="1" customWidth="1"/>
    <col min="12812" max="12812" width="18.25" style="1" customWidth="1"/>
    <col min="12813" max="12813" width="1.25" style="1" customWidth="1"/>
    <col min="12814" max="12814" width="9.125" style="1"/>
    <col min="12815" max="12815" width="10.625" style="1" bestFit="1" customWidth="1"/>
    <col min="12816" max="13056" width="9.125" style="1"/>
    <col min="13057" max="13057" width="1.375" style="1" customWidth="1"/>
    <col min="13058" max="13058" width="16.125" style="1" customWidth="1"/>
    <col min="13059" max="13059" width="5.75" style="1" customWidth="1"/>
    <col min="13060" max="13060" width="8.375" style="1" customWidth="1"/>
    <col min="13061" max="13061" width="8.75" style="1" customWidth="1"/>
    <col min="13062" max="13062" width="6.25" style="1" customWidth="1"/>
    <col min="13063" max="13063" width="2.75" style="1" customWidth="1"/>
    <col min="13064" max="13064" width="8.75" style="1" customWidth="1"/>
    <col min="13065" max="13065" width="9.125" style="1"/>
    <col min="13066" max="13066" width="4.75" style="1" customWidth="1"/>
    <col min="13067" max="13067" width="11.125" style="1" customWidth="1"/>
    <col min="13068" max="13068" width="18.25" style="1" customWidth="1"/>
    <col min="13069" max="13069" width="1.25" style="1" customWidth="1"/>
    <col min="13070" max="13070" width="9.125" style="1"/>
    <col min="13071" max="13071" width="10.625" style="1" bestFit="1" customWidth="1"/>
    <col min="13072" max="13312" width="9.125" style="1"/>
    <col min="13313" max="13313" width="1.375" style="1" customWidth="1"/>
    <col min="13314" max="13314" width="16.125" style="1" customWidth="1"/>
    <col min="13315" max="13315" width="5.75" style="1" customWidth="1"/>
    <col min="13316" max="13316" width="8.375" style="1" customWidth="1"/>
    <col min="13317" max="13317" width="8.75" style="1" customWidth="1"/>
    <col min="13318" max="13318" width="6.25" style="1" customWidth="1"/>
    <col min="13319" max="13319" width="2.75" style="1" customWidth="1"/>
    <col min="13320" max="13320" width="8.75" style="1" customWidth="1"/>
    <col min="13321" max="13321" width="9.125" style="1"/>
    <col min="13322" max="13322" width="4.75" style="1" customWidth="1"/>
    <col min="13323" max="13323" width="11.125" style="1" customWidth="1"/>
    <col min="13324" max="13324" width="18.25" style="1" customWidth="1"/>
    <col min="13325" max="13325" width="1.25" style="1" customWidth="1"/>
    <col min="13326" max="13326" width="9.125" style="1"/>
    <col min="13327" max="13327" width="10.625" style="1" bestFit="1" customWidth="1"/>
    <col min="13328" max="13568" width="9.125" style="1"/>
    <col min="13569" max="13569" width="1.375" style="1" customWidth="1"/>
    <col min="13570" max="13570" width="16.125" style="1" customWidth="1"/>
    <col min="13571" max="13571" width="5.75" style="1" customWidth="1"/>
    <col min="13572" max="13572" width="8.375" style="1" customWidth="1"/>
    <col min="13573" max="13573" width="8.75" style="1" customWidth="1"/>
    <col min="13574" max="13574" width="6.25" style="1" customWidth="1"/>
    <col min="13575" max="13575" width="2.75" style="1" customWidth="1"/>
    <col min="13576" max="13576" width="8.75" style="1" customWidth="1"/>
    <col min="13577" max="13577" width="9.125" style="1"/>
    <col min="13578" max="13578" width="4.75" style="1" customWidth="1"/>
    <col min="13579" max="13579" width="11.125" style="1" customWidth="1"/>
    <col min="13580" max="13580" width="18.25" style="1" customWidth="1"/>
    <col min="13581" max="13581" width="1.25" style="1" customWidth="1"/>
    <col min="13582" max="13582" width="9.125" style="1"/>
    <col min="13583" max="13583" width="10.625" style="1" bestFit="1" customWidth="1"/>
    <col min="13584" max="13824" width="9.125" style="1"/>
    <col min="13825" max="13825" width="1.375" style="1" customWidth="1"/>
    <col min="13826" max="13826" width="16.125" style="1" customWidth="1"/>
    <col min="13827" max="13827" width="5.75" style="1" customWidth="1"/>
    <col min="13828" max="13828" width="8.375" style="1" customWidth="1"/>
    <col min="13829" max="13829" width="8.75" style="1" customWidth="1"/>
    <col min="13830" max="13830" width="6.25" style="1" customWidth="1"/>
    <col min="13831" max="13831" width="2.75" style="1" customWidth="1"/>
    <col min="13832" max="13832" width="8.75" style="1" customWidth="1"/>
    <col min="13833" max="13833" width="9.125" style="1"/>
    <col min="13834" max="13834" width="4.75" style="1" customWidth="1"/>
    <col min="13835" max="13835" width="11.125" style="1" customWidth="1"/>
    <col min="13836" max="13836" width="18.25" style="1" customWidth="1"/>
    <col min="13837" max="13837" width="1.25" style="1" customWidth="1"/>
    <col min="13838" max="13838" width="9.125" style="1"/>
    <col min="13839" max="13839" width="10.625" style="1" bestFit="1" customWidth="1"/>
    <col min="13840" max="14080" width="9.125" style="1"/>
    <col min="14081" max="14081" width="1.375" style="1" customWidth="1"/>
    <col min="14082" max="14082" width="16.125" style="1" customWidth="1"/>
    <col min="14083" max="14083" width="5.75" style="1" customWidth="1"/>
    <col min="14084" max="14084" width="8.375" style="1" customWidth="1"/>
    <col min="14085" max="14085" width="8.75" style="1" customWidth="1"/>
    <col min="14086" max="14086" width="6.25" style="1" customWidth="1"/>
    <col min="14087" max="14087" width="2.75" style="1" customWidth="1"/>
    <col min="14088" max="14088" width="8.75" style="1" customWidth="1"/>
    <col min="14089" max="14089" width="9.125" style="1"/>
    <col min="14090" max="14090" width="4.75" style="1" customWidth="1"/>
    <col min="14091" max="14091" width="11.125" style="1" customWidth="1"/>
    <col min="14092" max="14092" width="18.25" style="1" customWidth="1"/>
    <col min="14093" max="14093" width="1.25" style="1" customWidth="1"/>
    <col min="14094" max="14094" width="9.125" style="1"/>
    <col min="14095" max="14095" width="10.625" style="1" bestFit="1" customWidth="1"/>
    <col min="14096" max="14336" width="9.125" style="1"/>
    <col min="14337" max="14337" width="1.375" style="1" customWidth="1"/>
    <col min="14338" max="14338" width="16.125" style="1" customWidth="1"/>
    <col min="14339" max="14339" width="5.75" style="1" customWidth="1"/>
    <col min="14340" max="14340" width="8.375" style="1" customWidth="1"/>
    <col min="14341" max="14341" width="8.75" style="1" customWidth="1"/>
    <col min="14342" max="14342" width="6.25" style="1" customWidth="1"/>
    <col min="14343" max="14343" width="2.75" style="1" customWidth="1"/>
    <col min="14344" max="14344" width="8.75" style="1" customWidth="1"/>
    <col min="14345" max="14345" width="9.125" style="1"/>
    <col min="14346" max="14346" width="4.75" style="1" customWidth="1"/>
    <col min="14347" max="14347" width="11.125" style="1" customWidth="1"/>
    <col min="14348" max="14348" width="18.25" style="1" customWidth="1"/>
    <col min="14349" max="14349" width="1.25" style="1" customWidth="1"/>
    <col min="14350" max="14350" width="9.125" style="1"/>
    <col min="14351" max="14351" width="10.625" style="1" bestFit="1" customWidth="1"/>
    <col min="14352" max="14592" width="9.125" style="1"/>
    <col min="14593" max="14593" width="1.375" style="1" customWidth="1"/>
    <col min="14594" max="14594" width="16.125" style="1" customWidth="1"/>
    <col min="14595" max="14595" width="5.75" style="1" customWidth="1"/>
    <col min="14596" max="14596" width="8.375" style="1" customWidth="1"/>
    <col min="14597" max="14597" width="8.75" style="1" customWidth="1"/>
    <col min="14598" max="14598" width="6.25" style="1" customWidth="1"/>
    <col min="14599" max="14599" width="2.75" style="1" customWidth="1"/>
    <col min="14600" max="14600" width="8.75" style="1" customWidth="1"/>
    <col min="14601" max="14601" width="9.125" style="1"/>
    <col min="14602" max="14602" width="4.75" style="1" customWidth="1"/>
    <col min="14603" max="14603" width="11.125" style="1" customWidth="1"/>
    <col min="14604" max="14604" width="18.25" style="1" customWidth="1"/>
    <col min="14605" max="14605" width="1.25" style="1" customWidth="1"/>
    <col min="14606" max="14606" width="9.125" style="1"/>
    <col min="14607" max="14607" width="10.625" style="1" bestFit="1" customWidth="1"/>
    <col min="14608" max="14848" width="9.125" style="1"/>
    <col min="14849" max="14849" width="1.375" style="1" customWidth="1"/>
    <col min="14850" max="14850" width="16.125" style="1" customWidth="1"/>
    <col min="14851" max="14851" width="5.75" style="1" customWidth="1"/>
    <col min="14852" max="14852" width="8.375" style="1" customWidth="1"/>
    <col min="14853" max="14853" width="8.75" style="1" customWidth="1"/>
    <col min="14854" max="14854" width="6.25" style="1" customWidth="1"/>
    <col min="14855" max="14855" width="2.75" style="1" customWidth="1"/>
    <col min="14856" max="14856" width="8.75" style="1" customWidth="1"/>
    <col min="14857" max="14857" width="9.125" style="1"/>
    <col min="14858" max="14858" width="4.75" style="1" customWidth="1"/>
    <col min="14859" max="14859" width="11.125" style="1" customWidth="1"/>
    <col min="14860" max="14860" width="18.25" style="1" customWidth="1"/>
    <col min="14861" max="14861" width="1.25" style="1" customWidth="1"/>
    <col min="14862" max="14862" width="9.125" style="1"/>
    <col min="14863" max="14863" width="10.625" style="1" bestFit="1" customWidth="1"/>
    <col min="14864" max="15104" width="9.125" style="1"/>
    <col min="15105" max="15105" width="1.375" style="1" customWidth="1"/>
    <col min="15106" max="15106" width="16.125" style="1" customWidth="1"/>
    <col min="15107" max="15107" width="5.75" style="1" customWidth="1"/>
    <col min="15108" max="15108" width="8.375" style="1" customWidth="1"/>
    <col min="15109" max="15109" width="8.75" style="1" customWidth="1"/>
    <col min="15110" max="15110" width="6.25" style="1" customWidth="1"/>
    <col min="15111" max="15111" width="2.75" style="1" customWidth="1"/>
    <col min="15112" max="15112" width="8.75" style="1" customWidth="1"/>
    <col min="15113" max="15113" width="9.125" style="1"/>
    <col min="15114" max="15114" width="4.75" style="1" customWidth="1"/>
    <col min="15115" max="15115" width="11.125" style="1" customWidth="1"/>
    <col min="15116" max="15116" width="18.25" style="1" customWidth="1"/>
    <col min="15117" max="15117" width="1.25" style="1" customWidth="1"/>
    <col min="15118" max="15118" width="9.125" style="1"/>
    <col min="15119" max="15119" width="10.625" style="1" bestFit="1" customWidth="1"/>
    <col min="15120" max="15360" width="9.125" style="1"/>
    <col min="15361" max="15361" width="1.375" style="1" customWidth="1"/>
    <col min="15362" max="15362" width="16.125" style="1" customWidth="1"/>
    <col min="15363" max="15363" width="5.75" style="1" customWidth="1"/>
    <col min="15364" max="15364" width="8.375" style="1" customWidth="1"/>
    <col min="15365" max="15365" width="8.75" style="1" customWidth="1"/>
    <col min="15366" max="15366" width="6.25" style="1" customWidth="1"/>
    <col min="15367" max="15367" width="2.75" style="1" customWidth="1"/>
    <col min="15368" max="15368" width="8.75" style="1" customWidth="1"/>
    <col min="15369" max="15369" width="9.125" style="1"/>
    <col min="15370" max="15370" width="4.75" style="1" customWidth="1"/>
    <col min="15371" max="15371" width="11.125" style="1" customWidth="1"/>
    <col min="15372" max="15372" width="18.25" style="1" customWidth="1"/>
    <col min="15373" max="15373" width="1.25" style="1" customWidth="1"/>
    <col min="15374" max="15374" width="9.125" style="1"/>
    <col min="15375" max="15375" width="10.625" style="1" bestFit="1" customWidth="1"/>
    <col min="15376" max="15616" width="9.125" style="1"/>
    <col min="15617" max="15617" width="1.375" style="1" customWidth="1"/>
    <col min="15618" max="15618" width="16.125" style="1" customWidth="1"/>
    <col min="15619" max="15619" width="5.75" style="1" customWidth="1"/>
    <col min="15620" max="15620" width="8.375" style="1" customWidth="1"/>
    <col min="15621" max="15621" width="8.75" style="1" customWidth="1"/>
    <col min="15622" max="15622" width="6.25" style="1" customWidth="1"/>
    <col min="15623" max="15623" width="2.75" style="1" customWidth="1"/>
    <col min="15624" max="15624" width="8.75" style="1" customWidth="1"/>
    <col min="15625" max="15625" width="9.125" style="1"/>
    <col min="15626" max="15626" width="4.75" style="1" customWidth="1"/>
    <col min="15627" max="15627" width="11.125" style="1" customWidth="1"/>
    <col min="15628" max="15628" width="18.25" style="1" customWidth="1"/>
    <col min="15629" max="15629" width="1.25" style="1" customWidth="1"/>
    <col min="15630" max="15630" width="9.125" style="1"/>
    <col min="15631" max="15631" width="10.625" style="1" bestFit="1" customWidth="1"/>
    <col min="15632" max="15872" width="9.125" style="1"/>
    <col min="15873" max="15873" width="1.375" style="1" customWidth="1"/>
    <col min="15874" max="15874" width="16.125" style="1" customWidth="1"/>
    <col min="15875" max="15875" width="5.75" style="1" customWidth="1"/>
    <col min="15876" max="15876" width="8.375" style="1" customWidth="1"/>
    <col min="15877" max="15877" width="8.75" style="1" customWidth="1"/>
    <col min="15878" max="15878" width="6.25" style="1" customWidth="1"/>
    <col min="15879" max="15879" width="2.75" style="1" customWidth="1"/>
    <col min="15880" max="15880" width="8.75" style="1" customWidth="1"/>
    <col min="15881" max="15881" width="9.125" style="1"/>
    <col min="15882" max="15882" width="4.75" style="1" customWidth="1"/>
    <col min="15883" max="15883" width="11.125" style="1" customWidth="1"/>
    <col min="15884" max="15884" width="18.25" style="1" customWidth="1"/>
    <col min="15885" max="15885" width="1.25" style="1" customWidth="1"/>
    <col min="15886" max="15886" width="9.125" style="1"/>
    <col min="15887" max="15887" width="10.625" style="1" bestFit="1" customWidth="1"/>
    <col min="15888" max="16128" width="9.125" style="1"/>
    <col min="16129" max="16129" width="1.375" style="1" customWidth="1"/>
    <col min="16130" max="16130" width="16.125" style="1" customWidth="1"/>
    <col min="16131" max="16131" width="5.75" style="1" customWidth="1"/>
    <col min="16132" max="16132" width="8.375" style="1" customWidth="1"/>
    <col min="16133" max="16133" width="8.75" style="1" customWidth="1"/>
    <col min="16134" max="16134" width="6.25" style="1" customWidth="1"/>
    <col min="16135" max="16135" width="2.75" style="1" customWidth="1"/>
    <col min="16136" max="16136" width="8.75" style="1" customWidth="1"/>
    <col min="16137" max="16137" width="9.125" style="1"/>
    <col min="16138" max="16138" width="4.75" style="1" customWidth="1"/>
    <col min="16139" max="16139" width="11.125" style="1" customWidth="1"/>
    <col min="16140" max="16140" width="18.25" style="1" customWidth="1"/>
    <col min="16141" max="16141" width="1.25" style="1" customWidth="1"/>
    <col min="16142" max="16142" width="9.125" style="1"/>
    <col min="16143" max="16143" width="10.625" style="1" bestFit="1" customWidth="1"/>
    <col min="16144" max="16384" width="9.125" style="1"/>
  </cols>
  <sheetData>
    <row r="1" spans="1:16" ht="20.100000000000001" customHeight="1" thickBot="1">
      <c r="A1" s="117"/>
      <c r="B1" s="117"/>
      <c r="C1" s="117"/>
      <c r="D1" s="117"/>
      <c r="E1" s="117"/>
      <c r="F1" s="117"/>
      <c r="G1" s="117"/>
      <c r="H1" s="117"/>
      <c r="I1" s="117"/>
      <c r="J1" s="117"/>
      <c r="K1" s="117"/>
      <c r="L1" s="117"/>
      <c r="M1" s="117"/>
    </row>
    <row r="2" spans="1:16" s="2" customFormat="1" ht="24.95" customHeight="1" thickTop="1">
      <c r="A2" s="224" t="s">
        <v>0</v>
      </c>
      <c r="B2" s="225"/>
      <c r="C2" s="225"/>
      <c r="D2" s="225"/>
      <c r="E2" s="225"/>
      <c r="F2" s="225"/>
      <c r="G2" s="225"/>
      <c r="H2" s="225"/>
      <c r="I2" s="225"/>
      <c r="J2" s="225"/>
      <c r="K2" s="225"/>
      <c r="L2" s="226"/>
    </row>
    <row r="3" spans="1:16" s="2" customFormat="1" ht="24.95" customHeight="1">
      <c r="A3" s="227" t="s">
        <v>1</v>
      </c>
      <c r="B3" s="228"/>
      <c r="C3" s="228"/>
      <c r="D3" s="228"/>
      <c r="E3" s="228"/>
      <c r="F3" s="228"/>
      <c r="G3" s="228"/>
      <c r="H3" s="228"/>
      <c r="I3" s="228"/>
      <c r="J3" s="228"/>
      <c r="K3" s="228"/>
      <c r="L3" s="229"/>
    </row>
    <row r="4" spans="1:16" ht="14.25" customHeight="1">
      <c r="A4" s="3"/>
      <c r="B4" s="4"/>
      <c r="C4" s="4"/>
      <c r="D4" s="4"/>
      <c r="E4" s="4"/>
      <c r="F4" s="4"/>
      <c r="G4" s="4"/>
      <c r="H4" s="4"/>
      <c r="I4" s="4"/>
      <c r="J4" s="4"/>
      <c r="K4" s="4"/>
      <c r="L4" s="5"/>
    </row>
    <row r="5" spans="1:16" ht="8.25" customHeight="1">
      <c r="A5" s="3"/>
      <c r="B5" s="4"/>
      <c r="C5" s="4"/>
      <c r="D5" s="4"/>
      <c r="E5" s="4"/>
      <c r="F5" s="4"/>
      <c r="G5" s="4"/>
      <c r="H5" s="4"/>
      <c r="I5" s="4"/>
      <c r="J5" s="4"/>
      <c r="K5" s="4"/>
      <c r="L5" s="5"/>
    </row>
    <row r="6" spans="1:16" ht="82.5" customHeight="1">
      <c r="A6" s="6"/>
      <c r="B6" s="243" t="s">
        <v>2</v>
      </c>
      <c r="C6" s="244"/>
      <c r="D6" s="244"/>
      <c r="E6" s="244"/>
      <c r="F6" s="244"/>
      <c r="G6" s="244"/>
      <c r="H6" s="244"/>
      <c r="I6" s="244"/>
      <c r="J6" s="244"/>
      <c r="K6" s="244"/>
      <c r="L6" s="245"/>
      <c r="N6" s="17" t="s">
        <v>158</v>
      </c>
      <c r="O6" s="17" t="s">
        <v>159</v>
      </c>
      <c r="P6" s="17" t="s">
        <v>160</v>
      </c>
    </row>
    <row r="7" spans="1:16" ht="24.75" customHeight="1">
      <c r="A7" s="6"/>
      <c r="B7" s="246" t="str">
        <f>"THÁNG "&amp;O7&amp;"/"&amp;P7&amp;""</f>
        <v>THÁNG 07/2026</v>
      </c>
      <c r="C7" s="246"/>
      <c r="D7" s="246"/>
      <c r="E7" s="246"/>
      <c r="F7" s="246"/>
      <c r="G7" s="246"/>
      <c r="H7" s="246"/>
      <c r="I7" s="246"/>
      <c r="J7" s="246"/>
      <c r="K7" s="246"/>
      <c r="L7" s="247"/>
      <c r="N7" s="223" t="s">
        <v>161</v>
      </c>
      <c r="O7" s="223" t="s">
        <v>157</v>
      </c>
      <c r="P7" s="205">
        <v>2026</v>
      </c>
    </row>
    <row r="8" spans="1:16" ht="10.5" customHeight="1">
      <c r="A8" s="6"/>
      <c r="L8" s="7"/>
    </row>
    <row r="9" spans="1:16" ht="8.25" customHeight="1">
      <c r="A9" s="6"/>
      <c r="L9" s="7"/>
    </row>
    <row r="10" spans="1:16" ht="148.5" customHeight="1">
      <c r="A10" s="6"/>
      <c r="B10" s="240" t="str">
        <f>'Biavh-Q8'!O10</f>
        <v>Dự toán mua sắm:</v>
      </c>
      <c r="C10" s="240"/>
      <c r="D10" s="248" t="str">
        <f>'Biavh-Q8'!Q10</f>
        <v>Cung cấp dịch vụ sự nghiệp công Công tác Quản lý, bảo trì hệ thống chiếu sáng đô thị thuộc địa bàn 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E10" s="248"/>
      <c r="F10" s="248"/>
      <c r="G10" s="248"/>
      <c r="H10" s="248"/>
      <c r="I10" s="248"/>
      <c r="J10" s="248"/>
      <c r="K10" s="248"/>
      <c r="L10" s="249"/>
    </row>
    <row r="11" spans="1:16" ht="165.75" customHeight="1">
      <c r="A11" s="6"/>
      <c r="B11" s="248" t="str">
        <f>'Biavh-Q8'!O11</f>
        <v>Gói thầu:</v>
      </c>
      <c r="C11" s="248"/>
      <c r="D11" s="241" t="str">
        <f>'Biavh-Q8'!Q11</f>
        <v>Phi tư vấn Công tác Quản lý, bảo trì hệ thống chiếu sáng đô thị thuộc địa bàn phường Xóm Chiếu, phường Khánh Hội, phường Vĩnh Hội, phường Bình Tây, phường Bình Tiên, phường Bình Phú, phường Phú Lâm, phường Tân Thuận, phường Phú Thuận, phường Tân Mỹ,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E11" s="241"/>
      <c r="F11" s="241"/>
      <c r="G11" s="241"/>
      <c r="H11" s="241"/>
      <c r="I11" s="241"/>
      <c r="J11" s="241"/>
      <c r="K11" s="241"/>
      <c r="L11" s="242"/>
    </row>
    <row r="12" spans="1:16" ht="24.75" customHeight="1">
      <c r="A12" s="6"/>
      <c r="B12" s="233" t="s">
        <v>24</v>
      </c>
      <c r="C12" s="233"/>
      <c r="D12" s="234" t="str">
        <f>'Biavh-Q8'!Q18</f>
        <v>Liên danh Chiếu sáng công cộng TP.HCM - Kỹ thuật Điện Phú Thọ</v>
      </c>
      <c r="E12" s="234"/>
      <c r="F12" s="234"/>
      <c r="G12" s="234"/>
      <c r="H12" s="234"/>
      <c r="I12" s="234"/>
      <c r="J12" s="234"/>
      <c r="K12" s="234"/>
      <c r="L12" s="235"/>
    </row>
    <row r="13" spans="1:16" ht="30" customHeight="1">
      <c r="A13" s="6"/>
      <c r="B13" s="233" t="s">
        <v>25</v>
      </c>
      <c r="C13" s="233"/>
      <c r="D13" s="233" t="str">
        <f>'Biavh-Q8'!Q19</f>
        <v>Công ty cổ phần Chiếu sáng công cộng TP.HCM</v>
      </c>
      <c r="E13" s="233"/>
      <c r="F13" s="233"/>
      <c r="G13" s="233"/>
      <c r="H13" s="233"/>
      <c r="I13" s="233"/>
      <c r="J13" s="233"/>
      <c r="K13" s="233"/>
      <c r="L13" s="236"/>
    </row>
    <row r="14" spans="1:16" ht="25.5" customHeight="1">
      <c r="A14" s="8"/>
      <c r="B14" s="237" t="s">
        <v>26</v>
      </c>
      <c r="C14" s="237"/>
      <c r="D14" s="238" t="str">
        <f>'Biavh-Q8'!Q15</f>
        <v>Trung tâm Quản lý Giao thông và Hạ tầng kỹ thuật TP.HCM</v>
      </c>
      <c r="E14" s="238"/>
      <c r="F14" s="238"/>
      <c r="G14" s="238"/>
      <c r="H14" s="238"/>
      <c r="I14" s="238"/>
      <c r="J14" s="238"/>
      <c r="K14" s="238"/>
      <c r="L14" s="239"/>
    </row>
    <row r="15" spans="1:16" ht="13.5" customHeight="1">
      <c r="A15" s="8"/>
      <c r="B15" s="106"/>
      <c r="C15" s="106"/>
      <c r="D15" s="107"/>
      <c r="E15" s="107"/>
      <c r="F15" s="107"/>
      <c r="G15" s="107"/>
      <c r="H15" s="107"/>
      <c r="I15" s="107"/>
      <c r="J15" s="107"/>
      <c r="K15" s="107"/>
      <c r="L15" s="108"/>
    </row>
    <row r="16" spans="1:16" s="19" customFormat="1" ht="5.25" customHeight="1">
      <c r="A16" s="10"/>
      <c r="B16" s="11"/>
      <c r="C16" s="11"/>
      <c r="D16" s="11"/>
      <c r="E16" s="11"/>
      <c r="F16" s="11"/>
      <c r="G16" s="11"/>
      <c r="H16" s="11"/>
      <c r="I16" s="11"/>
      <c r="J16" s="11"/>
      <c r="K16" s="11"/>
      <c r="L16" s="12"/>
      <c r="M16" s="1"/>
    </row>
    <row r="17" spans="1:19" ht="27.75" customHeight="1">
      <c r="A17" s="10"/>
      <c r="B17" s="255"/>
      <c r="C17" s="255"/>
      <c r="D17" s="255"/>
      <c r="E17" s="255"/>
      <c r="F17" s="255"/>
      <c r="H17" s="252" t="str">
        <f>"Tp. Hồ Chí Minh, ngày "&amp;N7&amp;" tháng "&amp;O7&amp;" năm "&amp;P7&amp;""</f>
        <v>Tp. Hồ Chí Minh, ngày 01 tháng 07 năm 2026</v>
      </c>
      <c r="I17" s="252"/>
      <c r="J17" s="252"/>
      <c r="K17" s="252"/>
      <c r="L17" s="253"/>
    </row>
    <row r="18" spans="1:19" ht="18" customHeight="1">
      <c r="A18" s="10"/>
      <c r="B18" s="230" t="s">
        <v>6</v>
      </c>
      <c r="C18" s="230"/>
      <c r="D18" s="230"/>
      <c r="E18" s="230"/>
      <c r="F18" s="230"/>
      <c r="G18" s="20"/>
      <c r="H18" s="230" t="s">
        <v>27</v>
      </c>
      <c r="I18" s="230"/>
      <c r="J18" s="230"/>
      <c r="K18" s="230"/>
      <c r="L18" s="254"/>
    </row>
    <row r="19" spans="1:19" ht="17.25" customHeight="1">
      <c r="A19" s="10"/>
      <c r="B19" s="230" t="s">
        <v>7</v>
      </c>
      <c r="C19" s="230"/>
      <c r="D19" s="230"/>
      <c r="E19" s="230"/>
      <c r="F19" s="230"/>
      <c r="G19" s="20"/>
      <c r="H19" s="230" t="s">
        <v>28</v>
      </c>
      <c r="I19" s="230"/>
      <c r="J19" s="230"/>
      <c r="K19" s="230"/>
      <c r="L19" s="254"/>
    </row>
    <row r="20" spans="1:19" ht="18" customHeight="1">
      <c r="A20" s="10"/>
      <c r="B20" s="230" t="s">
        <v>8</v>
      </c>
      <c r="C20" s="230"/>
      <c r="D20" s="230"/>
      <c r="E20" s="230"/>
      <c r="F20" s="230"/>
      <c r="G20" s="20"/>
      <c r="H20" s="230" t="s">
        <v>9</v>
      </c>
      <c r="I20" s="230"/>
      <c r="J20" s="230"/>
      <c r="K20" s="230"/>
      <c r="L20" s="254"/>
    </row>
    <row r="21" spans="1:19" ht="16.5" customHeight="1">
      <c r="A21" s="10"/>
      <c r="B21" s="230"/>
      <c r="C21" s="230"/>
      <c r="D21" s="230"/>
      <c r="E21" s="230"/>
      <c r="F21" s="230"/>
      <c r="G21" s="20"/>
      <c r="H21" s="230" t="s">
        <v>10</v>
      </c>
      <c r="I21" s="230"/>
      <c r="J21" s="230"/>
      <c r="K21" s="230"/>
      <c r="L21" s="254"/>
    </row>
    <row r="22" spans="1:19" ht="27" customHeight="1">
      <c r="A22" s="10"/>
      <c r="H22" s="17"/>
      <c r="I22" s="17"/>
      <c r="J22" s="17"/>
      <c r="K22" s="17"/>
      <c r="L22" s="18"/>
    </row>
    <row r="23" spans="1:19" ht="27" customHeight="1">
      <c r="A23" s="10"/>
      <c r="H23" s="17"/>
      <c r="I23" s="17"/>
      <c r="J23" s="17"/>
      <c r="K23" s="17"/>
      <c r="L23" s="18"/>
      <c r="O23" s="230"/>
      <c r="P23" s="230"/>
      <c r="Q23" s="230"/>
      <c r="R23" s="230"/>
      <c r="S23" s="230"/>
    </row>
    <row r="24" spans="1:19" ht="27.75" customHeight="1">
      <c r="A24" s="10"/>
      <c r="H24" s="17"/>
      <c r="I24" s="17"/>
      <c r="J24" s="17"/>
      <c r="K24" s="17"/>
      <c r="L24" s="18"/>
      <c r="O24" s="230"/>
      <c r="P24" s="230"/>
      <c r="Q24" s="230"/>
      <c r="R24" s="230"/>
      <c r="S24" s="230"/>
    </row>
    <row r="25" spans="1:19" s="19" customFormat="1" ht="29.25" customHeight="1">
      <c r="A25" s="10"/>
      <c r="B25" s="231" t="s">
        <v>29</v>
      </c>
      <c r="C25" s="231"/>
      <c r="D25" s="231"/>
      <c r="E25" s="231"/>
      <c r="F25" s="231"/>
      <c r="G25" s="1"/>
      <c r="H25" s="231" t="s">
        <v>11</v>
      </c>
      <c r="I25" s="231"/>
      <c r="J25" s="231"/>
      <c r="K25" s="231"/>
      <c r="L25" s="232"/>
      <c r="M25" s="1"/>
      <c r="O25" s="20"/>
      <c r="P25" s="20"/>
      <c r="Q25" s="20"/>
      <c r="R25" s="20"/>
      <c r="S25" s="20"/>
    </row>
    <row r="26" spans="1:19" ht="30" customHeight="1">
      <c r="A26" s="13"/>
      <c r="B26" s="250"/>
      <c r="C26" s="250"/>
      <c r="D26" s="250"/>
      <c r="E26" s="250"/>
      <c r="F26" s="250"/>
      <c r="G26" s="250"/>
      <c r="H26" s="250"/>
      <c r="I26" s="250"/>
      <c r="J26" s="250"/>
      <c r="K26" s="250"/>
      <c r="L26" s="251"/>
    </row>
    <row r="27" spans="1:19" ht="8.25" customHeight="1" thickBot="1">
      <c r="A27" s="14"/>
      <c r="B27" s="15"/>
      <c r="C27" s="15"/>
      <c r="D27" s="15"/>
      <c r="E27" s="15"/>
      <c r="F27" s="15"/>
      <c r="G27" s="15"/>
      <c r="H27" s="15"/>
      <c r="I27" s="15"/>
      <c r="J27" s="15"/>
      <c r="K27" s="15"/>
      <c r="L27" s="16"/>
    </row>
    <row r="28" spans="1:19" ht="18" thickTop="1">
      <c r="C28" s="22"/>
    </row>
    <row r="30" spans="1:19">
      <c r="A30" s="19"/>
      <c r="B30" s="21"/>
      <c r="C30" s="23"/>
      <c r="D30" s="23"/>
      <c r="E30" s="21"/>
      <c r="F30" s="21"/>
      <c r="G30" s="21"/>
      <c r="H30" s="21"/>
      <c r="I30" s="21"/>
      <c r="J30" s="21"/>
      <c r="K30" s="21"/>
      <c r="L30" s="21"/>
      <c r="M30" s="21"/>
    </row>
    <row r="32" spans="1:19">
      <c r="A32" s="9"/>
      <c r="B32" s="9"/>
      <c r="C32" s="24"/>
      <c r="D32" s="9"/>
      <c r="E32" s="9"/>
      <c r="F32" s="9"/>
      <c r="G32" s="9"/>
      <c r="H32" s="9"/>
      <c r="I32" s="9"/>
      <c r="J32" s="9"/>
      <c r="K32" s="9"/>
      <c r="L32" s="9"/>
      <c r="M32" s="9"/>
    </row>
    <row r="57" spans="12:12">
      <c r="L57" s="25"/>
    </row>
  </sheetData>
  <mergeCells count="29">
    <mergeCell ref="B11:C11"/>
    <mergeCell ref="D10:L10"/>
    <mergeCell ref="B26:L26"/>
    <mergeCell ref="H17:L17"/>
    <mergeCell ref="B20:F20"/>
    <mergeCell ref="H20:L20"/>
    <mergeCell ref="B21:F21"/>
    <mergeCell ref="H21:L21"/>
    <mergeCell ref="B17:F17"/>
    <mergeCell ref="B18:F18"/>
    <mergeCell ref="H18:L18"/>
    <mergeCell ref="B19:F19"/>
    <mergeCell ref="H19:L19"/>
    <mergeCell ref="A2:L2"/>
    <mergeCell ref="A3:L3"/>
    <mergeCell ref="O24:S24"/>
    <mergeCell ref="B25:F25"/>
    <mergeCell ref="H25:L25"/>
    <mergeCell ref="O23:S23"/>
    <mergeCell ref="B12:C12"/>
    <mergeCell ref="D12:L12"/>
    <mergeCell ref="B13:C13"/>
    <mergeCell ref="D13:L13"/>
    <mergeCell ref="B14:C14"/>
    <mergeCell ref="D14:L14"/>
    <mergeCell ref="B10:C10"/>
    <mergeCell ref="D11:L11"/>
    <mergeCell ref="B6:L6"/>
    <mergeCell ref="B7:L7"/>
  </mergeCells>
  <printOptions horizontalCentered="1"/>
  <pageMargins left="0.74803149606299202" right="0.23622047244094499" top="0.31496062992126" bottom="0" header="0.23622047244094499" footer="0"/>
  <pageSetup paperSize="9" scale="90" fitToHeight="0"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Spinner 1">
              <controlPr defaultSize="0" print="0" autoPict="0">
                <anchor>
                  <from>
                    <xdr:col>9</xdr:col>
                    <xdr:colOff>238125</xdr:colOff>
                    <xdr:row>0</xdr:row>
                    <xdr:rowOff>0</xdr:rowOff>
                  </from>
                  <to>
                    <xdr:col>10</xdr:col>
                    <xdr:colOff>190500</xdr:colOff>
                    <xdr:row>4</xdr:row>
                    <xdr:rowOff>47625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pageSetUpPr fitToPage="1"/>
  </sheetPr>
  <dimension ref="B1:Y27"/>
  <sheetViews>
    <sheetView view="pageBreakPreview" topLeftCell="A19" zoomScaleNormal="100" zoomScaleSheetLayoutView="100" workbookViewId="0">
      <selection activeCell="E10" sqref="E10:M10"/>
    </sheetView>
  </sheetViews>
  <sheetFormatPr defaultRowHeight="14.25"/>
  <cols>
    <col min="1" max="1" width="2.125" customWidth="1"/>
    <col min="2" max="2" width="1.625" customWidth="1"/>
    <col min="4" max="4" width="12.75" customWidth="1"/>
    <col min="13" max="13" width="6.75" customWidth="1"/>
    <col min="14" max="14" width="9.625" customWidth="1"/>
    <col min="17" max="17" width="67.625" customWidth="1"/>
  </cols>
  <sheetData>
    <row r="1" spans="2:25" ht="9" customHeight="1" thickBot="1"/>
    <row r="2" spans="2:25" ht="10.5" customHeight="1" thickTop="1">
      <c r="B2" s="126"/>
      <c r="C2" s="127"/>
      <c r="D2" s="127"/>
      <c r="E2" s="127"/>
      <c r="F2" s="127"/>
      <c r="G2" s="127"/>
      <c r="H2" s="127"/>
      <c r="I2" s="127"/>
      <c r="J2" s="127"/>
      <c r="K2" s="127"/>
      <c r="L2" s="127"/>
      <c r="M2" s="121"/>
    </row>
    <row r="3" spans="2:25" ht="16.5">
      <c r="B3" s="128"/>
      <c r="C3" s="260" t="s">
        <v>0</v>
      </c>
      <c r="D3" s="260"/>
      <c r="E3" s="260"/>
      <c r="F3" s="260"/>
      <c r="G3" s="260"/>
      <c r="H3" s="260"/>
      <c r="I3" s="260"/>
      <c r="J3" s="260"/>
      <c r="K3" s="260"/>
      <c r="L3" s="260"/>
      <c r="M3" s="261"/>
    </row>
    <row r="4" spans="2:25" ht="16.5">
      <c r="B4" s="128"/>
      <c r="C4" s="260" t="s">
        <v>1</v>
      </c>
      <c r="D4" s="260"/>
      <c r="E4" s="260"/>
      <c r="F4" s="260"/>
      <c r="G4" s="260"/>
      <c r="H4" s="260"/>
      <c r="I4" s="260"/>
      <c r="J4" s="260"/>
      <c r="K4" s="260"/>
      <c r="L4" s="260"/>
      <c r="M4" s="261"/>
    </row>
    <row r="5" spans="2:25" ht="11.25" customHeight="1">
      <c r="B5" s="128"/>
      <c r="C5" s="129"/>
      <c r="D5" s="129"/>
      <c r="E5" s="129"/>
      <c r="F5" s="129"/>
      <c r="G5" s="129"/>
      <c r="H5" s="129"/>
      <c r="I5" s="129"/>
      <c r="J5" s="129"/>
      <c r="K5" s="129"/>
      <c r="L5" s="129"/>
      <c r="M5" s="123"/>
    </row>
    <row r="6" spans="2:25" ht="5.25" customHeight="1">
      <c r="B6" s="128"/>
      <c r="C6" s="129"/>
      <c r="D6" s="129"/>
      <c r="E6" s="129"/>
      <c r="F6" s="129"/>
      <c r="G6" s="129"/>
      <c r="H6" s="129"/>
      <c r="I6" s="129"/>
      <c r="J6" s="129"/>
      <c r="K6" s="129"/>
      <c r="L6" s="129"/>
      <c r="M6" s="123"/>
    </row>
    <row r="7" spans="2:25" ht="39.950000000000003" customHeight="1">
      <c r="B7" s="128"/>
      <c r="C7" s="258" t="s">
        <v>5</v>
      </c>
      <c r="D7" s="258"/>
      <c r="E7" s="258"/>
      <c r="F7" s="258"/>
      <c r="G7" s="258"/>
      <c r="H7" s="258"/>
      <c r="I7" s="258"/>
      <c r="J7" s="258"/>
      <c r="K7" s="258"/>
      <c r="L7" s="258"/>
      <c r="M7" s="259"/>
    </row>
    <row r="8" spans="2:25" ht="39.950000000000003" customHeight="1">
      <c r="B8" s="128"/>
      <c r="C8" s="258" t="s">
        <v>125</v>
      </c>
      <c r="D8" s="258"/>
      <c r="E8" s="258"/>
      <c r="F8" s="258"/>
      <c r="G8" s="258"/>
      <c r="H8" s="258"/>
      <c r="I8" s="258"/>
      <c r="J8" s="258"/>
      <c r="K8" s="258"/>
      <c r="L8" s="258"/>
      <c r="M8" s="259"/>
    </row>
    <row r="9" spans="2:25" ht="24.75" customHeight="1">
      <c r="B9" s="128"/>
      <c r="C9" s="129"/>
      <c r="D9" s="129"/>
      <c r="E9" s="129"/>
      <c r="F9" s="129"/>
      <c r="G9" s="129"/>
      <c r="H9" s="129"/>
      <c r="I9" s="129"/>
      <c r="J9" s="129"/>
      <c r="K9" s="129"/>
      <c r="L9" s="129"/>
      <c r="M9" s="123"/>
    </row>
    <row r="10" spans="2:25" ht="150" customHeight="1">
      <c r="B10" s="128"/>
      <c r="C10" s="130" t="s">
        <v>122</v>
      </c>
      <c r="D10" s="131"/>
      <c r="E10" s="256" t="str">
        <f>Q10</f>
        <v>Cung cấp dịch vụ sự nghiệp công Công tác Quản lý, bảo trì hệ thống chiếu sáng đô thị thuộc địa bàn 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0" s="256"/>
      <c r="G10" s="256"/>
      <c r="H10" s="256"/>
      <c r="I10" s="256"/>
      <c r="J10" s="256"/>
      <c r="K10" s="256"/>
      <c r="L10" s="256"/>
      <c r="M10" s="257"/>
      <c r="O10" s="174" t="s">
        <v>122</v>
      </c>
      <c r="P10" s="165"/>
      <c r="Q10" s="166" t="s">
        <v>124</v>
      </c>
      <c r="R10" s="165"/>
    </row>
    <row r="11" spans="2:25" ht="150" customHeight="1">
      <c r="B11" s="128"/>
      <c r="C11" s="130" t="s">
        <v>3</v>
      </c>
      <c r="D11" s="131"/>
      <c r="E11" s="256" t="str">
        <f>Q11</f>
        <v>Phi tư vấn Công tác Quản lý, bảo trì hệ thống chiếu sáng đô thị thuộc địa bàn phường Xóm Chiếu, phường Khánh Hội, phường Vĩnh Hội, phường Bình Tây, phường Bình Tiên, phường Bình Phú, phường Phú Lâm, phường Tân Thuận, phường Phú Thuận, phường Tân Mỹ,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1" s="256"/>
      <c r="G11" s="256"/>
      <c r="H11" s="256"/>
      <c r="I11" s="256"/>
      <c r="J11" s="256"/>
      <c r="K11" s="256"/>
      <c r="L11" s="256"/>
      <c r="M11" s="257"/>
      <c r="O11" s="174" t="s">
        <v>3</v>
      </c>
      <c r="P11" s="165"/>
      <c r="Q11" s="167" t="s">
        <v>108</v>
      </c>
      <c r="R11" s="165"/>
    </row>
    <row r="12" spans="2:25" ht="150" customHeight="1">
      <c r="B12" s="128"/>
      <c r="C12" s="130" t="s">
        <v>4</v>
      </c>
      <c r="D12" s="131"/>
      <c r="E12" s="256" t="str">
        <f>Q12</f>
        <v>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2" s="256"/>
      <c r="G12" s="256"/>
      <c r="H12" s="256"/>
      <c r="I12" s="256"/>
      <c r="J12" s="256"/>
      <c r="K12" s="256"/>
      <c r="L12" s="256"/>
      <c r="M12" s="257"/>
      <c r="O12" s="175" t="s">
        <v>4</v>
      </c>
      <c r="P12" s="165"/>
      <c r="Q12" s="166" t="s">
        <v>123</v>
      </c>
      <c r="R12" s="165"/>
    </row>
    <row r="13" spans="2:25" ht="27.75" customHeight="1">
      <c r="B13" s="128"/>
      <c r="C13" s="135" t="s">
        <v>126</v>
      </c>
      <c r="D13" s="135"/>
      <c r="E13" s="135" t="str">
        <f>"Quản lý, vận hành hệ thống chiếu sáng đô thị thực hiện tháng "&amp;O13&amp; " năm 2026."</f>
        <v>Quản lý, vận hành hệ thống chiếu sáng đô thị thực hiện tháng 07 năm 2026.</v>
      </c>
      <c r="F13" s="135"/>
      <c r="G13" s="135"/>
      <c r="H13" s="135"/>
      <c r="I13" s="135"/>
      <c r="J13" s="135"/>
      <c r="K13" s="135"/>
      <c r="L13" s="135"/>
      <c r="M13" s="136"/>
      <c r="N13" s="173" t="s">
        <v>119</v>
      </c>
      <c r="O13" s="207" t="str">
        <f>'BÌA TỔNG-G2'!O7</f>
        <v>07</v>
      </c>
      <c r="P13" s="165"/>
      <c r="Q13" s="165"/>
      <c r="R13" s="165"/>
    </row>
    <row r="14" spans="2:25" ht="58.5" customHeight="1">
      <c r="B14" s="128"/>
      <c r="C14" s="131"/>
      <c r="D14" s="131"/>
      <c r="E14" s="263" t="str">
        <f>Q14</f>
        <v>Địa bàn: phường Chánh Hưng, phường Phú Định, phường Bình Đông - Thành phố Hồ Chí Minh.</v>
      </c>
      <c r="F14" s="263"/>
      <c r="G14" s="263"/>
      <c r="H14" s="263"/>
      <c r="I14" s="263"/>
      <c r="J14" s="263"/>
      <c r="K14" s="263"/>
      <c r="L14" s="263"/>
      <c r="M14" s="264"/>
      <c r="P14" s="165"/>
      <c r="Q14" s="166" t="s">
        <v>148</v>
      </c>
      <c r="R14" s="165"/>
    </row>
    <row r="15" spans="2:25" ht="21" customHeight="1">
      <c r="B15" s="122"/>
      <c r="C15" s="135" t="s">
        <v>12</v>
      </c>
      <c r="D15" s="135"/>
      <c r="E15" s="265" t="str">
        <f>Q15</f>
        <v>Trung tâm Quản lý Giao thông và Hạ tầng kỹ thuật TP.HCM</v>
      </c>
      <c r="F15" s="265"/>
      <c r="G15" s="265"/>
      <c r="H15" s="265"/>
      <c r="I15" s="265"/>
      <c r="J15" s="265"/>
      <c r="K15" s="265"/>
      <c r="L15" s="265"/>
      <c r="M15" s="266"/>
      <c r="P15" s="168" t="s">
        <v>138</v>
      </c>
      <c r="Q15" s="169" t="s">
        <v>13</v>
      </c>
      <c r="R15" s="169"/>
      <c r="S15" s="135"/>
      <c r="T15" s="135"/>
      <c r="U15" s="135"/>
      <c r="V15" s="135"/>
      <c r="W15" s="135"/>
      <c r="X15" s="135"/>
      <c r="Y15" s="164"/>
    </row>
    <row r="16" spans="2:25" ht="23.25" customHeight="1">
      <c r="B16" s="122"/>
      <c r="C16" s="135" t="s">
        <v>14</v>
      </c>
      <c r="D16" s="135"/>
      <c r="E16" s="135" t="str">
        <f>Q18</f>
        <v>Liên danh Chiếu sáng công cộng TP.HCM - Kỹ thuật Điện Phú Thọ</v>
      </c>
      <c r="F16" s="135"/>
      <c r="G16" s="135"/>
      <c r="H16" s="135"/>
      <c r="I16" s="135"/>
      <c r="J16" s="135"/>
      <c r="K16" s="135"/>
      <c r="L16" s="135"/>
      <c r="M16" s="136"/>
      <c r="P16" s="170" t="s">
        <v>138</v>
      </c>
      <c r="Q16" s="165" t="s">
        <v>149</v>
      </c>
      <c r="R16" s="165"/>
    </row>
    <row r="17" spans="2:18" ht="24" customHeight="1">
      <c r="B17" s="122"/>
      <c r="C17" s="135" t="s">
        <v>15</v>
      </c>
      <c r="D17" s="135"/>
      <c r="E17" s="265" t="s">
        <v>16</v>
      </c>
      <c r="F17" s="265"/>
      <c r="G17" s="265"/>
      <c r="H17" s="265"/>
      <c r="I17" s="265"/>
      <c r="J17" s="265"/>
      <c r="K17" s="265"/>
      <c r="L17" s="265"/>
      <c r="M17" s="266"/>
      <c r="P17" s="170"/>
      <c r="Q17" s="165"/>
      <c r="R17" s="165"/>
    </row>
    <row r="18" spans="2:18" ht="18" customHeight="1">
      <c r="B18" s="122"/>
      <c r="C18" s="135"/>
      <c r="D18" s="135"/>
      <c r="E18" s="137"/>
      <c r="F18" s="137"/>
      <c r="G18" s="137"/>
      <c r="H18" s="137"/>
      <c r="I18" s="137"/>
      <c r="J18" s="137"/>
      <c r="K18" s="267"/>
      <c r="L18" s="267"/>
      <c r="M18" s="138"/>
      <c r="P18" s="168" t="s">
        <v>139</v>
      </c>
      <c r="Q18" s="171" t="s">
        <v>109</v>
      </c>
      <c r="R18" s="165"/>
    </row>
    <row r="19" spans="2:18" ht="32.25" customHeight="1">
      <c r="B19" s="122"/>
      <c r="C19" s="159" t="s">
        <v>17</v>
      </c>
      <c r="D19" s="159"/>
      <c r="E19" s="159"/>
      <c r="F19" s="159"/>
      <c r="G19" s="159"/>
      <c r="H19" s="159"/>
      <c r="I19" s="159"/>
      <c r="J19" s="159"/>
      <c r="K19" s="268" t="s">
        <v>18</v>
      </c>
      <c r="L19" s="268"/>
      <c r="M19" s="123"/>
      <c r="O19" s="170" t="s">
        <v>15</v>
      </c>
      <c r="P19" s="129"/>
      <c r="Q19" s="172" t="s">
        <v>16</v>
      </c>
      <c r="R19" s="165"/>
    </row>
    <row r="20" spans="2:18" ht="15" customHeight="1">
      <c r="B20" s="122"/>
      <c r="C20" s="132" t="str">
        <f>Q16</f>
        <v>Ông Huỳnh Phước Hải</v>
      </c>
      <c r="D20" s="132"/>
      <c r="E20" s="132"/>
      <c r="F20" s="132" t="s">
        <v>19</v>
      </c>
      <c r="G20" s="132"/>
      <c r="H20" s="132"/>
      <c r="I20" s="132"/>
      <c r="J20" s="132"/>
      <c r="K20" s="267" t="s">
        <v>127</v>
      </c>
      <c r="L20" s="267"/>
      <c r="M20" s="123"/>
      <c r="P20" s="170"/>
      <c r="Q20" s="165"/>
      <c r="R20" s="165"/>
    </row>
    <row r="21" spans="2:18" ht="20.25" customHeight="1">
      <c r="B21" s="122"/>
      <c r="C21" s="132" t="s">
        <v>20</v>
      </c>
      <c r="D21" s="132"/>
      <c r="E21" s="132"/>
      <c r="F21" s="132"/>
      <c r="G21" s="132"/>
      <c r="H21" s="132"/>
      <c r="I21" s="132"/>
      <c r="J21" s="132"/>
      <c r="K21" s="132"/>
      <c r="L21" s="132"/>
      <c r="M21" s="123"/>
      <c r="P21" s="170" t="s">
        <v>139</v>
      </c>
      <c r="Q21" s="165" t="s">
        <v>107</v>
      </c>
      <c r="R21" s="165"/>
    </row>
    <row r="22" spans="2:18" ht="24.75" customHeight="1">
      <c r="B22" s="122"/>
      <c r="C22" s="132" t="str">
        <f>Q21</f>
        <v>Ông Nguyễn Thành Nam</v>
      </c>
      <c r="D22" s="132"/>
      <c r="E22" s="132"/>
      <c r="F22" s="132" t="s">
        <v>21</v>
      </c>
      <c r="G22" s="132"/>
      <c r="H22" s="132"/>
      <c r="I22" s="132"/>
      <c r="J22" s="132"/>
      <c r="K22" s="267" t="s">
        <v>127</v>
      </c>
      <c r="L22" s="267"/>
      <c r="M22" s="123"/>
      <c r="P22" s="165"/>
      <c r="Q22" s="165" t="s">
        <v>150</v>
      </c>
      <c r="R22" s="165"/>
    </row>
    <row r="23" spans="2:18" ht="50.1" customHeight="1">
      <c r="B23" s="122"/>
      <c r="C23" s="267" t="s">
        <v>22</v>
      </c>
      <c r="D23" s="267"/>
      <c r="E23" s="267"/>
      <c r="F23" s="267"/>
      <c r="G23" s="267"/>
      <c r="H23" s="267"/>
      <c r="I23" s="267"/>
      <c r="J23" s="267"/>
      <c r="K23" s="267"/>
      <c r="L23" s="267"/>
      <c r="M23" s="270"/>
      <c r="P23" s="165"/>
      <c r="Q23" s="165"/>
      <c r="R23" s="165"/>
    </row>
    <row r="24" spans="2:18" ht="16.5">
      <c r="B24" s="269" t="s">
        <v>23</v>
      </c>
      <c r="C24" s="267"/>
      <c r="D24" s="267"/>
      <c r="E24" s="267"/>
      <c r="F24" s="267"/>
      <c r="G24" s="267"/>
      <c r="H24" s="267"/>
      <c r="I24" s="267"/>
      <c r="J24" s="267"/>
      <c r="K24" s="267"/>
      <c r="L24" s="267"/>
      <c r="M24" s="270"/>
      <c r="P24" s="165"/>
      <c r="Q24" s="165"/>
      <c r="R24" s="165"/>
    </row>
    <row r="25" spans="2:18" ht="6.75" customHeight="1" thickBot="1">
      <c r="B25" s="124"/>
      <c r="C25" s="133"/>
      <c r="D25" s="133"/>
      <c r="E25" s="133"/>
      <c r="F25" s="133"/>
      <c r="G25" s="133"/>
      <c r="H25" s="133"/>
      <c r="I25" s="133"/>
      <c r="J25" s="133"/>
      <c r="K25" s="133"/>
      <c r="L25" s="134"/>
      <c r="M25" s="125"/>
      <c r="P25" s="165"/>
      <c r="Q25" s="165"/>
      <c r="R25" s="165"/>
    </row>
    <row r="26" spans="2:18" ht="13.5" customHeight="1" thickTop="1">
      <c r="B26" s="271"/>
      <c r="C26" s="271"/>
      <c r="D26" s="271"/>
      <c r="E26" s="271"/>
      <c r="F26" s="271"/>
      <c r="G26" s="271"/>
      <c r="H26" s="271"/>
      <c r="I26" s="271"/>
      <c r="J26" s="271"/>
      <c r="K26" s="271"/>
      <c r="L26" s="271"/>
      <c r="M26" s="271"/>
    </row>
    <row r="27" spans="2:18" ht="21" customHeight="1">
      <c r="B27" s="262" t="str">
        <f>"THÁNG "&amp;O13&amp;" NĂM 2026"</f>
        <v>THÁNG 07 NĂM 2026</v>
      </c>
      <c r="C27" s="262"/>
      <c r="D27" s="262"/>
      <c r="E27" s="262"/>
      <c r="F27" s="262"/>
      <c r="G27" s="262"/>
      <c r="H27" s="262"/>
      <c r="I27" s="262"/>
      <c r="J27" s="262"/>
      <c r="K27" s="262"/>
      <c r="L27" s="262"/>
      <c r="M27" s="262"/>
    </row>
  </sheetData>
  <mergeCells count="18">
    <mergeCell ref="B27:M27"/>
    <mergeCell ref="E12:M12"/>
    <mergeCell ref="E14:M14"/>
    <mergeCell ref="E15:M15"/>
    <mergeCell ref="E17:M17"/>
    <mergeCell ref="K18:L18"/>
    <mergeCell ref="K19:L19"/>
    <mergeCell ref="K20:L20"/>
    <mergeCell ref="K22:L22"/>
    <mergeCell ref="B24:M24"/>
    <mergeCell ref="B26:M26"/>
    <mergeCell ref="C23:M23"/>
    <mergeCell ref="E11:M11"/>
    <mergeCell ref="E10:M10"/>
    <mergeCell ref="C7:M7"/>
    <mergeCell ref="C8:M8"/>
    <mergeCell ref="C3:M3"/>
    <mergeCell ref="C4:M4"/>
  </mergeCells>
  <pageMargins left="0.7" right="0.2" top="0.3" bottom="0.2" header="0.3" footer="0.3"/>
  <pageSetup paperSize="9" scale="84"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pageSetUpPr fitToPage="1"/>
  </sheetPr>
  <dimension ref="A1:L22"/>
  <sheetViews>
    <sheetView view="pageBreakPreview" topLeftCell="A14" zoomScale="85" zoomScaleNormal="100" zoomScaleSheetLayoutView="85" workbookViewId="0">
      <selection activeCell="D11" sqref="D11"/>
    </sheetView>
  </sheetViews>
  <sheetFormatPr defaultRowHeight="15"/>
  <cols>
    <col min="1" max="1" width="5.375" style="27" customWidth="1"/>
    <col min="2" max="2" width="26.375" style="27" customWidth="1"/>
    <col min="3" max="3" width="32" style="27" customWidth="1"/>
    <col min="4" max="4" width="13.25" style="27" customWidth="1"/>
    <col min="5" max="5" width="28.75" style="27" customWidth="1"/>
    <col min="6" max="6" width="1.75" style="27" customWidth="1"/>
    <col min="7" max="8" width="9.125" style="27"/>
    <col min="9" max="9" width="30.25" style="27" customWidth="1"/>
    <col min="10" max="10" width="33.125" style="27" customWidth="1"/>
    <col min="11" max="11" width="15" style="27" customWidth="1"/>
    <col min="12" max="12" width="26.875" style="27" customWidth="1"/>
    <col min="13" max="256" width="9.125" style="27"/>
    <col min="257" max="257" width="5.375" style="27" customWidth="1"/>
    <col min="258" max="258" width="26.375" style="27" customWidth="1"/>
    <col min="259" max="259" width="32" style="27" customWidth="1"/>
    <col min="260" max="260" width="13.25" style="27" customWidth="1"/>
    <col min="261" max="261" width="28.75" style="27" customWidth="1"/>
    <col min="262" max="262" width="1.75" style="27" customWidth="1"/>
    <col min="263" max="264" width="9.125" style="27"/>
    <col min="265" max="265" width="30.25" style="27" customWidth="1"/>
    <col min="266" max="266" width="33.125" style="27" customWidth="1"/>
    <col min="267" max="267" width="15" style="27" customWidth="1"/>
    <col min="268" max="268" width="26.875" style="27" customWidth="1"/>
    <col min="269" max="512" width="9.125" style="27"/>
    <col min="513" max="513" width="5.375" style="27" customWidth="1"/>
    <col min="514" max="514" width="26.375" style="27" customWidth="1"/>
    <col min="515" max="515" width="32" style="27" customWidth="1"/>
    <col min="516" max="516" width="13.25" style="27" customWidth="1"/>
    <col min="517" max="517" width="28.75" style="27" customWidth="1"/>
    <col min="518" max="518" width="1.75" style="27" customWidth="1"/>
    <col min="519" max="520" width="9.125" style="27"/>
    <col min="521" max="521" width="30.25" style="27" customWidth="1"/>
    <col min="522" max="522" width="33.125" style="27" customWidth="1"/>
    <col min="523" max="523" width="15" style="27" customWidth="1"/>
    <col min="524" max="524" width="26.875" style="27" customWidth="1"/>
    <col min="525" max="768" width="9.125" style="27"/>
    <col min="769" max="769" width="5.375" style="27" customWidth="1"/>
    <col min="770" max="770" width="26.375" style="27" customWidth="1"/>
    <col min="771" max="771" width="32" style="27" customWidth="1"/>
    <col min="772" max="772" width="13.25" style="27" customWidth="1"/>
    <col min="773" max="773" width="28.75" style="27" customWidth="1"/>
    <col min="774" max="774" width="1.75" style="27" customWidth="1"/>
    <col min="775" max="776" width="9.125" style="27"/>
    <col min="777" max="777" width="30.25" style="27" customWidth="1"/>
    <col min="778" max="778" width="33.125" style="27" customWidth="1"/>
    <col min="779" max="779" width="15" style="27" customWidth="1"/>
    <col min="780" max="780" width="26.875" style="27" customWidth="1"/>
    <col min="781" max="1024" width="9.125" style="27"/>
    <col min="1025" max="1025" width="5.375" style="27" customWidth="1"/>
    <col min="1026" max="1026" width="26.375" style="27" customWidth="1"/>
    <col min="1027" max="1027" width="32" style="27" customWidth="1"/>
    <col min="1028" max="1028" width="13.25" style="27" customWidth="1"/>
    <col min="1029" max="1029" width="28.75" style="27" customWidth="1"/>
    <col min="1030" max="1030" width="1.75" style="27" customWidth="1"/>
    <col min="1031" max="1032" width="9.125" style="27"/>
    <col min="1033" max="1033" width="30.25" style="27" customWidth="1"/>
    <col min="1034" max="1034" width="33.125" style="27" customWidth="1"/>
    <col min="1035" max="1035" width="15" style="27" customWidth="1"/>
    <col min="1036" max="1036" width="26.875" style="27" customWidth="1"/>
    <col min="1037" max="1280" width="9.125" style="27"/>
    <col min="1281" max="1281" width="5.375" style="27" customWidth="1"/>
    <col min="1282" max="1282" width="26.375" style="27" customWidth="1"/>
    <col min="1283" max="1283" width="32" style="27" customWidth="1"/>
    <col min="1284" max="1284" width="13.25" style="27" customWidth="1"/>
    <col min="1285" max="1285" width="28.75" style="27" customWidth="1"/>
    <col min="1286" max="1286" width="1.75" style="27" customWidth="1"/>
    <col min="1287" max="1288" width="9.125" style="27"/>
    <col min="1289" max="1289" width="30.25" style="27" customWidth="1"/>
    <col min="1290" max="1290" width="33.125" style="27" customWidth="1"/>
    <col min="1291" max="1291" width="15" style="27" customWidth="1"/>
    <col min="1292" max="1292" width="26.875" style="27" customWidth="1"/>
    <col min="1293" max="1536" width="9.125" style="27"/>
    <col min="1537" max="1537" width="5.375" style="27" customWidth="1"/>
    <col min="1538" max="1538" width="26.375" style="27" customWidth="1"/>
    <col min="1539" max="1539" width="32" style="27" customWidth="1"/>
    <col min="1540" max="1540" width="13.25" style="27" customWidth="1"/>
    <col min="1541" max="1541" width="28.75" style="27" customWidth="1"/>
    <col min="1542" max="1542" width="1.75" style="27" customWidth="1"/>
    <col min="1543" max="1544" width="9.125" style="27"/>
    <col min="1545" max="1545" width="30.25" style="27" customWidth="1"/>
    <col min="1546" max="1546" width="33.125" style="27" customWidth="1"/>
    <col min="1547" max="1547" width="15" style="27" customWidth="1"/>
    <col min="1548" max="1548" width="26.875" style="27" customWidth="1"/>
    <col min="1549" max="1792" width="9.125" style="27"/>
    <col min="1793" max="1793" width="5.375" style="27" customWidth="1"/>
    <col min="1794" max="1794" width="26.375" style="27" customWidth="1"/>
    <col min="1795" max="1795" width="32" style="27" customWidth="1"/>
    <col min="1796" max="1796" width="13.25" style="27" customWidth="1"/>
    <col min="1797" max="1797" width="28.75" style="27" customWidth="1"/>
    <col min="1798" max="1798" width="1.75" style="27" customWidth="1"/>
    <col min="1799" max="1800" width="9.125" style="27"/>
    <col min="1801" max="1801" width="30.25" style="27" customWidth="1"/>
    <col min="1802" max="1802" width="33.125" style="27" customWidth="1"/>
    <col min="1803" max="1803" width="15" style="27" customWidth="1"/>
    <col min="1804" max="1804" width="26.875" style="27" customWidth="1"/>
    <col min="1805" max="2048" width="9.125" style="27"/>
    <col min="2049" max="2049" width="5.375" style="27" customWidth="1"/>
    <col min="2050" max="2050" width="26.375" style="27" customWidth="1"/>
    <col min="2051" max="2051" width="32" style="27" customWidth="1"/>
    <col min="2052" max="2052" width="13.25" style="27" customWidth="1"/>
    <col min="2053" max="2053" width="28.75" style="27" customWidth="1"/>
    <col min="2054" max="2054" width="1.75" style="27" customWidth="1"/>
    <col min="2055" max="2056" width="9.125" style="27"/>
    <col min="2057" max="2057" width="30.25" style="27" customWidth="1"/>
    <col min="2058" max="2058" width="33.125" style="27" customWidth="1"/>
    <col min="2059" max="2059" width="15" style="27" customWidth="1"/>
    <col min="2060" max="2060" width="26.875" style="27" customWidth="1"/>
    <col min="2061" max="2304" width="9.125" style="27"/>
    <col min="2305" max="2305" width="5.375" style="27" customWidth="1"/>
    <col min="2306" max="2306" width="26.375" style="27" customWidth="1"/>
    <col min="2307" max="2307" width="32" style="27" customWidth="1"/>
    <col min="2308" max="2308" width="13.25" style="27" customWidth="1"/>
    <col min="2309" max="2309" width="28.75" style="27" customWidth="1"/>
    <col min="2310" max="2310" width="1.75" style="27" customWidth="1"/>
    <col min="2311" max="2312" width="9.125" style="27"/>
    <col min="2313" max="2313" width="30.25" style="27" customWidth="1"/>
    <col min="2314" max="2314" width="33.125" style="27" customWidth="1"/>
    <col min="2315" max="2315" width="15" style="27" customWidth="1"/>
    <col min="2316" max="2316" width="26.875" style="27" customWidth="1"/>
    <col min="2317" max="2560" width="9.125" style="27"/>
    <col min="2561" max="2561" width="5.375" style="27" customWidth="1"/>
    <col min="2562" max="2562" width="26.375" style="27" customWidth="1"/>
    <col min="2563" max="2563" width="32" style="27" customWidth="1"/>
    <col min="2564" max="2564" width="13.25" style="27" customWidth="1"/>
    <col min="2565" max="2565" width="28.75" style="27" customWidth="1"/>
    <col min="2566" max="2566" width="1.75" style="27" customWidth="1"/>
    <col min="2567" max="2568" width="9.125" style="27"/>
    <col min="2569" max="2569" width="30.25" style="27" customWidth="1"/>
    <col min="2570" max="2570" width="33.125" style="27" customWidth="1"/>
    <col min="2571" max="2571" width="15" style="27" customWidth="1"/>
    <col min="2572" max="2572" width="26.875" style="27" customWidth="1"/>
    <col min="2573" max="2816" width="9.125" style="27"/>
    <col min="2817" max="2817" width="5.375" style="27" customWidth="1"/>
    <col min="2818" max="2818" width="26.375" style="27" customWidth="1"/>
    <col min="2819" max="2819" width="32" style="27" customWidth="1"/>
    <col min="2820" max="2820" width="13.25" style="27" customWidth="1"/>
    <col min="2821" max="2821" width="28.75" style="27" customWidth="1"/>
    <col min="2822" max="2822" width="1.75" style="27" customWidth="1"/>
    <col min="2823" max="2824" width="9.125" style="27"/>
    <col min="2825" max="2825" width="30.25" style="27" customWidth="1"/>
    <col min="2826" max="2826" width="33.125" style="27" customWidth="1"/>
    <col min="2827" max="2827" width="15" style="27" customWidth="1"/>
    <col min="2828" max="2828" width="26.875" style="27" customWidth="1"/>
    <col min="2829" max="3072" width="9.125" style="27"/>
    <col min="3073" max="3073" width="5.375" style="27" customWidth="1"/>
    <col min="3074" max="3074" width="26.375" style="27" customWidth="1"/>
    <col min="3075" max="3075" width="32" style="27" customWidth="1"/>
    <col min="3076" max="3076" width="13.25" style="27" customWidth="1"/>
    <col min="3077" max="3077" width="28.75" style="27" customWidth="1"/>
    <col min="3078" max="3078" width="1.75" style="27" customWidth="1"/>
    <col min="3079" max="3080" width="9.125" style="27"/>
    <col min="3081" max="3081" width="30.25" style="27" customWidth="1"/>
    <col min="3082" max="3082" width="33.125" style="27" customWidth="1"/>
    <col min="3083" max="3083" width="15" style="27" customWidth="1"/>
    <col min="3084" max="3084" width="26.875" style="27" customWidth="1"/>
    <col min="3085" max="3328" width="9.125" style="27"/>
    <col min="3329" max="3329" width="5.375" style="27" customWidth="1"/>
    <col min="3330" max="3330" width="26.375" style="27" customWidth="1"/>
    <col min="3331" max="3331" width="32" style="27" customWidth="1"/>
    <col min="3332" max="3332" width="13.25" style="27" customWidth="1"/>
    <col min="3333" max="3333" width="28.75" style="27" customWidth="1"/>
    <col min="3334" max="3334" width="1.75" style="27" customWidth="1"/>
    <col min="3335" max="3336" width="9.125" style="27"/>
    <col min="3337" max="3337" width="30.25" style="27" customWidth="1"/>
    <col min="3338" max="3338" width="33.125" style="27" customWidth="1"/>
    <col min="3339" max="3339" width="15" style="27" customWidth="1"/>
    <col min="3340" max="3340" width="26.875" style="27" customWidth="1"/>
    <col min="3341" max="3584" width="9.125" style="27"/>
    <col min="3585" max="3585" width="5.375" style="27" customWidth="1"/>
    <col min="3586" max="3586" width="26.375" style="27" customWidth="1"/>
    <col min="3587" max="3587" width="32" style="27" customWidth="1"/>
    <col min="3588" max="3588" width="13.25" style="27" customWidth="1"/>
    <col min="3589" max="3589" width="28.75" style="27" customWidth="1"/>
    <col min="3590" max="3590" width="1.75" style="27" customWidth="1"/>
    <col min="3591" max="3592" width="9.125" style="27"/>
    <col min="3593" max="3593" width="30.25" style="27" customWidth="1"/>
    <col min="3594" max="3594" width="33.125" style="27" customWidth="1"/>
    <col min="3595" max="3595" width="15" style="27" customWidth="1"/>
    <col min="3596" max="3596" width="26.875" style="27" customWidth="1"/>
    <col min="3597" max="3840" width="9.125" style="27"/>
    <col min="3841" max="3841" width="5.375" style="27" customWidth="1"/>
    <col min="3842" max="3842" width="26.375" style="27" customWidth="1"/>
    <col min="3843" max="3843" width="32" style="27" customWidth="1"/>
    <col min="3844" max="3844" width="13.25" style="27" customWidth="1"/>
    <col min="3845" max="3845" width="28.75" style="27" customWidth="1"/>
    <col min="3846" max="3846" width="1.75" style="27" customWidth="1"/>
    <col min="3847" max="3848" width="9.125" style="27"/>
    <col min="3849" max="3849" width="30.25" style="27" customWidth="1"/>
    <col min="3850" max="3850" width="33.125" style="27" customWidth="1"/>
    <col min="3851" max="3851" width="15" style="27" customWidth="1"/>
    <col min="3852" max="3852" width="26.875" style="27" customWidth="1"/>
    <col min="3853" max="4096" width="9.125" style="27"/>
    <col min="4097" max="4097" width="5.375" style="27" customWidth="1"/>
    <col min="4098" max="4098" width="26.375" style="27" customWidth="1"/>
    <col min="4099" max="4099" width="32" style="27" customWidth="1"/>
    <col min="4100" max="4100" width="13.25" style="27" customWidth="1"/>
    <col min="4101" max="4101" width="28.75" style="27" customWidth="1"/>
    <col min="4102" max="4102" width="1.75" style="27" customWidth="1"/>
    <col min="4103" max="4104" width="9.125" style="27"/>
    <col min="4105" max="4105" width="30.25" style="27" customWidth="1"/>
    <col min="4106" max="4106" width="33.125" style="27" customWidth="1"/>
    <col min="4107" max="4107" width="15" style="27" customWidth="1"/>
    <col min="4108" max="4108" width="26.875" style="27" customWidth="1"/>
    <col min="4109" max="4352" width="9.125" style="27"/>
    <col min="4353" max="4353" width="5.375" style="27" customWidth="1"/>
    <col min="4354" max="4354" width="26.375" style="27" customWidth="1"/>
    <col min="4355" max="4355" width="32" style="27" customWidth="1"/>
    <col min="4356" max="4356" width="13.25" style="27" customWidth="1"/>
    <col min="4357" max="4357" width="28.75" style="27" customWidth="1"/>
    <col min="4358" max="4358" width="1.75" style="27" customWidth="1"/>
    <col min="4359" max="4360" width="9.125" style="27"/>
    <col min="4361" max="4361" width="30.25" style="27" customWidth="1"/>
    <col min="4362" max="4362" width="33.125" style="27" customWidth="1"/>
    <col min="4363" max="4363" width="15" style="27" customWidth="1"/>
    <col min="4364" max="4364" width="26.875" style="27" customWidth="1"/>
    <col min="4365" max="4608" width="9.125" style="27"/>
    <col min="4609" max="4609" width="5.375" style="27" customWidth="1"/>
    <col min="4610" max="4610" width="26.375" style="27" customWidth="1"/>
    <col min="4611" max="4611" width="32" style="27" customWidth="1"/>
    <col min="4612" max="4612" width="13.25" style="27" customWidth="1"/>
    <col min="4613" max="4613" width="28.75" style="27" customWidth="1"/>
    <col min="4614" max="4614" width="1.75" style="27" customWidth="1"/>
    <col min="4615" max="4616" width="9.125" style="27"/>
    <col min="4617" max="4617" width="30.25" style="27" customWidth="1"/>
    <col min="4618" max="4618" width="33.125" style="27" customWidth="1"/>
    <col min="4619" max="4619" width="15" style="27" customWidth="1"/>
    <col min="4620" max="4620" width="26.875" style="27" customWidth="1"/>
    <col min="4621" max="4864" width="9.125" style="27"/>
    <col min="4865" max="4865" width="5.375" style="27" customWidth="1"/>
    <col min="4866" max="4866" width="26.375" style="27" customWidth="1"/>
    <col min="4867" max="4867" width="32" style="27" customWidth="1"/>
    <col min="4868" max="4868" width="13.25" style="27" customWidth="1"/>
    <col min="4869" max="4869" width="28.75" style="27" customWidth="1"/>
    <col min="4870" max="4870" width="1.75" style="27" customWidth="1"/>
    <col min="4871" max="4872" width="9.125" style="27"/>
    <col min="4873" max="4873" width="30.25" style="27" customWidth="1"/>
    <col min="4874" max="4874" width="33.125" style="27" customWidth="1"/>
    <col min="4875" max="4875" width="15" style="27" customWidth="1"/>
    <col min="4876" max="4876" width="26.875" style="27" customWidth="1"/>
    <col min="4877" max="5120" width="9.125" style="27"/>
    <col min="5121" max="5121" width="5.375" style="27" customWidth="1"/>
    <col min="5122" max="5122" width="26.375" style="27" customWidth="1"/>
    <col min="5123" max="5123" width="32" style="27" customWidth="1"/>
    <col min="5124" max="5124" width="13.25" style="27" customWidth="1"/>
    <col min="5125" max="5125" width="28.75" style="27" customWidth="1"/>
    <col min="5126" max="5126" width="1.75" style="27" customWidth="1"/>
    <col min="5127" max="5128" width="9.125" style="27"/>
    <col min="5129" max="5129" width="30.25" style="27" customWidth="1"/>
    <col min="5130" max="5130" width="33.125" style="27" customWidth="1"/>
    <col min="5131" max="5131" width="15" style="27" customWidth="1"/>
    <col min="5132" max="5132" width="26.875" style="27" customWidth="1"/>
    <col min="5133" max="5376" width="9.125" style="27"/>
    <col min="5377" max="5377" width="5.375" style="27" customWidth="1"/>
    <col min="5378" max="5378" width="26.375" style="27" customWidth="1"/>
    <col min="5379" max="5379" width="32" style="27" customWidth="1"/>
    <col min="5380" max="5380" width="13.25" style="27" customWidth="1"/>
    <col min="5381" max="5381" width="28.75" style="27" customWidth="1"/>
    <col min="5382" max="5382" width="1.75" style="27" customWidth="1"/>
    <col min="5383" max="5384" width="9.125" style="27"/>
    <col min="5385" max="5385" width="30.25" style="27" customWidth="1"/>
    <col min="5386" max="5386" width="33.125" style="27" customWidth="1"/>
    <col min="5387" max="5387" width="15" style="27" customWidth="1"/>
    <col min="5388" max="5388" width="26.875" style="27" customWidth="1"/>
    <col min="5389" max="5632" width="9.125" style="27"/>
    <col min="5633" max="5633" width="5.375" style="27" customWidth="1"/>
    <col min="5634" max="5634" width="26.375" style="27" customWidth="1"/>
    <col min="5635" max="5635" width="32" style="27" customWidth="1"/>
    <col min="5636" max="5636" width="13.25" style="27" customWidth="1"/>
    <col min="5637" max="5637" width="28.75" style="27" customWidth="1"/>
    <col min="5638" max="5638" width="1.75" style="27" customWidth="1"/>
    <col min="5639" max="5640" width="9.125" style="27"/>
    <col min="5641" max="5641" width="30.25" style="27" customWidth="1"/>
    <col min="5642" max="5642" width="33.125" style="27" customWidth="1"/>
    <col min="5643" max="5643" width="15" style="27" customWidth="1"/>
    <col min="5644" max="5644" width="26.875" style="27" customWidth="1"/>
    <col min="5645" max="5888" width="9.125" style="27"/>
    <col min="5889" max="5889" width="5.375" style="27" customWidth="1"/>
    <col min="5890" max="5890" width="26.375" style="27" customWidth="1"/>
    <col min="5891" max="5891" width="32" style="27" customWidth="1"/>
    <col min="5892" max="5892" width="13.25" style="27" customWidth="1"/>
    <col min="5893" max="5893" width="28.75" style="27" customWidth="1"/>
    <col min="5894" max="5894" width="1.75" style="27" customWidth="1"/>
    <col min="5895" max="5896" width="9.125" style="27"/>
    <col min="5897" max="5897" width="30.25" style="27" customWidth="1"/>
    <col min="5898" max="5898" width="33.125" style="27" customWidth="1"/>
    <col min="5899" max="5899" width="15" style="27" customWidth="1"/>
    <col min="5900" max="5900" width="26.875" style="27" customWidth="1"/>
    <col min="5901" max="6144" width="9.125" style="27"/>
    <col min="6145" max="6145" width="5.375" style="27" customWidth="1"/>
    <col min="6146" max="6146" width="26.375" style="27" customWidth="1"/>
    <col min="6147" max="6147" width="32" style="27" customWidth="1"/>
    <col min="6148" max="6148" width="13.25" style="27" customWidth="1"/>
    <col min="6149" max="6149" width="28.75" style="27" customWidth="1"/>
    <col min="6150" max="6150" width="1.75" style="27" customWidth="1"/>
    <col min="6151" max="6152" width="9.125" style="27"/>
    <col min="6153" max="6153" width="30.25" style="27" customWidth="1"/>
    <col min="6154" max="6154" width="33.125" style="27" customWidth="1"/>
    <col min="6155" max="6155" width="15" style="27" customWidth="1"/>
    <col min="6156" max="6156" width="26.875" style="27" customWidth="1"/>
    <col min="6157" max="6400" width="9.125" style="27"/>
    <col min="6401" max="6401" width="5.375" style="27" customWidth="1"/>
    <col min="6402" max="6402" width="26.375" style="27" customWidth="1"/>
    <col min="6403" max="6403" width="32" style="27" customWidth="1"/>
    <col min="6404" max="6404" width="13.25" style="27" customWidth="1"/>
    <col min="6405" max="6405" width="28.75" style="27" customWidth="1"/>
    <col min="6406" max="6406" width="1.75" style="27" customWidth="1"/>
    <col min="6407" max="6408" width="9.125" style="27"/>
    <col min="6409" max="6409" width="30.25" style="27" customWidth="1"/>
    <col min="6410" max="6410" width="33.125" style="27" customWidth="1"/>
    <col min="6411" max="6411" width="15" style="27" customWidth="1"/>
    <col min="6412" max="6412" width="26.875" style="27" customWidth="1"/>
    <col min="6413" max="6656" width="9.125" style="27"/>
    <col min="6657" max="6657" width="5.375" style="27" customWidth="1"/>
    <col min="6658" max="6658" width="26.375" style="27" customWidth="1"/>
    <col min="6659" max="6659" width="32" style="27" customWidth="1"/>
    <col min="6660" max="6660" width="13.25" style="27" customWidth="1"/>
    <col min="6661" max="6661" width="28.75" style="27" customWidth="1"/>
    <col min="6662" max="6662" width="1.75" style="27" customWidth="1"/>
    <col min="6663" max="6664" width="9.125" style="27"/>
    <col min="6665" max="6665" width="30.25" style="27" customWidth="1"/>
    <col min="6666" max="6666" width="33.125" style="27" customWidth="1"/>
    <col min="6667" max="6667" width="15" style="27" customWidth="1"/>
    <col min="6668" max="6668" width="26.875" style="27" customWidth="1"/>
    <col min="6669" max="6912" width="9.125" style="27"/>
    <col min="6913" max="6913" width="5.375" style="27" customWidth="1"/>
    <col min="6914" max="6914" width="26.375" style="27" customWidth="1"/>
    <col min="6915" max="6915" width="32" style="27" customWidth="1"/>
    <col min="6916" max="6916" width="13.25" style="27" customWidth="1"/>
    <col min="6917" max="6917" width="28.75" style="27" customWidth="1"/>
    <col min="6918" max="6918" width="1.75" style="27" customWidth="1"/>
    <col min="6919" max="6920" width="9.125" style="27"/>
    <col min="6921" max="6921" width="30.25" style="27" customWidth="1"/>
    <col min="6922" max="6922" width="33.125" style="27" customWidth="1"/>
    <col min="6923" max="6923" width="15" style="27" customWidth="1"/>
    <col min="6924" max="6924" width="26.875" style="27" customWidth="1"/>
    <col min="6925" max="7168" width="9.125" style="27"/>
    <col min="7169" max="7169" width="5.375" style="27" customWidth="1"/>
    <col min="7170" max="7170" width="26.375" style="27" customWidth="1"/>
    <col min="7171" max="7171" width="32" style="27" customWidth="1"/>
    <col min="7172" max="7172" width="13.25" style="27" customWidth="1"/>
    <col min="7173" max="7173" width="28.75" style="27" customWidth="1"/>
    <col min="7174" max="7174" width="1.75" style="27" customWidth="1"/>
    <col min="7175" max="7176" width="9.125" style="27"/>
    <col min="7177" max="7177" width="30.25" style="27" customWidth="1"/>
    <col min="7178" max="7178" width="33.125" style="27" customWidth="1"/>
    <col min="7179" max="7179" width="15" style="27" customWidth="1"/>
    <col min="7180" max="7180" width="26.875" style="27" customWidth="1"/>
    <col min="7181" max="7424" width="9.125" style="27"/>
    <col min="7425" max="7425" width="5.375" style="27" customWidth="1"/>
    <col min="7426" max="7426" width="26.375" style="27" customWidth="1"/>
    <col min="7427" max="7427" width="32" style="27" customWidth="1"/>
    <col min="7428" max="7428" width="13.25" style="27" customWidth="1"/>
    <col min="7429" max="7429" width="28.75" style="27" customWidth="1"/>
    <col min="7430" max="7430" width="1.75" style="27" customWidth="1"/>
    <col min="7431" max="7432" width="9.125" style="27"/>
    <col min="7433" max="7433" width="30.25" style="27" customWidth="1"/>
    <col min="7434" max="7434" width="33.125" style="27" customWidth="1"/>
    <col min="7435" max="7435" width="15" style="27" customWidth="1"/>
    <col min="7436" max="7436" width="26.875" style="27" customWidth="1"/>
    <col min="7437" max="7680" width="9.125" style="27"/>
    <col min="7681" max="7681" width="5.375" style="27" customWidth="1"/>
    <col min="7682" max="7682" width="26.375" style="27" customWidth="1"/>
    <col min="7683" max="7683" width="32" style="27" customWidth="1"/>
    <col min="7684" max="7684" width="13.25" style="27" customWidth="1"/>
    <col min="7685" max="7685" width="28.75" style="27" customWidth="1"/>
    <col min="7686" max="7686" width="1.75" style="27" customWidth="1"/>
    <col min="7687" max="7688" width="9.125" style="27"/>
    <col min="7689" max="7689" width="30.25" style="27" customWidth="1"/>
    <col min="7690" max="7690" width="33.125" style="27" customWidth="1"/>
    <col min="7691" max="7691" width="15" style="27" customWidth="1"/>
    <col min="7692" max="7692" width="26.875" style="27" customWidth="1"/>
    <col min="7693" max="7936" width="9.125" style="27"/>
    <col min="7937" max="7937" width="5.375" style="27" customWidth="1"/>
    <col min="7938" max="7938" width="26.375" style="27" customWidth="1"/>
    <col min="7939" max="7939" width="32" style="27" customWidth="1"/>
    <col min="7940" max="7940" width="13.25" style="27" customWidth="1"/>
    <col min="7941" max="7941" width="28.75" style="27" customWidth="1"/>
    <col min="7942" max="7942" width="1.75" style="27" customWidth="1"/>
    <col min="7943" max="7944" width="9.125" style="27"/>
    <col min="7945" max="7945" width="30.25" style="27" customWidth="1"/>
    <col min="7946" max="7946" width="33.125" style="27" customWidth="1"/>
    <col min="7947" max="7947" width="15" style="27" customWidth="1"/>
    <col min="7948" max="7948" width="26.875" style="27" customWidth="1"/>
    <col min="7949" max="8192" width="9.125" style="27"/>
    <col min="8193" max="8193" width="5.375" style="27" customWidth="1"/>
    <col min="8194" max="8194" width="26.375" style="27" customWidth="1"/>
    <col min="8195" max="8195" width="32" style="27" customWidth="1"/>
    <col min="8196" max="8196" width="13.25" style="27" customWidth="1"/>
    <col min="8197" max="8197" width="28.75" style="27" customWidth="1"/>
    <col min="8198" max="8198" width="1.75" style="27" customWidth="1"/>
    <col min="8199" max="8200" width="9.125" style="27"/>
    <col min="8201" max="8201" width="30.25" style="27" customWidth="1"/>
    <col min="8202" max="8202" width="33.125" style="27" customWidth="1"/>
    <col min="8203" max="8203" width="15" style="27" customWidth="1"/>
    <col min="8204" max="8204" width="26.875" style="27" customWidth="1"/>
    <col min="8205" max="8448" width="9.125" style="27"/>
    <col min="8449" max="8449" width="5.375" style="27" customWidth="1"/>
    <col min="8450" max="8450" width="26.375" style="27" customWidth="1"/>
    <col min="8451" max="8451" width="32" style="27" customWidth="1"/>
    <col min="8452" max="8452" width="13.25" style="27" customWidth="1"/>
    <col min="8453" max="8453" width="28.75" style="27" customWidth="1"/>
    <col min="8454" max="8454" width="1.75" style="27" customWidth="1"/>
    <col min="8455" max="8456" width="9.125" style="27"/>
    <col min="8457" max="8457" width="30.25" style="27" customWidth="1"/>
    <col min="8458" max="8458" width="33.125" style="27" customWidth="1"/>
    <col min="8459" max="8459" width="15" style="27" customWidth="1"/>
    <col min="8460" max="8460" width="26.875" style="27" customWidth="1"/>
    <col min="8461" max="8704" width="9.125" style="27"/>
    <col min="8705" max="8705" width="5.375" style="27" customWidth="1"/>
    <col min="8706" max="8706" width="26.375" style="27" customWidth="1"/>
    <col min="8707" max="8707" width="32" style="27" customWidth="1"/>
    <col min="8708" max="8708" width="13.25" style="27" customWidth="1"/>
    <col min="8709" max="8709" width="28.75" style="27" customWidth="1"/>
    <col min="8710" max="8710" width="1.75" style="27" customWidth="1"/>
    <col min="8711" max="8712" width="9.125" style="27"/>
    <col min="8713" max="8713" width="30.25" style="27" customWidth="1"/>
    <col min="8714" max="8714" width="33.125" style="27" customWidth="1"/>
    <col min="8715" max="8715" width="15" style="27" customWidth="1"/>
    <col min="8716" max="8716" width="26.875" style="27" customWidth="1"/>
    <col min="8717" max="8960" width="9.125" style="27"/>
    <col min="8961" max="8961" width="5.375" style="27" customWidth="1"/>
    <col min="8962" max="8962" width="26.375" style="27" customWidth="1"/>
    <col min="8963" max="8963" width="32" style="27" customWidth="1"/>
    <col min="8964" max="8964" width="13.25" style="27" customWidth="1"/>
    <col min="8965" max="8965" width="28.75" style="27" customWidth="1"/>
    <col min="8966" max="8966" width="1.75" style="27" customWidth="1"/>
    <col min="8967" max="8968" width="9.125" style="27"/>
    <col min="8969" max="8969" width="30.25" style="27" customWidth="1"/>
    <col min="8970" max="8970" width="33.125" style="27" customWidth="1"/>
    <col min="8971" max="8971" width="15" style="27" customWidth="1"/>
    <col min="8972" max="8972" width="26.875" style="27" customWidth="1"/>
    <col min="8973" max="9216" width="9.125" style="27"/>
    <col min="9217" max="9217" width="5.375" style="27" customWidth="1"/>
    <col min="9218" max="9218" width="26.375" style="27" customWidth="1"/>
    <col min="9219" max="9219" width="32" style="27" customWidth="1"/>
    <col min="9220" max="9220" width="13.25" style="27" customWidth="1"/>
    <col min="9221" max="9221" width="28.75" style="27" customWidth="1"/>
    <col min="9222" max="9222" width="1.75" style="27" customWidth="1"/>
    <col min="9223" max="9224" width="9.125" style="27"/>
    <col min="9225" max="9225" width="30.25" style="27" customWidth="1"/>
    <col min="9226" max="9226" width="33.125" style="27" customWidth="1"/>
    <col min="9227" max="9227" width="15" style="27" customWidth="1"/>
    <col min="9228" max="9228" width="26.875" style="27" customWidth="1"/>
    <col min="9229" max="9472" width="9.125" style="27"/>
    <col min="9473" max="9473" width="5.375" style="27" customWidth="1"/>
    <col min="9474" max="9474" width="26.375" style="27" customWidth="1"/>
    <col min="9475" max="9475" width="32" style="27" customWidth="1"/>
    <col min="9476" max="9476" width="13.25" style="27" customWidth="1"/>
    <col min="9477" max="9477" width="28.75" style="27" customWidth="1"/>
    <col min="9478" max="9478" width="1.75" style="27" customWidth="1"/>
    <col min="9479" max="9480" width="9.125" style="27"/>
    <col min="9481" max="9481" width="30.25" style="27" customWidth="1"/>
    <col min="9482" max="9482" width="33.125" style="27" customWidth="1"/>
    <col min="9483" max="9483" width="15" style="27" customWidth="1"/>
    <col min="9484" max="9484" width="26.875" style="27" customWidth="1"/>
    <col min="9485" max="9728" width="9.125" style="27"/>
    <col min="9729" max="9729" width="5.375" style="27" customWidth="1"/>
    <col min="9730" max="9730" width="26.375" style="27" customWidth="1"/>
    <col min="9731" max="9731" width="32" style="27" customWidth="1"/>
    <col min="9732" max="9732" width="13.25" style="27" customWidth="1"/>
    <col min="9733" max="9733" width="28.75" style="27" customWidth="1"/>
    <col min="9734" max="9734" width="1.75" style="27" customWidth="1"/>
    <col min="9735" max="9736" width="9.125" style="27"/>
    <col min="9737" max="9737" width="30.25" style="27" customWidth="1"/>
    <col min="9738" max="9738" width="33.125" style="27" customWidth="1"/>
    <col min="9739" max="9739" width="15" style="27" customWidth="1"/>
    <col min="9740" max="9740" width="26.875" style="27" customWidth="1"/>
    <col min="9741" max="9984" width="9.125" style="27"/>
    <col min="9985" max="9985" width="5.375" style="27" customWidth="1"/>
    <col min="9986" max="9986" width="26.375" style="27" customWidth="1"/>
    <col min="9987" max="9987" width="32" style="27" customWidth="1"/>
    <col min="9988" max="9988" width="13.25" style="27" customWidth="1"/>
    <col min="9989" max="9989" width="28.75" style="27" customWidth="1"/>
    <col min="9990" max="9990" width="1.75" style="27" customWidth="1"/>
    <col min="9991" max="9992" width="9.125" style="27"/>
    <col min="9993" max="9993" width="30.25" style="27" customWidth="1"/>
    <col min="9994" max="9994" width="33.125" style="27" customWidth="1"/>
    <col min="9995" max="9995" width="15" style="27" customWidth="1"/>
    <col min="9996" max="9996" width="26.875" style="27" customWidth="1"/>
    <col min="9997" max="10240" width="9.125" style="27"/>
    <col min="10241" max="10241" width="5.375" style="27" customWidth="1"/>
    <col min="10242" max="10242" width="26.375" style="27" customWidth="1"/>
    <col min="10243" max="10243" width="32" style="27" customWidth="1"/>
    <col min="10244" max="10244" width="13.25" style="27" customWidth="1"/>
    <col min="10245" max="10245" width="28.75" style="27" customWidth="1"/>
    <col min="10246" max="10246" width="1.75" style="27" customWidth="1"/>
    <col min="10247" max="10248" width="9.125" style="27"/>
    <col min="10249" max="10249" width="30.25" style="27" customWidth="1"/>
    <col min="10250" max="10250" width="33.125" style="27" customWidth="1"/>
    <col min="10251" max="10251" width="15" style="27" customWidth="1"/>
    <col min="10252" max="10252" width="26.875" style="27" customWidth="1"/>
    <col min="10253" max="10496" width="9.125" style="27"/>
    <col min="10497" max="10497" width="5.375" style="27" customWidth="1"/>
    <col min="10498" max="10498" width="26.375" style="27" customWidth="1"/>
    <col min="10499" max="10499" width="32" style="27" customWidth="1"/>
    <col min="10500" max="10500" width="13.25" style="27" customWidth="1"/>
    <col min="10501" max="10501" width="28.75" style="27" customWidth="1"/>
    <col min="10502" max="10502" width="1.75" style="27" customWidth="1"/>
    <col min="10503" max="10504" width="9.125" style="27"/>
    <col min="10505" max="10505" width="30.25" style="27" customWidth="1"/>
    <col min="10506" max="10506" width="33.125" style="27" customWidth="1"/>
    <col min="10507" max="10507" width="15" style="27" customWidth="1"/>
    <col min="10508" max="10508" width="26.875" style="27" customWidth="1"/>
    <col min="10509" max="10752" width="9.125" style="27"/>
    <col min="10753" max="10753" width="5.375" style="27" customWidth="1"/>
    <col min="10754" max="10754" width="26.375" style="27" customWidth="1"/>
    <col min="10755" max="10755" width="32" style="27" customWidth="1"/>
    <col min="10756" max="10756" width="13.25" style="27" customWidth="1"/>
    <col min="10757" max="10757" width="28.75" style="27" customWidth="1"/>
    <col min="10758" max="10758" width="1.75" style="27" customWidth="1"/>
    <col min="10759" max="10760" width="9.125" style="27"/>
    <col min="10761" max="10761" width="30.25" style="27" customWidth="1"/>
    <col min="10762" max="10762" width="33.125" style="27" customWidth="1"/>
    <col min="10763" max="10763" width="15" style="27" customWidth="1"/>
    <col min="10764" max="10764" width="26.875" style="27" customWidth="1"/>
    <col min="10765" max="11008" width="9.125" style="27"/>
    <col min="11009" max="11009" width="5.375" style="27" customWidth="1"/>
    <col min="11010" max="11010" width="26.375" style="27" customWidth="1"/>
    <col min="11011" max="11011" width="32" style="27" customWidth="1"/>
    <col min="11012" max="11012" width="13.25" style="27" customWidth="1"/>
    <col min="11013" max="11013" width="28.75" style="27" customWidth="1"/>
    <col min="11014" max="11014" width="1.75" style="27" customWidth="1"/>
    <col min="11015" max="11016" width="9.125" style="27"/>
    <col min="11017" max="11017" width="30.25" style="27" customWidth="1"/>
    <col min="11018" max="11018" width="33.125" style="27" customWidth="1"/>
    <col min="11019" max="11019" width="15" style="27" customWidth="1"/>
    <col min="11020" max="11020" width="26.875" style="27" customWidth="1"/>
    <col min="11021" max="11264" width="9.125" style="27"/>
    <col min="11265" max="11265" width="5.375" style="27" customWidth="1"/>
    <col min="11266" max="11266" width="26.375" style="27" customWidth="1"/>
    <col min="11267" max="11267" width="32" style="27" customWidth="1"/>
    <col min="11268" max="11268" width="13.25" style="27" customWidth="1"/>
    <col min="11269" max="11269" width="28.75" style="27" customWidth="1"/>
    <col min="11270" max="11270" width="1.75" style="27" customWidth="1"/>
    <col min="11271" max="11272" width="9.125" style="27"/>
    <col min="11273" max="11273" width="30.25" style="27" customWidth="1"/>
    <col min="11274" max="11274" width="33.125" style="27" customWidth="1"/>
    <col min="11275" max="11275" width="15" style="27" customWidth="1"/>
    <col min="11276" max="11276" width="26.875" style="27" customWidth="1"/>
    <col min="11277" max="11520" width="9.125" style="27"/>
    <col min="11521" max="11521" width="5.375" style="27" customWidth="1"/>
    <col min="11522" max="11522" width="26.375" style="27" customWidth="1"/>
    <col min="11523" max="11523" width="32" style="27" customWidth="1"/>
    <col min="11524" max="11524" width="13.25" style="27" customWidth="1"/>
    <col min="11525" max="11525" width="28.75" style="27" customWidth="1"/>
    <col min="11526" max="11526" width="1.75" style="27" customWidth="1"/>
    <col min="11527" max="11528" width="9.125" style="27"/>
    <col min="11529" max="11529" width="30.25" style="27" customWidth="1"/>
    <col min="11530" max="11530" width="33.125" style="27" customWidth="1"/>
    <col min="11531" max="11531" width="15" style="27" customWidth="1"/>
    <col min="11532" max="11532" width="26.875" style="27" customWidth="1"/>
    <col min="11533" max="11776" width="9.125" style="27"/>
    <col min="11777" max="11777" width="5.375" style="27" customWidth="1"/>
    <col min="11778" max="11778" width="26.375" style="27" customWidth="1"/>
    <col min="11779" max="11779" width="32" style="27" customWidth="1"/>
    <col min="11780" max="11780" width="13.25" style="27" customWidth="1"/>
    <col min="11781" max="11781" width="28.75" style="27" customWidth="1"/>
    <col min="11782" max="11782" width="1.75" style="27" customWidth="1"/>
    <col min="11783" max="11784" width="9.125" style="27"/>
    <col min="11785" max="11785" width="30.25" style="27" customWidth="1"/>
    <col min="11786" max="11786" width="33.125" style="27" customWidth="1"/>
    <col min="11787" max="11787" width="15" style="27" customWidth="1"/>
    <col min="11788" max="11788" width="26.875" style="27" customWidth="1"/>
    <col min="11789" max="12032" width="9.125" style="27"/>
    <col min="12033" max="12033" width="5.375" style="27" customWidth="1"/>
    <col min="12034" max="12034" width="26.375" style="27" customWidth="1"/>
    <col min="12035" max="12035" width="32" style="27" customWidth="1"/>
    <col min="12036" max="12036" width="13.25" style="27" customWidth="1"/>
    <col min="12037" max="12037" width="28.75" style="27" customWidth="1"/>
    <col min="12038" max="12038" width="1.75" style="27" customWidth="1"/>
    <col min="12039" max="12040" width="9.125" style="27"/>
    <col min="12041" max="12041" width="30.25" style="27" customWidth="1"/>
    <col min="12042" max="12042" width="33.125" style="27" customWidth="1"/>
    <col min="12043" max="12043" width="15" style="27" customWidth="1"/>
    <col min="12044" max="12044" width="26.875" style="27" customWidth="1"/>
    <col min="12045" max="12288" width="9.125" style="27"/>
    <col min="12289" max="12289" width="5.375" style="27" customWidth="1"/>
    <col min="12290" max="12290" width="26.375" style="27" customWidth="1"/>
    <col min="12291" max="12291" width="32" style="27" customWidth="1"/>
    <col min="12292" max="12292" width="13.25" style="27" customWidth="1"/>
    <col min="12293" max="12293" width="28.75" style="27" customWidth="1"/>
    <col min="12294" max="12294" width="1.75" style="27" customWidth="1"/>
    <col min="12295" max="12296" width="9.125" style="27"/>
    <col min="12297" max="12297" width="30.25" style="27" customWidth="1"/>
    <col min="12298" max="12298" width="33.125" style="27" customWidth="1"/>
    <col min="12299" max="12299" width="15" style="27" customWidth="1"/>
    <col min="12300" max="12300" width="26.875" style="27" customWidth="1"/>
    <col min="12301" max="12544" width="9.125" style="27"/>
    <col min="12545" max="12545" width="5.375" style="27" customWidth="1"/>
    <col min="12546" max="12546" width="26.375" style="27" customWidth="1"/>
    <col min="12547" max="12547" width="32" style="27" customWidth="1"/>
    <col min="12548" max="12548" width="13.25" style="27" customWidth="1"/>
    <col min="12549" max="12549" width="28.75" style="27" customWidth="1"/>
    <col min="12550" max="12550" width="1.75" style="27" customWidth="1"/>
    <col min="12551" max="12552" width="9.125" style="27"/>
    <col min="12553" max="12553" width="30.25" style="27" customWidth="1"/>
    <col min="12554" max="12554" width="33.125" style="27" customWidth="1"/>
    <col min="12555" max="12555" width="15" style="27" customWidth="1"/>
    <col min="12556" max="12556" width="26.875" style="27" customWidth="1"/>
    <col min="12557" max="12800" width="9.125" style="27"/>
    <col min="12801" max="12801" width="5.375" style="27" customWidth="1"/>
    <col min="12802" max="12802" width="26.375" style="27" customWidth="1"/>
    <col min="12803" max="12803" width="32" style="27" customWidth="1"/>
    <col min="12804" max="12804" width="13.25" style="27" customWidth="1"/>
    <col min="12805" max="12805" width="28.75" style="27" customWidth="1"/>
    <col min="12806" max="12806" width="1.75" style="27" customWidth="1"/>
    <col min="12807" max="12808" width="9.125" style="27"/>
    <col min="12809" max="12809" width="30.25" style="27" customWidth="1"/>
    <col min="12810" max="12810" width="33.125" style="27" customWidth="1"/>
    <col min="12811" max="12811" width="15" style="27" customWidth="1"/>
    <col min="12812" max="12812" width="26.875" style="27" customWidth="1"/>
    <col min="12813" max="13056" width="9.125" style="27"/>
    <col min="13057" max="13057" width="5.375" style="27" customWidth="1"/>
    <col min="13058" max="13058" width="26.375" style="27" customWidth="1"/>
    <col min="13059" max="13059" width="32" style="27" customWidth="1"/>
    <col min="13060" max="13060" width="13.25" style="27" customWidth="1"/>
    <col min="13061" max="13061" width="28.75" style="27" customWidth="1"/>
    <col min="13062" max="13062" width="1.75" style="27" customWidth="1"/>
    <col min="13063" max="13064" width="9.125" style="27"/>
    <col min="13065" max="13065" width="30.25" style="27" customWidth="1"/>
    <col min="13066" max="13066" width="33.125" style="27" customWidth="1"/>
    <col min="13067" max="13067" width="15" style="27" customWidth="1"/>
    <col min="13068" max="13068" width="26.875" style="27" customWidth="1"/>
    <col min="13069" max="13312" width="9.125" style="27"/>
    <col min="13313" max="13313" width="5.375" style="27" customWidth="1"/>
    <col min="13314" max="13314" width="26.375" style="27" customWidth="1"/>
    <col min="13315" max="13315" width="32" style="27" customWidth="1"/>
    <col min="13316" max="13316" width="13.25" style="27" customWidth="1"/>
    <col min="13317" max="13317" width="28.75" style="27" customWidth="1"/>
    <col min="13318" max="13318" width="1.75" style="27" customWidth="1"/>
    <col min="13319" max="13320" width="9.125" style="27"/>
    <col min="13321" max="13321" width="30.25" style="27" customWidth="1"/>
    <col min="13322" max="13322" width="33.125" style="27" customWidth="1"/>
    <col min="13323" max="13323" width="15" style="27" customWidth="1"/>
    <col min="13324" max="13324" width="26.875" style="27" customWidth="1"/>
    <col min="13325" max="13568" width="9.125" style="27"/>
    <col min="13569" max="13569" width="5.375" style="27" customWidth="1"/>
    <col min="13570" max="13570" width="26.375" style="27" customWidth="1"/>
    <col min="13571" max="13571" width="32" style="27" customWidth="1"/>
    <col min="13572" max="13572" width="13.25" style="27" customWidth="1"/>
    <col min="13573" max="13573" width="28.75" style="27" customWidth="1"/>
    <col min="13574" max="13574" width="1.75" style="27" customWidth="1"/>
    <col min="13575" max="13576" width="9.125" style="27"/>
    <col min="13577" max="13577" width="30.25" style="27" customWidth="1"/>
    <col min="13578" max="13578" width="33.125" style="27" customWidth="1"/>
    <col min="13579" max="13579" width="15" style="27" customWidth="1"/>
    <col min="13580" max="13580" width="26.875" style="27" customWidth="1"/>
    <col min="13581" max="13824" width="9.125" style="27"/>
    <col min="13825" max="13825" width="5.375" style="27" customWidth="1"/>
    <col min="13826" max="13826" width="26.375" style="27" customWidth="1"/>
    <col min="13827" max="13827" width="32" style="27" customWidth="1"/>
    <col min="13828" max="13828" width="13.25" style="27" customWidth="1"/>
    <col min="13829" max="13829" width="28.75" style="27" customWidth="1"/>
    <col min="13830" max="13830" width="1.75" style="27" customWidth="1"/>
    <col min="13831" max="13832" width="9.125" style="27"/>
    <col min="13833" max="13833" width="30.25" style="27" customWidth="1"/>
    <col min="13834" max="13834" width="33.125" style="27" customWidth="1"/>
    <col min="13835" max="13835" width="15" style="27" customWidth="1"/>
    <col min="13836" max="13836" width="26.875" style="27" customWidth="1"/>
    <col min="13837" max="14080" width="9.125" style="27"/>
    <col min="14081" max="14081" width="5.375" style="27" customWidth="1"/>
    <col min="14082" max="14082" width="26.375" style="27" customWidth="1"/>
    <col min="14083" max="14083" width="32" style="27" customWidth="1"/>
    <col min="14084" max="14084" width="13.25" style="27" customWidth="1"/>
    <col min="14085" max="14085" width="28.75" style="27" customWidth="1"/>
    <col min="14086" max="14086" width="1.75" style="27" customWidth="1"/>
    <col min="14087" max="14088" width="9.125" style="27"/>
    <col min="14089" max="14089" width="30.25" style="27" customWidth="1"/>
    <col min="14090" max="14090" width="33.125" style="27" customWidth="1"/>
    <col min="14091" max="14091" width="15" style="27" customWidth="1"/>
    <col min="14092" max="14092" width="26.875" style="27" customWidth="1"/>
    <col min="14093" max="14336" width="9.125" style="27"/>
    <col min="14337" max="14337" width="5.375" style="27" customWidth="1"/>
    <col min="14338" max="14338" width="26.375" style="27" customWidth="1"/>
    <col min="14339" max="14339" width="32" style="27" customWidth="1"/>
    <col min="14340" max="14340" width="13.25" style="27" customWidth="1"/>
    <col min="14341" max="14341" width="28.75" style="27" customWidth="1"/>
    <col min="14342" max="14342" width="1.75" style="27" customWidth="1"/>
    <col min="14343" max="14344" width="9.125" style="27"/>
    <col min="14345" max="14345" width="30.25" style="27" customWidth="1"/>
    <col min="14346" max="14346" width="33.125" style="27" customWidth="1"/>
    <col min="14347" max="14347" width="15" style="27" customWidth="1"/>
    <col min="14348" max="14348" width="26.875" style="27" customWidth="1"/>
    <col min="14349" max="14592" width="9.125" style="27"/>
    <col min="14593" max="14593" width="5.375" style="27" customWidth="1"/>
    <col min="14594" max="14594" width="26.375" style="27" customWidth="1"/>
    <col min="14595" max="14595" width="32" style="27" customWidth="1"/>
    <col min="14596" max="14596" width="13.25" style="27" customWidth="1"/>
    <col min="14597" max="14597" width="28.75" style="27" customWidth="1"/>
    <col min="14598" max="14598" width="1.75" style="27" customWidth="1"/>
    <col min="14599" max="14600" width="9.125" style="27"/>
    <col min="14601" max="14601" width="30.25" style="27" customWidth="1"/>
    <col min="14602" max="14602" width="33.125" style="27" customWidth="1"/>
    <col min="14603" max="14603" width="15" style="27" customWidth="1"/>
    <col min="14604" max="14604" width="26.875" style="27" customWidth="1"/>
    <col min="14605" max="14848" width="9.125" style="27"/>
    <col min="14849" max="14849" width="5.375" style="27" customWidth="1"/>
    <col min="14850" max="14850" width="26.375" style="27" customWidth="1"/>
    <col min="14851" max="14851" width="32" style="27" customWidth="1"/>
    <col min="14852" max="14852" width="13.25" style="27" customWidth="1"/>
    <col min="14853" max="14853" width="28.75" style="27" customWidth="1"/>
    <col min="14854" max="14854" width="1.75" style="27" customWidth="1"/>
    <col min="14855" max="14856" width="9.125" style="27"/>
    <col min="14857" max="14857" width="30.25" style="27" customWidth="1"/>
    <col min="14858" max="14858" width="33.125" style="27" customWidth="1"/>
    <col min="14859" max="14859" width="15" style="27" customWidth="1"/>
    <col min="14860" max="14860" width="26.875" style="27" customWidth="1"/>
    <col min="14861" max="15104" width="9.125" style="27"/>
    <col min="15105" max="15105" width="5.375" style="27" customWidth="1"/>
    <col min="15106" max="15106" width="26.375" style="27" customWidth="1"/>
    <col min="15107" max="15107" width="32" style="27" customWidth="1"/>
    <col min="15108" max="15108" width="13.25" style="27" customWidth="1"/>
    <col min="15109" max="15109" width="28.75" style="27" customWidth="1"/>
    <col min="15110" max="15110" width="1.75" style="27" customWidth="1"/>
    <col min="15111" max="15112" width="9.125" style="27"/>
    <col min="15113" max="15113" width="30.25" style="27" customWidth="1"/>
    <col min="15114" max="15114" width="33.125" style="27" customWidth="1"/>
    <col min="15115" max="15115" width="15" style="27" customWidth="1"/>
    <col min="15116" max="15116" width="26.875" style="27" customWidth="1"/>
    <col min="15117" max="15360" width="9.125" style="27"/>
    <col min="15361" max="15361" width="5.375" style="27" customWidth="1"/>
    <col min="15362" max="15362" width="26.375" style="27" customWidth="1"/>
    <col min="15363" max="15363" width="32" style="27" customWidth="1"/>
    <col min="15364" max="15364" width="13.25" style="27" customWidth="1"/>
    <col min="15365" max="15365" width="28.75" style="27" customWidth="1"/>
    <col min="15366" max="15366" width="1.75" style="27" customWidth="1"/>
    <col min="15367" max="15368" width="9.125" style="27"/>
    <col min="15369" max="15369" width="30.25" style="27" customWidth="1"/>
    <col min="15370" max="15370" width="33.125" style="27" customWidth="1"/>
    <col min="15371" max="15371" width="15" style="27" customWidth="1"/>
    <col min="15372" max="15372" width="26.875" style="27" customWidth="1"/>
    <col min="15373" max="15616" width="9.125" style="27"/>
    <col min="15617" max="15617" width="5.375" style="27" customWidth="1"/>
    <col min="15618" max="15618" width="26.375" style="27" customWidth="1"/>
    <col min="15619" max="15619" width="32" style="27" customWidth="1"/>
    <col min="15620" max="15620" width="13.25" style="27" customWidth="1"/>
    <col min="15621" max="15621" width="28.75" style="27" customWidth="1"/>
    <col min="15622" max="15622" width="1.75" style="27" customWidth="1"/>
    <col min="15623" max="15624" width="9.125" style="27"/>
    <col min="15625" max="15625" width="30.25" style="27" customWidth="1"/>
    <col min="15626" max="15626" width="33.125" style="27" customWidth="1"/>
    <col min="15627" max="15627" width="15" style="27" customWidth="1"/>
    <col min="15628" max="15628" width="26.875" style="27" customWidth="1"/>
    <col min="15629" max="15872" width="9.125" style="27"/>
    <col min="15873" max="15873" width="5.375" style="27" customWidth="1"/>
    <col min="15874" max="15874" width="26.375" style="27" customWidth="1"/>
    <col min="15875" max="15875" width="32" style="27" customWidth="1"/>
    <col min="15876" max="15876" width="13.25" style="27" customWidth="1"/>
    <col min="15877" max="15877" width="28.75" style="27" customWidth="1"/>
    <col min="15878" max="15878" width="1.75" style="27" customWidth="1"/>
    <col min="15879" max="15880" width="9.125" style="27"/>
    <col min="15881" max="15881" width="30.25" style="27" customWidth="1"/>
    <col min="15882" max="15882" width="33.125" style="27" customWidth="1"/>
    <col min="15883" max="15883" width="15" style="27" customWidth="1"/>
    <col min="15884" max="15884" width="26.875" style="27" customWidth="1"/>
    <col min="15885" max="16128" width="9.125" style="27"/>
    <col min="16129" max="16129" width="5.375" style="27" customWidth="1"/>
    <col min="16130" max="16130" width="26.375" style="27" customWidth="1"/>
    <col min="16131" max="16131" width="32" style="27" customWidth="1"/>
    <col min="16132" max="16132" width="13.25" style="27" customWidth="1"/>
    <col min="16133" max="16133" width="28.75" style="27" customWidth="1"/>
    <col min="16134" max="16134" width="1.75" style="27" customWidth="1"/>
    <col min="16135" max="16136" width="9.125" style="27"/>
    <col min="16137" max="16137" width="30.25" style="27" customWidth="1"/>
    <col min="16138" max="16138" width="33.125" style="27" customWidth="1"/>
    <col min="16139" max="16139" width="15" style="27" customWidth="1"/>
    <col min="16140" max="16140" width="26.875" style="27" customWidth="1"/>
    <col min="16141" max="16384" width="9.125" style="27"/>
  </cols>
  <sheetData>
    <row r="1" spans="1:12" ht="21" customHeight="1">
      <c r="A1" s="273" t="s">
        <v>30</v>
      </c>
      <c r="B1" s="273"/>
      <c r="C1" s="273"/>
      <c r="D1" s="273"/>
      <c r="E1" s="273"/>
      <c r="F1" s="26"/>
    </row>
    <row r="2" spans="1:12" ht="18" customHeight="1">
      <c r="A2" s="274" t="s">
        <v>31</v>
      </c>
      <c r="B2" s="274"/>
      <c r="C2" s="274"/>
      <c r="D2" s="274"/>
      <c r="E2" s="274"/>
      <c r="F2" s="26"/>
    </row>
    <row r="3" spans="1:12" ht="6.75" customHeight="1"/>
    <row r="4" spans="1:12" s="29" customFormat="1" ht="29.25" customHeight="1">
      <c r="A4" s="28" t="s">
        <v>32</v>
      </c>
      <c r="B4" s="28" t="s">
        <v>33</v>
      </c>
      <c r="C4" s="28" t="s">
        <v>34</v>
      </c>
      <c r="D4" s="28" t="s">
        <v>35</v>
      </c>
      <c r="E4" s="28" t="s">
        <v>36</v>
      </c>
      <c r="I4" s="109"/>
      <c r="J4" s="109"/>
      <c r="K4" s="110"/>
      <c r="L4" s="109"/>
    </row>
    <row r="5" spans="1:12" s="33" customFormat="1" ht="84.75" customHeight="1">
      <c r="A5" s="32">
        <v>1</v>
      </c>
      <c r="B5" s="210" t="s">
        <v>121</v>
      </c>
      <c r="C5" s="30" t="s">
        <v>115</v>
      </c>
      <c r="D5" s="31" t="s">
        <v>110</v>
      </c>
      <c r="E5" s="30" t="s">
        <v>111</v>
      </c>
      <c r="I5" s="111"/>
      <c r="J5" s="109"/>
      <c r="K5" s="110"/>
      <c r="L5" s="109"/>
    </row>
    <row r="6" spans="1:12" s="33" customFormat="1" ht="56.25" customHeight="1">
      <c r="A6" s="32">
        <v>2</v>
      </c>
      <c r="B6" s="30" t="s">
        <v>112</v>
      </c>
      <c r="C6" s="30" t="s">
        <v>114</v>
      </c>
      <c r="D6" s="31" t="s">
        <v>110</v>
      </c>
      <c r="E6" s="30" t="s">
        <v>113</v>
      </c>
      <c r="I6" s="109"/>
      <c r="J6" s="109"/>
      <c r="K6" s="110"/>
      <c r="L6" s="109"/>
    </row>
    <row r="7" spans="1:12" s="33" customFormat="1" ht="67.5" customHeight="1">
      <c r="A7" s="32">
        <v>3</v>
      </c>
      <c r="B7" s="35" t="s">
        <v>118</v>
      </c>
      <c r="C7" s="30" t="s">
        <v>16</v>
      </c>
      <c r="D7" s="31">
        <v>46204</v>
      </c>
      <c r="E7" s="35" t="s">
        <v>117</v>
      </c>
      <c r="I7" s="112"/>
      <c r="J7" s="109"/>
      <c r="K7" s="110"/>
      <c r="L7" s="112"/>
    </row>
    <row r="8" spans="1:12" s="37" customFormat="1" ht="72.75" customHeight="1">
      <c r="A8" s="36">
        <v>4</v>
      </c>
      <c r="B8" s="35" t="s">
        <v>146</v>
      </c>
      <c r="C8" s="30" t="s">
        <v>114</v>
      </c>
      <c r="D8" s="31">
        <v>46226</v>
      </c>
      <c r="E8" s="35" t="s">
        <v>147</v>
      </c>
      <c r="I8" s="112"/>
      <c r="J8" s="109"/>
      <c r="K8" s="110"/>
      <c r="L8" s="112"/>
    </row>
    <row r="9" spans="1:12" s="37" customFormat="1" ht="57.75" customHeight="1">
      <c r="A9" s="32"/>
      <c r="B9" s="35"/>
      <c r="C9" s="30"/>
      <c r="D9" s="31"/>
      <c r="E9" s="35"/>
      <c r="F9" s="38"/>
      <c r="I9" s="113"/>
      <c r="J9" s="109"/>
      <c r="K9" s="110"/>
      <c r="L9" s="111"/>
    </row>
    <row r="10" spans="1:12" s="37" customFormat="1" ht="75" customHeight="1">
      <c r="A10" s="32"/>
      <c r="B10" s="35"/>
      <c r="C10" s="30"/>
      <c r="D10" s="31"/>
      <c r="E10" s="35"/>
      <c r="I10" s="112"/>
      <c r="J10" s="109"/>
      <c r="K10" s="110"/>
      <c r="L10" s="112"/>
    </row>
    <row r="11" spans="1:12" s="37" customFormat="1" ht="63" customHeight="1">
      <c r="A11" s="32"/>
      <c r="B11" s="39"/>
      <c r="C11" s="39"/>
      <c r="D11" s="39"/>
      <c r="E11" s="39"/>
      <c r="I11" s="112"/>
      <c r="J11" s="109"/>
      <c r="K11" s="110"/>
      <c r="L11" s="112"/>
    </row>
    <row r="12" spans="1:12" s="37" customFormat="1" ht="72.75" customHeight="1">
      <c r="A12" s="32"/>
      <c r="B12" s="39"/>
      <c r="C12" s="39"/>
      <c r="D12" s="39"/>
      <c r="E12" s="39"/>
      <c r="I12" s="114"/>
      <c r="J12" s="115"/>
      <c r="K12" s="116"/>
      <c r="L12" s="114"/>
    </row>
    <row r="13" spans="1:12" s="37" customFormat="1" ht="43.5" hidden="1" customHeight="1">
      <c r="A13" s="32">
        <v>9</v>
      </c>
      <c r="B13" s="39"/>
      <c r="C13" s="34" t="s">
        <v>37</v>
      </c>
      <c r="D13" s="39"/>
      <c r="E13" s="39"/>
    </row>
    <row r="14" spans="1:12" ht="6.75" customHeight="1">
      <c r="A14" s="40"/>
      <c r="B14" s="40"/>
      <c r="C14" s="40"/>
      <c r="D14" s="40"/>
      <c r="E14" s="40"/>
    </row>
    <row r="15" spans="1:12" ht="6" customHeight="1"/>
    <row r="16" spans="1:12" s="211" customFormat="1" ht="29.25" customHeight="1">
      <c r="C16" s="279" t="str">
        <f>"Từ ngày "&amp;G17&amp;" tháng "&amp;H17&amp;" năm "&amp;I17&amp;" đến ngày "&amp;G19&amp;" tháng "&amp;H17&amp;" năm "&amp;I17&amp;""</f>
        <v>Từ ngày 01 tháng 07 năm 2026 đến ngày 31 tháng 07 năm 2026</v>
      </c>
      <c r="D16" s="279"/>
      <c r="E16" s="279"/>
      <c r="F16" s="212"/>
      <c r="G16" s="213" t="s">
        <v>158</v>
      </c>
      <c r="H16" s="213" t="s">
        <v>159</v>
      </c>
      <c r="I16" s="213" t="s">
        <v>160</v>
      </c>
      <c r="J16" s="109"/>
      <c r="K16" s="110"/>
      <c r="L16" s="112"/>
    </row>
    <row r="17" spans="1:9" ht="57" customHeight="1">
      <c r="C17" s="275" t="s">
        <v>162</v>
      </c>
      <c r="D17" s="276"/>
      <c r="E17" s="276"/>
      <c r="F17" s="42"/>
      <c r="G17" s="206" t="str">
        <f>'BÌA TỔNG-G2'!N7</f>
        <v>01</v>
      </c>
      <c r="H17" s="206" t="str">
        <f>'BÌA TỔNG-G2'!O7</f>
        <v>07</v>
      </c>
      <c r="I17" s="208">
        <f>'BÌA TỔNG-G2'!P7</f>
        <v>2026</v>
      </c>
    </row>
    <row r="18" spans="1:9" ht="12.75" customHeight="1">
      <c r="C18" s="277"/>
      <c r="D18" s="277"/>
      <c r="E18" s="277"/>
      <c r="F18" s="43"/>
    </row>
    <row r="19" spans="1:9" ht="43.5" customHeight="1">
      <c r="C19" s="278"/>
      <c r="D19" s="278"/>
      <c r="E19" s="278"/>
      <c r="F19" s="44"/>
      <c r="G19" s="209">
        <v>31</v>
      </c>
    </row>
    <row r="20" spans="1:9" ht="40.5" customHeight="1">
      <c r="B20" s="45"/>
      <c r="C20" s="272" t="s">
        <v>116</v>
      </c>
      <c r="D20" s="272"/>
      <c r="E20" s="272"/>
      <c r="F20" s="46"/>
    </row>
    <row r="21" spans="1:9" ht="4.5" customHeight="1"/>
    <row r="22" spans="1:9">
      <c r="A22" s="47"/>
      <c r="B22" s="47"/>
      <c r="C22" s="47"/>
      <c r="D22" s="47"/>
      <c r="E22" s="47"/>
      <c r="F22" s="47"/>
    </row>
  </sheetData>
  <mergeCells count="7">
    <mergeCell ref="C20:E20"/>
    <mergeCell ref="A1:E1"/>
    <mergeCell ref="A2:E2"/>
    <mergeCell ref="C17:E17"/>
    <mergeCell ref="C18:E18"/>
    <mergeCell ref="C19:E19"/>
    <mergeCell ref="C16:E16"/>
  </mergeCells>
  <printOptions horizontalCentered="1"/>
  <pageMargins left="0.23622047244094499" right="0.43307086614173201" top="0.17559055118110201" bottom="0.15748031496063" header="0.31496062992126" footer="0.31496062992126"/>
  <pageSetup paperSize="9" scale="84" fitToHeight="0" orientation="portrait" r:id="rId1"/>
  <headerFooter>
    <oddFooter>&amp;C&amp;"Times New Roman,Regular"Trang 1</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pageSetUpPr fitToPage="1"/>
  </sheetPr>
  <dimension ref="A1:K36"/>
  <sheetViews>
    <sheetView view="pageBreakPreview" zoomScaleSheetLayoutView="100" workbookViewId="0">
      <selection activeCell="G7" sqref="G7"/>
    </sheetView>
  </sheetViews>
  <sheetFormatPr defaultColWidth="9.125" defaultRowHeight="14.25"/>
  <cols>
    <col min="1" max="1" width="2.875" style="47" customWidth="1"/>
    <col min="2" max="2" width="5.75" style="47" customWidth="1"/>
    <col min="3" max="3" width="12.625" style="47" customWidth="1"/>
    <col min="4" max="4" width="15.625" style="47" customWidth="1"/>
    <col min="5" max="5" width="11.25" style="47" hidden="1" customWidth="1"/>
    <col min="6" max="6" width="12.625" style="47" hidden="1" customWidth="1"/>
    <col min="7" max="7" width="9.875" style="47" customWidth="1"/>
    <col min="8" max="8" width="14.75" style="47" customWidth="1"/>
    <col min="9" max="9" width="21.125" style="47" customWidth="1"/>
    <col min="10" max="10" width="5.125" style="47" customWidth="1"/>
    <col min="11" max="11" width="10" style="47" customWidth="1"/>
    <col min="12" max="16384" width="9.125" style="47"/>
  </cols>
  <sheetData>
    <row r="1" spans="1:11" ht="16.5" customHeight="1"/>
    <row r="2" spans="1:11" ht="51.75" customHeight="1">
      <c r="A2" s="80">
        <v>41813</v>
      </c>
      <c r="B2" s="79" t="s">
        <v>53</v>
      </c>
      <c r="C2" s="75"/>
      <c r="D2" s="75"/>
      <c r="E2" s="75"/>
      <c r="F2" s="75"/>
      <c r="G2" s="75"/>
      <c r="H2" s="75"/>
      <c r="I2" s="75"/>
      <c r="J2" s="75"/>
      <c r="K2" s="75"/>
    </row>
    <row r="3" spans="1:11" ht="24.95" customHeight="1">
      <c r="B3" s="79" t="s">
        <v>52</v>
      </c>
      <c r="C3" s="75"/>
      <c r="D3" s="75"/>
      <c r="E3" s="75"/>
      <c r="F3" s="75"/>
      <c r="G3" s="75"/>
      <c r="H3" s="75"/>
      <c r="I3" s="75"/>
      <c r="J3" s="75"/>
      <c r="K3" s="75"/>
    </row>
    <row r="4" spans="1:11" ht="37.5" hidden="1" customHeight="1">
      <c r="B4" s="78"/>
      <c r="C4" s="75"/>
      <c r="D4" s="75"/>
      <c r="E4" s="76"/>
      <c r="F4" s="75"/>
      <c r="G4" s="75"/>
      <c r="H4" s="75"/>
      <c r="I4" s="75"/>
      <c r="J4" s="75"/>
      <c r="K4" s="75"/>
    </row>
    <row r="5" spans="1:11" ht="30.75" customHeight="1">
      <c r="B5" s="77"/>
      <c r="C5" s="75"/>
      <c r="D5" s="75"/>
      <c r="E5" s="76"/>
      <c r="F5" s="75"/>
      <c r="G5" s="75"/>
      <c r="H5" s="75"/>
      <c r="I5" s="75"/>
      <c r="J5" s="75"/>
      <c r="K5" s="75"/>
    </row>
    <row r="6" spans="1:11" ht="30.75" customHeight="1">
      <c r="B6" s="74" t="s">
        <v>32</v>
      </c>
      <c r="C6" s="301" t="s">
        <v>51</v>
      </c>
      <c r="D6" s="302"/>
      <c r="E6" s="301" t="s">
        <v>50</v>
      </c>
      <c r="F6" s="302"/>
      <c r="G6" s="303" t="s">
        <v>49</v>
      </c>
      <c r="H6" s="304"/>
      <c r="I6" s="73" t="s">
        <v>18</v>
      </c>
      <c r="J6" s="303" t="s">
        <v>48</v>
      </c>
      <c r="K6" s="304"/>
    </row>
    <row r="7" spans="1:11" ht="24" customHeight="1">
      <c r="B7" s="72" t="s">
        <v>47</v>
      </c>
      <c r="C7" s="71" t="s">
        <v>46</v>
      </c>
      <c r="D7" s="70"/>
      <c r="E7" s="69"/>
      <c r="F7" s="68"/>
      <c r="G7" s="69"/>
      <c r="H7" s="68"/>
      <c r="I7" s="67"/>
      <c r="J7" s="305"/>
      <c r="K7" s="305"/>
    </row>
    <row r="8" spans="1:11" ht="52.5" hidden="1" customHeight="1">
      <c r="B8" s="57">
        <v>1</v>
      </c>
      <c r="C8" s="297"/>
      <c r="D8" s="297"/>
      <c r="E8" s="298" t="s">
        <v>44</v>
      </c>
      <c r="F8" s="298"/>
      <c r="G8" s="299" t="s">
        <v>45</v>
      </c>
      <c r="H8" s="300"/>
      <c r="I8" s="65"/>
      <c r="J8" s="287"/>
      <c r="K8" s="287"/>
    </row>
    <row r="9" spans="1:11" ht="52.5" customHeight="1">
      <c r="B9" s="57">
        <v>1</v>
      </c>
      <c r="C9" s="295" t="str">
        <f>'Biavh-Q8'!Q21</f>
        <v>Ông Nguyễn Thành Nam</v>
      </c>
      <c r="D9" s="296"/>
      <c r="E9" s="66" t="s">
        <v>44</v>
      </c>
      <c r="F9" s="66"/>
      <c r="G9" s="291" t="s">
        <v>43</v>
      </c>
      <c r="H9" s="292"/>
      <c r="I9" s="65"/>
      <c r="J9" s="287"/>
      <c r="K9" s="287"/>
    </row>
    <row r="10" spans="1:11" ht="52.5" customHeight="1">
      <c r="B10" s="57">
        <v>2</v>
      </c>
      <c r="C10" s="66" t="str">
        <f>'Biavh-Q8'!Q22</f>
        <v>Ông Phạm Tấn Việt</v>
      </c>
      <c r="D10" s="66"/>
      <c r="E10" s="62"/>
      <c r="F10" s="61"/>
      <c r="G10" s="291" t="s">
        <v>42</v>
      </c>
      <c r="H10" s="292"/>
      <c r="I10" s="65"/>
      <c r="J10" s="287"/>
      <c r="K10" s="287"/>
    </row>
    <row r="11" spans="1:11" s="63" customFormat="1" ht="42" customHeight="1">
      <c r="B11" s="57"/>
      <c r="C11" s="289"/>
      <c r="D11" s="290"/>
      <c r="E11" s="62"/>
      <c r="F11" s="61"/>
      <c r="G11" s="291"/>
      <c r="H11" s="292"/>
      <c r="I11" s="64"/>
      <c r="J11" s="293"/>
      <c r="K11" s="294"/>
    </row>
    <row r="12" spans="1:11" ht="42" customHeight="1">
      <c r="B12" s="57"/>
      <c r="C12" s="289"/>
      <c r="D12" s="290"/>
      <c r="E12" s="62"/>
      <c r="F12" s="61"/>
      <c r="G12" s="291"/>
      <c r="H12" s="292"/>
      <c r="I12" s="59"/>
      <c r="J12" s="287"/>
      <c r="K12" s="287"/>
    </row>
    <row r="13" spans="1:11" ht="60.75" customHeight="1">
      <c r="B13" s="57"/>
      <c r="C13" s="289"/>
      <c r="D13" s="290"/>
      <c r="E13" s="60"/>
      <c r="F13" s="60"/>
      <c r="G13" s="291"/>
      <c r="H13" s="292"/>
      <c r="I13" s="59"/>
      <c r="J13" s="287"/>
      <c r="K13" s="287"/>
    </row>
    <row r="14" spans="1:11" ht="35.25" customHeight="1">
      <c r="B14" s="58" t="s">
        <v>41</v>
      </c>
      <c r="C14" s="286" t="s">
        <v>40</v>
      </c>
      <c r="D14" s="286"/>
      <c r="E14" s="287"/>
      <c r="F14" s="287"/>
      <c r="G14" s="287"/>
      <c r="H14" s="287"/>
      <c r="I14" s="56"/>
      <c r="J14" s="283"/>
      <c r="K14" s="283"/>
    </row>
    <row r="15" spans="1:11" ht="38.25" customHeight="1">
      <c r="B15" s="57">
        <v>1</v>
      </c>
      <c r="C15" s="281" t="str">
        <f>'Biavh-Q8'!Q16</f>
        <v>Ông Huỳnh Phước Hải</v>
      </c>
      <c r="D15" s="281"/>
      <c r="E15" s="282" t="s">
        <v>39</v>
      </c>
      <c r="F15" s="282"/>
      <c r="G15" s="288" t="s">
        <v>38</v>
      </c>
      <c r="H15" s="288"/>
      <c r="I15" s="56"/>
      <c r="J15" s="283"/>
      <c r="K15" s="283"/>
    </row>
    <row r="16" spans="1:11" ht="38.25" customHeight="1">
      <c r="B16" s="57"/>
      <c r="C16" s="281"/>
      <c r="D16" s="281"/>
      <c r="E16" s="282"/>
      <c r="F16" s="282"/>
      <c r="G16" s="281"/>
      <c r="H16" s="281"/>
      <c r="I16" s="56"/>
      <c r="J16" s="283"/>
      <c r="K16" s="283"/>
    </row>
    <row r="17" spans="2:11" ht="24" customHeight="1">
      <c r="B17" s="54"/>
      <c r="C17" s="284"/>
      <c r="D17" s="284"/>
      <c r="E17" s="285"/>
      <c r="F17" s="285"/>
      <c r="G17" s="285"/>
      <c r="H17" s="285"/>
      <c r="I17" s="55"/>
      <c r="J17" s="285"/>
      <c r="K17" s="285"/>
    </row>
    <row r="18" spans="2:11" ht="24" customHeight="1">
      <c r="B18" s="53"/>
      <c r="C18" s="53"/>
      <c r="D18" s="53"/>
      <c r="E18" s="53"/>
      <c r="F18" s="53"/>
      <c r="G18" s="53"/>
      <c r="H18" s="53"/>
      <c r="I18" s="53"/>
      <c r="J18" s="53"/>
      <c r="K18" s="53"/>
    </row>
    <row r="19" spans="2:11" ht="24" hidden="1" customHeight="1">
      <c r="B19" s="53"/>
      <c r="C19" s="53"/>
      <c r="D19" s="53"/>
      <c r="E19" s="53"/>
      <c r="F19" s="53"/>
      <c r="G19" s="53"/>
      <c r="H19" s="53"/>
      <c r="I19" s="53"/>
      <c r="J19" s="53"/>
      <c r="K19" s="53"/>
    </row>
    <row r="20" spans="2:11" ht="24" customHeight="1">
      <c r="B20" s="53"/>
      <c r="C20" s="53"/>
      <c r="D20" s="53"/>
      <c r="E20" s="53"/>
      <c r="F20" s="53"/>
      <c r="H20" s="41"/>
      <c r="I20" s="41"/>
      <c r="J20" s="41"/>
      <c r="K20" s="41"/>
    </row>
    <row r="21" spans="2:11" ht="51.75" customHeight="1">
      <c r="B21" s="53"/>
      <c r="C21" s="53"/>
      <c r="D21" s="53"/>
      <c r="E21" s="53"/>
      <c r="F21" s="53"/>
      <c r="G21" s="276"/>
      <c r="H21" s="276"/>
      <c r="I21" s="276"/>
      <c r="J21" s="276"/>
      <c r="K21" s="276"/>
    </row>
    <row r="22" spans="2:11" ht="16.5">
      <c r="B22" s="53"/>
      <c r="C22" s="53"/>
      <c r="D22" s="53"/>
      <c r="E22" s="53"/>
      <c r="F22" s="53"/>
      <c r="G22" s="277"/>
      <c r="H22" s="277"/>
      <c r="I22" s="277"/>
      <c r="J22" s="277"/>
      <c r="K22" s="277"/>
    </row>
    <row r="23" spans="2:11" ht="33.75" customHeight="1">
      <c r="B23" s="53"/>
      <c r="C23" s="53"/>
      <c r="D23" s="53"/>
      <c r="E23" s="53"/>
      <c r="F23" s="53"/>
      <c r="G23" s="278"/>
      <c r="H23" s="278"/>
      <c r="I23" s="278"/>
      <c r="J23" s="278"/>
      <c r="K23" s="278"/>
    </row>
    <row r="24" spans="2:11" ht="113.25" customHeight="1">
      <c r="B24" s="53"/>
      <c r="C24" s="53"/>
      <c r="D24" s="53"/>
      <c r="E24" s="53"/>
      <c r="F24" s="53"/>
      <c r="G24" s="280"/>
      <c r="H24" s="280"/>
      <c r="I24" s="280"/>
      <c r="J24" s="280"/>
      <c r="K24" s="280"/>
    </row>
    <row r="25" spans="2:11" ht="24" customHeight="1">
      <c r="B25" s="27"/>
      <c r="C25" s="27"/>
      <c r="D25" s="27"/>
      <c r="E25" s="27"/>
      <c r="F25" s="27"/>
    </row>
    <row r="26" spans="2:11" ht="24" customHeight="1">
      <c r="B26" s="27"/>
      <c r="C26" s="27"/>
      <c r="D26" s="27"/>
      <c r="E26" s="27"/>
      <c r="F26" s="27"/>
    </row>
    <row r="27" spans="2:11" ht="24" customHeight="1">
      <c r="B27" s="27"/>
      <c r="C27" s="27"/>
      <c r="D27" s="27"/>
      <c r="E27" s="27"/>
      <c r="F27" s="27"/>
    </row>
    <row r="28" spans="2:11" ht="16.5" customHeight="1">
      <c r="B28" s="27"/>
      <c r="C28" s="27"/>
      <c r="D28" s="27"/>
      <c r="E28" s="27"/>
      <c r="F28" s="27"/>
      <c r="G28" s="51"/>
      <c r="J28" s="52"/>
      <c r="K28" s="51"/>
    </row>
    <row r="29" spans="2:11" ht="16.5" customHeight="1">
      <c r="B29" s="27"/>
      <c r="C29" s="27"/>
      <c r="D29" s="27"/>
      <c r="E29" s="27"/>
      <c r="F29" s="27"/>
      <c r="G29" s="50"/>
      <c r="H29" s="50"/>
      <c r="I29" s="50"/>
      <c r="J29" s="50"/>
      <c r="K29" s="50"/>
    </row>
    <row r="30" spans="2:11" ht="16.5" customHeight="1">
      <c r="B30" s="27"/>
      <c r="C30" s="27"/>
      <c r="D30" s="27"/>
      <c r="E30" s="27"/>
      <c r="F30" s="27"/>
      <c r="G30" s="50"/>
      <c r="H30" s="50"/>
      <c r="I30" s="50"/>
      <c r="J30" s="50"/>
      <c r="K30" s="50"/>
    </row>
    <row r="31" spans="2:11" ht="16.5" customHeight="1">
      <c r="B31" s="27"/>
      <c r="C31" s="27"/>
      <c r="D31" s="27"/>
      <c r="E31" s="27"/>
      <c r="F31" s="27"/>
      <c r="G31" s="50"/>
      <c r="H31" s="50"/>
      <c r="I31" s="50"/>
      <c r="J31" s="50"/>
      <c r="K31" s="50"/>
    </row>
    <row r="32" spans="2:11" ht="16.5" customHeight="1">
      <c r="B32" s="27"/>
      <c r="C32" s="27"/>
      <c r="D32" s="27"/>
      <c r="E32" s="27"/>
      <c r="F32" s="27"/>
      <c r="G32" s="50"/>
      <c r="H32" s="50"/>
      <c r="I32" s="50"/>
      <c r="J32" s="50"/>
      <c r="K32" s="50"/>
    </row>
    <row r="33" spans="2:11" ht="16.5" customHeight="1">
      <c r="B33" s="27"/>
      <c r="C33" s="27"/>
      <c r="D33" s="27"/>
      <c r="E33" s="27"/>
      <c r="F33" s="27"/>
      <c r="G33" s="50"/>
      <c r="H33" s="50"/>
      <c r="I33" s="50"/>
      <c r="J33" s="50"/>
      <c r="K33" s="50"/>
    </row>
    <row r="34" spans="2:11" ht="16.5" customHeight="1">
      <c r="B34" s="27"/>
      <c r="C34" s="27"/>
      <c r="D34" s="27"/>
      <c r="E34" s="27"/>
      <c r="F34" s="27"/>
      <c r="G34" s="50"/>
      <c r="H34" s="50"/>
      <c r="I34" s="50"/>
      <c r="J34" s="50"/>
      <c r="K34" s="50"/>
    </row>
    <row r="35" spans="2:11" s="49" customFormat="1" ht="24" customHeight="1">
      <c r="B35" s="27"/>
      <c r="C35" s="27"/>
      <c r="D35" s="27"/>
      <c r="E35" s="27"/>
      <c r="F35" s="27"/>
      <c r="G35" s="50"/>
      <c r="H35" s="50"/>
      <c r="I35" s="50"/>
      <c r="J35" s="47"/>
      <c r="K35" s="50"/>
    </row>
    <row r="36" spans="2:11" s="48" customFormat="1" ht="20.100000000000001" customHeight="1"/>
  </sheetData>
  <mergeCells count="43">
    <mergeCell ref="C8:D8"/>
    <mergeCell ref="E8:F8"/>
    <mergeCell ref="G8:H8"/>
    <mergeCell ref="J8:K8"/>
    <mergeCell ref="C6:D6"/>
    <mergeCell ref="E6:F6"/>
    <mergeCell ref="G6:H6"/>
    <mergeCell ref="J6:K6"/>
    <mergeCell ref="J7:K7"/>
    <mergeCell ref="G9:H9"/>
    <mergeCell ref="J9:K9"/>
    <mergeCell ref="G10:H10"/>
    <mergeCell ref="J10:K10"/>
    <mergeCell ref="C11:D11"/>
    <mergeCell ref="G11:H11"/>
    <mergeCell ref="J11:K11"/>
    <mergeCell ref="C9:D9"/>
    <mergeCell ref="C12:D12"/>
    <mergeCell ref="G12:H12"/>
    <mergeCell ref="J12:K12"/>
    <mergeCell ref="C13:D13"/>
    <mergeCell ref="G13:H13"/>
    <mergeCell ref="J13:K13"/>
    <mergeCell ref="C14:D14"/>
    <mergeCell ref="E14:F14"/>
    <mergeCell ref="G14:H14"/>
    <mergeCell ref="J14:K14"/>
    <mergeCell ref="C15:D15"/>
    <mergeCell ref="E15:F15"/>
    <mergeCell ref="G15:H15"/>
    <mergeCell ref="J15:K15"/>
    <mergeCell ref="G24:K24"/>
    <mergeCell ref="G21:K21"/>
    <mergeCell ref="G22:K22"/>
    <mergeCell ref="G23:K23"/>
    <mergeCell ref="C16:D16"/>
    <mergeCell ref="E16:F16"/>
    <mergeCell ref="G16:H16"/>
    <mergeCell ref="J16:K16"/>
    <mergeCell ref="C17:D17"/>
    <mergeCell ref="E17:F17"/>
    <mergeCell ref="G17:H17"/>
    <mergeCell ref="J17:K17"/>
  </mergeCells>
  <printOptions horizontalCentered="1"/>
  <pageMargins left="0.62992125984252001" right="0.59055118110236204" top="0.15748031496063" bottom="7.8740157480315001E-2" header="0.31496062992126" footer="0.31496062992126"/>
  <pageSetup paperSize="9" scale="87" fitToHeight="0" orientation="portrait" r:id="rId1"/>
  <headerFooter>
    <oddFooter>&amp;C&amp;"Times New Roman,Regular"Trang 2</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6081" r:id="rId4" name="Spinner 1">
              <controlPr defaultSize="0" print="0" autoPict="0">
                <anchor>
                  <from>
                    <xdr:col>10</xdr:col>
                    <xdr:colOff>85725</xdr:colOff>
                    <xdr:row>0</xdr:row>
                    <xdr:rowOff>0</xdr:rowOff>
                  </from>
                  <to>
                    <xdr:col>10</xdr:col>
                    <xdr:colOff>371475</xdr:colOff>
                    <xdr:row>2</xdr:row>
                    <xdr:rowOff>295275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A1:AC2309"/>
  <sheetViews>
    <sheetView tabSelected="1" view="pageBreakPreview" topLeftCell="A2123" zoomScaleNormal="100" zoomScaleSheetLayoutView="100" workbookViewId="0">
      <selection activeCell="A2137" sqref="A2137:XFD2137"/>
    </sheetView>
  </sheetViews>
  <sheetFormatPr defaultColWidth="10.75" defaultRowHeight="14.25"/>
  <cols>
    <col min="1" max="1" width="4.75" style="83" customWidth="1"/>
    <col min="2" max="2" width="1.375" style="83" customWidth="1"/>
    <col min="3" max="3" width="13.75" style="149" customWidth="1"/>
    <col min="4" max="4" width="28.75" style="83" customWidth="1"/>
    <col min="5" max="5" width="7.625" style="83" hidden="1" customWidth="1"/>
    <col min="6" max="6" width="7.25" style="83" customWidth="1"/>
    <col min="7" max="12" width="7.125" style="83" customWidth="1"/>
    <col min="13" max="13" width="0.875" style="83" customWidth="1"/>
    <col min="14" max="14" width="9.125" style="215" customWidth="1"/>
    <col min="15" max="15" width="10.75" style="83"/>
    <col min="16" max="16" width="5.625" style="83" bestFit="1" customWidth="1"/>
    <col min="17" max="17" width="10.75" style="83"/>
    <col min="18" max="18" width="33.375" style="83" customWidth="1"/>
    <col min="19" max="29" width="4.75" style="83" customWidth="1"/>
    <col min="30" max="259" width="10.75" style="83"/>
    <col min="260" max="260" width="3.125" style="83" customWidth="1"/>
    <col min="261" max="261" width="1" style="83" customWidth="1"/>
    <col min="262" max="262" width="20.75" style="83" customWidth="1"/>
    <col min="263" max="263" width="28.25" style="83" customWidth="1"/>
    <col min="264" max="264" width="23.25" style="83" customWidth="1"/>
    <col min="265" max="265" width="7.25" style="83" customWidth="1"/>
    <col min="266" max="266" width="14.375" style="83" customWidth="1"/>
    <col min="267" max="267" width="0.875" style="83" customWidth="1"/>
    <col min="268" max="515" width="10.75" style="83"/>
    <col min="516" max="516" width="3.125" style="83" customWidth="1"/>
    <col min="517" max="517" width="1" style="83" customWidth="1"/>
    <col min="518" max="518" width="20.75" style="83" customWidth="1"/>
    <col min="519" max="519" width="28.25" style="83" customWidth="1"/>
    <col min="520" max="520" width="23.25" style="83" customWidth="1"/>
    <col min="521" max="521" width="7.25" style="83" customWidth="1"/>
    <col min="522" max="522" width="14.375" style="83" customWidth="1"/>
    <col min="523" max="523" width="0.875" style="83" customWidth="1"/>
    <col min="524" max="771" width="10.75" style="83"/>
    <col min="772" max="772" width="3.125" style="83" customWidth="1"/>
    <col min="773" max="773" width="1" style="83" customWidth="1"/>
    <col min="774" max="774" width="20.75" style="83" customWidth="1"/>
    <col min="775" max="775" width="28.25" style="83" customWidth="1"/>
    <col min="776" max="776" width="23.25" style="83" customWidth="1"/>
    <col min="777" max="777" width="7.25" style="83" customWidth="1"/>
    <col min="778" max="778" width="14.375" style="83" customWidth="1"/>
    <col min="779" max="779" width="0.875" style="83" customWidth="1"/>
    <col min="780" max="1027" width="10.75" style="83"/>
    <col min="1028" max="1028" width="3.125" style="83" customWidth="1"/>
    <col min="1029" max="1029" width="1" style="83" customWidth="1"/>
    <col min="1030" max="1030" width="20.75" style="83" customWidth="1"/>
    <col min="1031" max="1031" width="28.25" style="83" customWidth="1"/>
    <col min="1032" max="1032" width="23.25" style="83" customWidth="1"/>
    <col min="1033" max="1033" width="7.25" style="83" customWidth="1"/>
    <col min="1034" max="1034" width="14.375" style="83" customWidth="1"/>
    <col min="1035" max="1035" width="0.875" style="83" customWidth="1"/>
    <col min="1036" max="1283" width="10.75" style="83"/>
    <col min="1284" max="1284" width="3.125" style="83" customWidth="1"/>
    <col min="1285" max="1285" width="1" style="83" customWidth="1"/>
    <col min="1286" max="1286" width="20.75" style="83" customWidth="1"/>
    <col min="1287" max="1287" width="28.25" style="83" customWidth="1"/>
    <col min="1288" max="1288" width="23.25" style="83" customWidth="1"/>
    <col min="1289" max="1289" width="7.25" style="83" customWidth="1"/>
    <col min="1290" max="1290" width="14.375" style="83" customWidth="1"/>
    <col min="1291" max="1291" width="0.875" style="83" customWidth="1"/>
    <col min="1292" max="1539" width="10.75" style="83"/>
    <col min="1540" max="1540" width="3.125" style="83" customWidth="1"/>
    <col min="1541" max="1541" width="1" style="83" customWidth="1"/>
    <col min="1542" max="1542" width="20.75" style="83" customWidth="1"/>
    <col min="1543" max="1543" width="28.25" style="83" customWidth="1"/>
    <col min="1544" max="1544" width="23.25" style="83" customWidth="1"/>
    <col min="1545" max="1545" width="7.25" style="83" customWidth="1"/>
    <col min="1546" max="1546" width="14.375" style="83" customWidth="1"/>
    <col min="1547" max="1547" width="0.875" style="83" customWidth="1"/>
    <col min="1548" max="1795" width="10.75" style="83"/>
    <col min="1796" max="1796" width="3.125" style="83" customWidth="1"/>
    <col min="1797" max="1797" width="1" style="83" customWidth="1"/>
    <col min="1798" max="1798" width="20.75" style="83" customWidth="1"/>
    <col min="1799" max="1799" width="28.25" style="83" customWidth="1"/>
    <col min="1800" max="1800" width="23.25" style="83" customWidth="1"/>
    <col min="1801" max="1801" width="7.25" style="83" customWidth="1"/>
    <col min="1802" max="1802" width="14.375" style="83" customWidth="1"/>
    <col min="1803" max="1803" width="0.875" style="83" customWidth="1"/>
    <col min="1804" max="2051" width="10.75" style="83"/>
    <col min="2052" max="2052" width="3.125" style="83" customWidth="1"/>
    <col min="2053" max="2053" width="1" style="83" customWidth="1"/>
    <col min="2054" max="2054" width="20.75" style="83" customWidth="1"/>
    <col min="2055" max="2055" width="28.25" style="83" customWidth="1"/>
    <col min="2056" max="2056" width="23.25" style="83" customWidth="1"/>
    <col min="2057" max="2057" width="7.25" style="83" customWidth="1"/>
    <col min="2058" max="2058" width="14.375" style="83" customWidth="1"/>
    <col min="2059" max="2059" width="0.875" style="83" customWidth="1"/>
    <col min="2060" max="2307" width="10.75" style="83"/>
    <col min="2308" max="2308" width="3.125" style="83" customWidth="1"/>
    <col min="2309" max="2309" width="1" style="83" customWidth="1"/>
    <col min="2310" max="2310" width="20.75" style="83" customWidth="1"/>
    <col min="2311" max="2311" width="28.25" style="83" customWidth="1"/>
    <col min="2312" max="2312" width="23.25" style="83" customWidth="1"/>
    <col min="2313" max="2313" width="7.25" style="83" customWidth="1"/>
    <col min="2314" max="2314" width="14.375" style="83" customWidth="1"/>
    <col min="2315" max="2315" width="0.875" style="83" customWidth="1"/>
    <col min="2316" max="2563" width="10.75" style="83"/>
    <col min="2564" max="2564" width="3.125" style="83" customWidth="1"/>
    <col min="2565" max="2565" width="1" style="83" customWidth="1"/>
    <col min="2566" max="2566" width="20.75" style="83" customWidth="1"/>
    <col min="2567" max="2567" width="28.25" style="83" customWidth="1"/>
    <col min="2568" max="2568" width="23.25" style="83" customWidth="1"/>
    <col min="2569" max="2569" width="7.25" style="83" customWidth="1"/>
    <col min="2570" max="2570" width="14.375" style="83" customWidth="1"/>
    <col min="2571" max="2571" width="0.875" style="83" customWidth="1"/>
    <col min="2572" max="2819" width="10.75" style="83"/>
    <col min="2820" max="2820" width="3.125" style="83" customWidth="1"/>
    <col min="2821" max="2821" width="1" style="83" customWidth="1"/>
    <col min="2822" max="2822" width="20.75" style="83" customWidth="1"/>
    <col min="2823" max="2823" width="28.25" style="83" customWidth="1"/>
    <col min="2824" max="2824" width="23.25" style="83" customWidth="1"/>
    <col min="2825" max="2825" width="7.25" style="83" customWidth="1"/>
    <col min="2826" max="2826" width="14.375" style="83" customWidth="1"/>
    <col min="2827" max="2827" width="0.875" style="83" customWidth="1"/>
    <col min="2828" max="3075" width="10.75" style="83"/>
    <col min="3076" max="3076" width="3.125" style="83" customWidth="1"/>
    <col min="3077" max="3077" width="1" style="83" customWidth="1"/>
    <col min="3078" max="3078" width="20.75" style="83" customWidth="1"/>
    <col min="3079" max="3079" width="28.25" style="83" customWidth="1"/>
    <col min="3080" max="3080" width="23.25" style="83" customWidth="1"/>
    <col min="3081" max="3081" width="7.25" style="83" customWidth="1"/>
    <col min="3082" max="3082" width="14.375" style="83" customWidth="1"/>
    <col min="3083" max="3083" width="0.875" style="83" customWidth="1"/>
    <col min="3084" max="3331" width="10.75" style="83"/>
    <col min="3332" max="3332" width="3.125" style="83" customWidth="1"/>
    <col min="3333" max="3333" width="1" style="83" customWidth="1"/>
    <col min="3334" max="3334" width="20.75" style="83" customWidth="1"/>
    <col min="3335" max="3335" width="28.25" style="83" customWidth="1"/>
    <col min="3336" max="3336" width="23.25" style="83" customWidth="1"/>
    <col min="3337" max="3337" width="7.25" style="83" customWidth="1"/>
    <col min="3338" max="3338" width="14.375" style="83" customWidth="1"/>
    <col min="3339" max="3339" width="0.875" style="83" customWidth="1"/>
    <col min="3340" max="3587" width="10.75" style="83"/>
    <col min="3588" max="3588" width="3.125" style="83" customWidth="1"/>
    <col min="3589" max="3589" width="1" style="83" customWidth="1"/>
    <col min="3590" max="3590" width="20.75" style="83" customWidth="1"/>
    <col min="3591" max="3591" width="28.25" style="83" customWidth="1"/>
    <col min="3592" max="3592" width="23.25" style="83" customWidth="1"/>
    <col min="3593" max="3593" width="7.25" style="83" customWidth="1"/>
    <col min="3594" max="3594" width="14.375" style="83" customWidth="1"/>
    <col min="3595" max="3595" width="0.875" style="83" customWidth="1"/>
    <col min="3596" max="3843" width="10.75" style="83"/>
    <col min="3844" max="3844" width="3.125" style="83" customWidth="1"/>
    <col min="3845" max="3845" width="1" style="83" customWidth="1"/>
    <col min="3846" max="3846" width="20.75" style="83" customWidth="1"/>
    <col min="3847" max="3847" width="28.25" style="83" customWidth="1"/>
    <col min="3848" max="3848" width="23.25" style="83" customWidth="1"/>
    <col min="3849" max="3849" width="7.25" style="83" customWidth="1"/>
    <col min="3850" max="3850" width="14.375" style="83" customWidth="1"/>
    <col min="3851" max="3851" width="0.875" style="83" customWidth="1"/>
    <col min="3852" max="4099" width="10.75" style="83"/>
    <col min="4100" max="4100" width="3.125" style="83" customWidth="1"/>
    <col min="4101" max="4101" width="1" style="83" customWidth="1"/>
    <col min="4102" max="4102" width="20.75" style="83" customWidth="1"/>
    <col min="4103" max="4103" width="28.25" style="83" customWidth="1"/>
    <col min="4104" max="4104" width="23.25" style="83" customWidth="1"/>
    <col min="4105" max="4105" width="7.25" style="83" customWidth="1"/>
    <col min="4106" max="4106" width="14.375" style="83" customWidth="1"/>
    <col min="4107" max="4107" width="0.875" style="83" customWidth="1"/>
    <col min="4108" max="4355" width="10.75" style="83"/>
    <col min="4356" max="4356" width="3.125" style="83" customWidth="1"/>
    <col min="4357" max="4357" width="1" style="83" customWidth="1"/>
    <col min="4358" max="4358" width="20.75" style="83" customWidth="1"/>
    <col min="4359" max="4359" width="28.25" style="83" customWidth="1"/>
    <col min="4360" max="4360" width="23.25" style="83" customWidth="1"/>
    <col min="4361" max="4361" width="7.25" style="83" customWidth="1"/>
    <col min="4362" max="4362" width="14.375" style="83" customWidth="1"/>
    <col min="4363" max="4363" width="0.875" style="83" customWidth="1"/>
    <col min="4364" max="4611" width="10.75" style="83"/>
    <col min="4612" max="4612" width="3.125" style="83" customWidth="1"/>
    <col min="4613" max="4613" width="1" style="83" customWidth="1"/>
    <col min="4614" max="4614" width="20.75" style="83" customWidth="1"/>
    <col min="4615" max="4615" width="28.25" style="83" customWidth="1"/>
    <col min="4616" max="4616" width="23.25" style="83" customWidth="1"/>
    <col min="4617" max="4617" width="7.25" style="83" customWidth="1"/>
    <col min="4618" max="4618" width="14.375" style="83" customWidth="1"/>
    <col min="4619" max="4619" width="0.875" style="83" customWidth="1"/>
    <col min="4620" max="4867" width="10.75" style="83"/>
    <col min="4868" max="4868" width="3.125" style="83" customWidth="1"/>
    <col min="4869" max="4869" width="1" style="83" customWidth="1"/>
    <col min="4870" max="4870" width="20.75" style="83" customWidth="1"/>
    <col min="4871" max="4871" width="28.25" style="83" customWidth="1"/>
    <col min="4872" max="4872" width="23.25" style="83" customWidth="1"/>
    <col min="4873" max="4873" width="7.25" style="83" customWidth="1"/>
    <col min="4874" max="4874" width="14.375" style="83" customWidth="1"/>
    <col min="4875" max="4875" width="0.875" style="83" customWidth="1"/>
    <col min="4876" max="5123" width="10.75" style="83"/>
    <col min="5124" max="5124" width="3.125" style="83" customWidth="1"/>
    <col min="5125" max="5125" width="1" style="83" customWidth="1"/>
    <col min="5126" max="5126" width="20.75" style="83" customWidth="1"/>
    <col min="5127" max="5127" width="28.25" style="83" customWidth="1"/>
    <col min="5128" max="5128" width="23.25" style="83" customWidth="1"/>
    <col min="5129" max="5129" width="7.25" style="83" customWidth="1"/>
    <col min="5130" max="5130" width="14.375" style="83" customWidth="1"/>
    <col min="5131" max="5131" width="0.875" style="83" customWidth="1"/>
    <col min="5132" max="5379" width="10.75" style="83"/>
    <col min="5380" max="5380" width="3.125" style="83" customWidth="1"/>
    <col min="5381" max="5381" width="1" style="83" customWidth="1"/>
    <col min="5382" max="5382" width="20.75" style="83" customWidth="1"/>
    <col min="5383" max="5383" width="28.25" style="83" customWidth="1"/>
    <col min="5384" max="5384" width="23.25" style="83" customWidth="1"/>
    <col min="5385" max="5385" width="7.25" style="83" customWidth="1"/>
    <col min="5386" max="5386" width="14.375" style="83" customWidth="1"/>
    <col min="5387" max="5387" width="0.875" style="83" customWidth="1"/>
    <col min="5388" max="5635" width="10.75" style="83"/>
    <col min="5636" max="5636" width="3.125" style="83" customWidth="1"/>
    <col min="5637" max="5637" width="1" style="83" customWidth="1"/>
    <col min="5638" max="5638" width="20.75" style="83" customWidth="1"/>
    <col min="5639" max="5639" width="28.25" style="83" customWidth="1"/>
    <col min="5640" max="5640" width="23.25" style="83" customWidth="1"/>
    <col min="5641" max="5641" width="7.25" style="83" customWidth="1"/>
    <col min="5642" max="5642" width="14.375" style="83" customWidth="1"/>
    <col min="5643" max="5643" width="0.875" style="83" customWidth="1"/>
    <col min="5644" max="5891" width="10.75" style="83"/>
    <col min="5892" max="5892" width="3.125" style="83" customWidth="1"/>
    <col min="5893" max="5893" width="1" style="83" customWidth="1"/>
    <col min="5894" max="5894" width="20.75" style="83" customWidth="1"/>
    <col min="5895" max="5895" width="28.25" style="83" customWidth="1"/>
    <col min="5896" max="5896" width="23.25" style="83" customWidth="1"/>
    <col min="5897" max="5897" width="7.25" style="83" customWidth="1"/>
    <col min="5898" max="5898" width="14.375" style="83" customWidth="1"/>
    <col min="5899" max="5899" width="0.875" style="83" customWidth="1"/>
    <col min="5900" max="6147" width="10.75" style="83"/>
    <col min="6148" max="6148" width="3.125" style="83" customWidth="1"/>
    <col min="6149" max="6149" width="1" style="83" customWidth="1"/>
    <col min="6150" max="6150" width="20.75" style="83" customWidth="1"/>
    <col min="6151" max="6151" width="28.25" style="83" customWidth="1"/>
    <col min="6152" max="6152" width="23.25" style="83" customWidth="1"/>
    <col min="6153" max="6153" width="7.25" style="83" customWidth="1"/>
    <col min="6154" max="6154" width="14.375" style="83" customWidth="1"/>
    <col min="6155" max="6155" width="0.875" style="83" customWidth="1"/>
    <col min="6156" max="6403" width="10.75" style="83"/>
    <col min="6404" max="6404" width="3.125" style="83" customWidth="1"/>
    <col min="6405" max="6405" width="1" style="83" customWidth="1"/>
    <col min="6406" max="6406" width="20.75" style="83" customWidth="1"/>
    <col min="6407" max="6407" width="28.25" style="83" customWidth="1"/>
    <col min="6408" max="6408" width="23.25" style="83" customWidth="1"/>
    <col min="6409" max="6409" width="7.25" style="83" customWidth="1"/>
    <col min="6410" max="6410" width="14.375" style="83" customWidth="1"/>
    <col min="6411" max="6411" width="0.875" style="83" customWidth="1"/>
    <col min="6412" max="6659" width="10.75" style="83"/>
    <col min="6660" max="6660" width="3.125" style="83" customWidth="1"/>
    <col min="6661" max="6661" width="1" style="83" customWidth="1"/>
    <col min="6662" max="6662" width="20.75" style="83" customWidth="1"/>
    <col min="6663" max="6663" width="28.25" style="83" customWidth="1"/>
    <col min="6664" max="6664" width="23.25" style="83" customWidth="1"/>
    <col min="6665" max="6665" width="7.25" style="83" customWidth="1"/>
    <col min="6666" max="6666" width="14.375" style="83" customWidth="1"/>
    <col min="6667" max="6667" width="0.875" style="83" customWidth="1"/>
    <col min="6668" max="6915" width="10.75" style="83"/>
    <col min="6916" max="6916" width="3.125" style="83" customWidth="1"/>
    <col min="6917" max="6917" width="1" style="83" customWidth="1"/>
    <col min="6918" max="6918" width="20.75" style="83" customWidth="1"/>
    <col min="6919" max="6919" width="28.25" style="83" customWidth="1"/>
    <col min="6920" max="6920" width="23.25" style="83" customWidth="1"/>
    <col min="6921" max="6921" width="7.25" style="83" customWidth="1"/>
    <col min="6922" max="6922" width="14.375" style="83" customWidth="1"/>
    <col min="6923" max="6923" width="0.875" style="83" customWidth="1"/>
    <col min="6924" max="7171" width="10.75" style="83"/>
    <col min="7172" max="7172" width="3.125" style="83" customWidth="1"/>
    <col min="7173" max="7173" width="1" style="83" customWidth="1"/>
    <col min="7174" max="7174" width="20.75" style="83" customWidth="1"/>
    <col min="7175" max="7175" width="28.25" style="83" customWidth="1"/>
    <col min="7176" max="7176" width="23.25" style="83" customWidth="1"/>
    <col min="7177" max="7177" width="7.25" style="83" customWidth="1"/>
    <col min="7178" max="7178" width="14.375" style="83" customWidth="1"/>
    <col min="7179" max="7179" width="0.875" style="83" customWidth="1"/>
    <col min="7180" max="7427" width="10.75" style="83"/>
    <col min="7428" max="7428" width="3.125" style="83" customWidth="1"/>
    <col min="7429" max="7429" width="1" style="83" customWidth="1"/>
    <col min="7430" max="7430" width="20.75" style="83" customWidth="1"/>
    <col min="7431" max="7431" width="28.25" style="83" customWidth="1"/>
    <col min="7432" max="7432" width="23.25" style="83" customWidth="1"/>
    <col min="7433" max="7433" width="7.25" style="83" customWidth="1"/>
    <col min="7434" max="7434" width="14.375" style="83" customWidth="1"/>
    <col min="7435" max="7435" width="0.875" style="83" customWidth="1"/>
    <col min="7436" max="7683" width="10.75" style="83"/>
    <col min="7684" max="7684" width="3.125" style="83" customWidth="1"/>
    <col min="7685" max="7685" width="1" style="83" customWidth="1"/>
    <col min="7686" max="7686" width="20.75" style="83" customWidth="1"/>
    <col min="7687" max="7687" width="28.25" style="83" customWidth="1"/>
    <col min="7688" max="7688" width="23.25" style="83" customWidth="1"/>
    <col min="7689" max="7689" width="7.25" style="83" customWidth="1"/>
    <col min="7690" max="7690" width="14.375" style="83" customWidth="1"/>
    <col min="7691" max="7691" width="0.875" style="83" customWidth="1"/>
    <col min="7692" max="7939" width="10.75" style="83"/>
    <col min="7940" max="7940" width="3.125" style="83" customWidth="1"/>
    <col min="7941" max="7941" width="1" style="83" customWidth="1"/>
    <col min="7942" max="7942" width="20.75" style="83" customWidth="1"/>
    <col min="7943" max="7943" width="28.25" style="83" customWidth="1"/>
    <col min="7944" max="7944" width="23.25" style="83" customWidth="1"/>
    <col min="7945" max="7945" width="7.25" style="83" customWidth="1"/>
    <col min="7946" max="7946" width="14.375" style="83" customWidth="1"/>
    <col min="7947" max="7947" width="0.875" style="83" customWidth="1"/>
    <col min="7948" max="8195" width="10.75" style="83"/>
    <col min="8196" max="8196" width="3.125" style="83" customWidth="1"/>
    <col min="8197" max="8197" width="1" style="83" customWidth="1"/>
    <col min="8198" max="8198" width="20.75" style="83" customWidth="1"/>
    <col min="8199" max="8199" width="28.25" style="83" customWidth="1"/>
    <col min="8200" max="8200" width="23.25" style="83" customWidth="1"/>
    <col min="8201" max="8201" width="7.25" style="83" customWidth="1"/>
    <col min="8202" max="8202" width="14.375" style="83" customWidth="1"/>
    <col min="8203" max="8203" width="0.875" style="83" customWidth="1"/>
    <col min="8204" max="8451" width="10.75" style="83"/>
    <col min="8452" max="8452" width="3.125" style="83" customWidth="1"/>
    <col min="8453" max="8453" width="1" style="83" customWidth="1"/>
    <col min="8454" max="8454" width="20.75" style="83" customWidth="1"/>
    <col min="8455" max="8455" width="28.25" style="83" customWidth="1"/>
    <col min="8456" max="8456" width="23.25" style="83" customWidth="1"/>
    <col min="8457" max="8457" width="7.25" style="83" customWidth="1"/>
    <col min="8458" max="8458" width="14.375" style="83" customWidth="1"/>
    <col min="8459" max="8459" width="0.875" style="83" customWidth="1"/>
    <col min="8460" max="8707" width="10.75" style="83"/>
    <col min="8708" max="8708" width="3.125" style="83" customWidth="1"/>
    <col min="8709" max="8709" width="1" style="83" customWidth="1"/>
    <col min="8710" max="8710" width="20.75" style="83" customWidth="1"/>
    <col min="8711" max="8711" width="28.25" style="83" customWidth="1"/>
    <col min="8712" max="8712" width="23.25" style="83" customWidth="1"/>
    <col min="8713" max="8713" width="7.25" style="83" customWidth="1"/>
    <col min="8714" max="8714" width="14.375" style="83" customWidth="1"/>
    <col min="8715" max="8715" width="0.875" style="83" customWidth="1"/>
    <col min="8716" max="8963" width="10.75" style="83"/>
    <col min="8964" max="8964" width="3.125" style="83" customWidth="1"/>
    <col min="8965" max="8965" width="1" style="83" customWidth="1"/>
    <col min="8966" max="8966" width="20.75" style="83" customWidth="1"/>
    <col min="8967" max="8967" width="28.25" style="83" customWidth="1"/>
    <col min="8968" max="8968" width="23.25" style="83" customWidth="1"/>
    <col min="8969" max="8969" width="7.25" style="83" customWidth="1"/>
    <col min="8970" max="8970" width="14.375" style="83" customWidth="1"/>
    <col min="8971" max="8971" width="0.875" style="83" customWidth="1"/>
    <col min="8972" max="9219" width="10.75" style="83"/>
    <col min="9220" max="9220" width="3.125" style="83" customWidth="1"/>
    <col min="9221" max="9221" width="1" style="83" customWidth="1"/>
    <col min="9222" max="9222" width="20.75" style="83" customWidth="1"/>
    <col min="9223" max="9223" width="28.25" style="83" customWidth="1"/>
    <col min="9224" max="9224" width="23.25" style="83" customWidth="1"/>
    <col min="9225" max="9225" width="7.25" style="83" customWidth="1"/>
    <col min="9226" max="9226" width="14.375" style="83" customWidth="1"/>
    <col min="9227" max="9227" width="0.875" style="83" customWidth="1"/>
    <col min="9228" max="9475" width="10.75" style="83"/>
    <col min="9476" max="9476" width="3.125" style="83" customWidth="1"/>
    <col min="9477" max="9477" width="1" style="83" customWidth="1"/>
    <col min="9478" max="9478" width="20.75" style="83" customWidth="1"/>
    <col min="9479" max="9479" width="28.25" style="83" customWidth="1"/>
    <col min="9480" max="9480" width="23.25" style="83" customWidth="1"/>
    <col min="9481" max="9481" width="7.25" style="83" customWidth="1"/>
    <col min="9482" max="9482" width="14.375" style="83" customWidth="1"/>
    <col min="9483" max="9483" width="0.875" style="83" customWidth="1"/>
    <col min="9484" max="9731" width="10.75" style="83"/>
    <col min="9732" max="9732" width="3.125" style="83" customWidth="1"/>
    <col min="9733" max="9733" width="1" style="83" customWidth="1"/>
    <col min="9734" max="9734" width="20.75" style="83" customWidth="1"/>
    <col min="9735" max="9735" width="28.25" style="83" customWidth="1"/>
    <col min="9736" max="9736" width="23.25" style="83" customWidth="1"/>
    <col min="9737" max="9737" width="7.25" style="83" customWidth="1"/>
    <col min="9738" max="9738" width="14.375" style="83" customWidth="1"/>
    <col min="9739" max="9739" width="0.875" style="83" customWidth="1"/>
    <col min="9740" max="9987" width="10.75" style="83"/>
    <col min="9988" max="9988" width="3.125" style="83" customWidth="1"/>
    <col min="9989" max="9989" width="1" style="83" customWidth="1"/>
    <col min="9990" max="9990" width="20.75" style="83" customWidth="1"/>
    <col min="9991" max="9991" width="28.25" style="83" customWidth="1"/>
    <col min="9992" max="9992" width="23.25" style="83" customWidth="1"/>
    <col min="9993" max="9993" width="7.25" style="83" customWidth="1"/>
    <col min="9994" max="9994" width="14.375" style="83" customWidth="1"/>
    <col min="9995" max="9995" width="0.875" style="83" customWidth="1"/>
    <col min="9996" max="10243" width="10.75" style="83"/>
    <col min="10244" max="10244" width="3.125" style="83" customWidth="1"/>
    <col min="10245" max="10245" width="1" style="83" customWidth="1"/>
    <col min="10246" max="10246" width="20.75" style="83" customWidth="1"/>
    <col min="10247" max="10247" width="28.25" style="83" customWidth="1"/>
    <col min="10248" max="10248" width="23.25" style="83" customWidth="1"/>
    <col min="10249" max="10249" width="7.25" style="83" customWidth="1"/>
    <col min="10250" max="10250" width="14.375" style="83" customWidth="1"/>
    <col min="10251" max="10251" width="0.875" style="83" customWidth="1"/>
    <col min="10252" max="10499" width="10.75" style="83"/>
    <col min="10500" max="10500" width="3.125" style="83" customWidth="1"/>
    <col min="10501" max="10501" width="1" style="83" customWidth="1"/>
    <col min="10502" max="10502" width="20.75" style="83" customWidth="1"/>
    <col min="10503" max="10503" width="28.25" style="83" customWidth="1"/>
    <col min="10504" max="10504" width="23.25" style="83" customWidth="1"/>
    <col min="10505" max="10505" width="7.25" style="83" customWidth="1"/>
    <col min="10506" max="10506" width="14.375" style="83" customWidth="1"/>
    <col min="10507" max="10507" width="0.875" style="83" customWidth="1"/>
    <col min="10508" max="10755" width="10.75" style="83"/>
    <col min="10756" max="10756" width="3.125" style="83" customWidth="1"/>
    <col min="10757" max="10757" width="1" style="83" customWidth="1"/>
    <col min="10758" max="10758" width="20.75" style="83" customWidth="1"/>
    <col min="10759" max="10759" width="28.25" style="83" customWidth="1"/>
    <col min="10760" max="10760" width="23.25" style="83" customWidth="1"/>
    <col min="10761" max="10761" width="7.25" style="83" customWidth="1"/>
    <col min="10762" max="10762" width="14.375" style="83" customWidth="1"/>
    <col min="10763" max="10763" width="0.875" style="83" customWidth="1"/>
    <col min="10764" max="11011" width="10.75" style="83"/>
    <col min="11012" max="11012" width="3.125" style="83" customWidth="1"/>
    <col min="11013" max="11013" width="1" style="83" customWidth="1"/>
    <col min="11014" max="11014" width="20.75" style="83" customWidth="1"/>
    <col min="11015" max="11015" width="28.25" style="83" customWidth="1"/>
    <col min="11016" max="11016" width="23.25" style="83" customWidth="1"/>
    <col min="11017" max="11017" width="7.25" style="83" customWidth="1"/>
    <col min="11018" max="11018" width="14.375" style="83" customWidth="1"/>
    <col min="11019" max="11019" width="0.875" style="83" customWidth="1"/>
    <col min="11020" max="11267" width="10.75" style="83"/>
    <col min="11268" max="11268" width="3.125" style="83" customWidth="1"/>
    <col min="11269" max="11269" width="1" style="83" customWidth="1"/>
    <col min="11270" max="11270" width="20.75" style="83" customWidth="1"/>
    <col min="11271" max="11271" width="28.25" style="83" customWidth="1"/>
    <col min="11272" max="11272" width="23.25" style="83" customWidth="1"/>
    <col min="11273" max="11273" width="7.25" style="83" customWidth="1"/>
    <col min="11274" max="11274" width="14.375" style="83" customWidth="1"/>
    <col min="11275" max="11275" width="0.875" style="83" customWidth="1"/>
    <col min="11276" max="11523" width="10.75" style="83"/>
    <col min="11524" max="11524" width="3.125" style="83" customWidth="1"/>
    <col min="11525" max="11525" width="1" style="83" customWidth="1"/>
    <col min="11526" max="11526" width="20.75" style="83" customWidth="1"/>
    <col min="11527" max="11527" width="28.25" style="83" customWidth="1"/>
    <col min="11528" max="11528" width="23.25" style="83" customWidth="1"/>
    <col min="11529" max="11529" width="7.25" style="83" customWidth="1"/>
    <col min="11530" max="11530" width="14.375" style="83" customWidth="1"/>
    <col min="11531" max="11531" width="0.875" style="83" customWidth="1"/>
    <col min="11532" max="11779" width="10.75" style="83"/>
    <col min="11780" max="11780" width="3.125" style="83" customWidth="1"/>
    <col min="11781" max="11781" width="1" style="83" customWidth="1"/>
    <col min="11782" max="11782" width="20.75" style="83" customWidth="1"/>
    <col min="11783" max="11783" width="28.25" style="83" customWidth="1"/>
    <col min="11784" max="11784" width="23.25" style="83" customWidth="1"/>
    <col min="11785" max="11785" width="7.25" style="83" customWidth="1"/>
    <col min="11786" max="11786" width="14.375" style="83" customWidth="1"/>
    <col min="11787" max="11787" width="0.875" style="83" customWidth="1"/>
    <col min="11788" max="12035" width="10.75" style="83"/>
    <col min="12036" max="12036" width="3.125" style="83" customWidth="1"/>
    <col min="12037" max="12037" width="1" style="83" customWidth="1"/>
    <col min="12038" max="12038" width="20.75" style="83" customWidth="1"/>
    <col min="12039" max="12039" width="28.25" style="83" customWidth="1"/>
    <col min="12040" max="12040" width="23.25" style="83" customWidth="1"/>
    <col min="12041" max="12041" width="7.25" style="83" customWidth="1"/>
    <col min="12042" max="12042" width="14.375" style="83" customWidth="1"/>
    <col min="12043" max="12043" width="0.875" style="83" customWidth="1"/>
    <col min="12044" max="12291" width="10.75" style="83"/>
    <col min="12292" max="12292" width="3.125" style="83" customWidth="1"/>
    <col min="12293" max="12293" width="1" style="83" customWidth="1"/>
    <col min="12294" max="12294" width="20.75" style="83" customWidth="1"/>
    <col min="12295" max="12295" width="28.25" style="83" customWidth="1"/>
    <col min="12296" max="12296" width="23.25" style="83" customWidth="1"/>
    <col min="12297" max="12297" width="7.25" style="83" customWidth="1"/>
    <col min="12298" max="12298" width="14.375" style="83" customWidth="1"/>
    <col min="12299" max="12299" width="0.875" style="83" customWidth="1"/>
    <col min="12300" max="12547" width="10.75" style="83"/>
    <col min="12548" max="12548" width="3.125" style="83" customWidth="1"/>
    <col min="12549" max="12549" width="1" style="83" customWidth="1"/>
    <col min="12550" max="12550" width="20.75" style="83" customWidth="1"/>
    <col min="12551" max="12551" width="28.25" style="83" customWidth="1"/>
    <col min="12552" max="12552" width="23.25" style="83" customWidth="1"/>
    <col min="12553" max="12553" width="7.25" style="83" customWidth="1"/>
    <col min="12554" max="12554" width="14.375" style="83" customWidth="1"/>
    <col min="12555" max="12555" width="0.875" style="83" customWidth="1"/>
    <col min="12556" max="12803" width="10.75" style="83"/>
    <col min="12804" max="12804" width="3.125" style="83" customWidth="1"/>
    <col min="12805" max="12805" width="1" style="83" customWidth="1"/>
    <col min="12806" max="12806" width="20.75" style="83" customWidth="1"/>
    <col min="12807" max="12807" width="28.25" style="83" customWidth="1"/>
    <col min="12808" max="12808" width="23.25" style="83" customWidth="1"/>
    <col min="12809" max="12809" width="7.25" style="83" customWidth="1"/>
    <col min="12810" max="12810" width="14.375" style="83" customWidth="1"/>
    <col min="12811" max="12811" width="0.875" style="83" customWidth="1"/>
    <col min="12812" max="13059" width="10.75" style="83"/>
    <col min="13060" max="13060" width="3.125" style="83" customWidth="1"/>
    <col min="13061" max="13061" width="1" style="83" customWidth="1"/>
    <col min="13062" max="13062" width="20.75" style="83" customWidth="1"/>
    <col min="13063" max="13063" width="28.25" style="83" customWidth="1"/>
    <col min="13064" max="13064" width="23.25" style="83" customWidth="1"/>
    <col min="13065" max="13065" width="7.25" style="83" customWidth="1"/>
    <col min="13066" max="13066" width="14.375" style="83" customWidth="1"/>
    <col min="13067" max="13067" width="0.875" style="83" customWidth="1"/>
    <col min="13068" max="13315" width="10.75" style="83"/>
    <col min="13316" max="13316" width="3.125" style="83" customWidth="1"/>
    <col min="13317" max="13317" width="1" style="83" customWidth="1"/>
    <col min="13318" max="13318" width="20.75" style="83" customWidth="1"/>
    <col min="13319" max="13319" width="28.25" style="83" customWidth="1"/>
    <col min="13320" max="13320" width="23.25" style="83" customWidth="1"/>
    <col min="13321" max="13321" width="7.25" style="83" customWidth="1"/>
    <col min="13322" max="13322" width="14.375" style="83" customWidth="1"/>
    <col min="13323" max="13323" width="0.875" style="83" customWidth="1"/>
    <col min="13324" max="13571" width="10.75" style="83"/>
    <col min="13572" max="13572" width="3.125" style="83" customWidth="1"/>
    <col min="13573" max="13573" width="1" style="83" customWidth="1"/>
    <col min="13574" max="13574" width="20.75" style="83" customWidth="1"/>
    <col min="13575" max="13575" width="28.25" style="83" customWidth="1"/>
    <col min="13576" max="13576" width="23.25" style="83" customWidth="1"/>
    <col min="13577" max="13577" width="7.25" style="83" customWidth="1"/>
    <col min="13578" max="13578" width="14.375" style="83" customWidth="1"/>
    <col min="13579" max="13579" width="0.875" style="83" customWidth="1"/>
    <col min="13580" max="13827" width="10.75" style="83"/>
    <col min="13828" max="13828" width="3.125" style="83" customWidth="1"/>
    <col min="13829" max="13829" width="1" style="83" customWidth="1"/>
    <col min="13830" max="13830" width="20.75" style="83" customWidth="1"/>
    <col min="13831" max="13831" width="28.25" style="83" customWidth="1"/>
    <col min="13832" max="13832" width="23.25" style="83" customWidth="1"/>
    <col min="13833" max="13833" width="7.25" style="83" customWidth="1"/>
    <col min="13834" max="13834" width="14.375" style="83" customWidth="1"/>
    <col min="13835" max="13835" width="0.875" style="83" customWidth="1"/>
    <col min="13836" max="14083" width="10.75" style="83"/>
    <col min="14084" max="14084" width="3.125" style="83" customWidth="1"/>
    <col min="14085" max="14085" width="1" style="83" customWidth="1"/>
    <col min="14086" max="14086" width="20.75" style="83" customWidth="1"/>
    <col min="14087" max="14087" width="28.25" style="83" customWidth="1"/>
    <col min="14088" max="14088" width="23.25" style="83" customWidth="1"/>
    <col min="14089" max="14089" width="7.25" style="83" customWidth="1"/>
    <col min="14090" max="14090" width="14.375" style="83" customWidth="1"/>
    <col min="14091" max="14091" width="0.875" style="83" customWidth="1"/>
    <col min="14092" max="14339" width="10.75" style="83"/>
    <col min="14340" max="14340" width="3.125" style="83" customWidth="1"/>
    <col min="14341" max="14341" width="1" style="83" customWidth="1"/>
    <col min="14342" max="14342" width="20.75" style="83" customWidth="1"/>
    <col min="14343" max="14343" width="28.25" style="83" customWidth="1"/>
    <col min="14344" max="14344" width="23.25" style="83" customWidth="1"/>
    <col min="14345" max="14345" width="7.25" style="83" customWidth="1"/>
    <col min="14346" max="14346" width="14.375" style="83" customWidth="1"/>
    <col min="14347" max="14347" width="0.875" style="83" customWidth="1"/>
    <col min="14348" max="14595" width="10.75" style="83"/>
    <col min="14596" max="14596" width="3.125" style="83" customWidth="1"/>
    <col min="14597" max="14597" width="1" style="83" customWidth="1"/>
    <col min="14598" max="14598" width="20.75" style="83" customWidth="1"/>
    <col min="14599" max="14599" width="28.25" style="83" customWidth="1"/>
    <col min="14600" max="14600" width="23.25" style="83" customWidth="1"/>
    <col min="14601" max="14601" width="7.25" style="83" customWidth="1"/>
    <col min="14602" max="14602" width="14.375" style="83" customWidth="1"/>
    <col min="14603" max="14603" width="0.875" style="83" customWidth="1"/>
    <col min="14604" max="14851" width="10.75" style="83"/>
    <col min="14852" max="14852" width="3.125" style="83" customWidth="1"/>
    <col min="14853" max="14853" width="1" style="83" customWidth="1"/>
    <col min="14854" max="14854" width="20.75" style="83" customWidth="1"/>
    <col min="14855" max="14855" width="28.25" style="83" customWidth="1"/>
    <col min="14856" max="14856" width="23.25" style="83" customWidth="1"/>
    <col min="14857" max="14857" width="7.25" style="83" customWidth="1"/>
    <col min="14858" max="14858" width="14.375" style="83" customWidth="1"/>
    <col min="14859" max="14859" width="0.875" style="83" customWidth="1"/>
    <col min="14860" max="15107" width="10.75" style="83"/>
    <col min="15108" max="15108" width="3.125" style="83" customWidth="1"/>
    <col min="15109" max="15109" width="1" style="83" customWidth="1"/>
    <col min="15110" max="15110" width="20.75" style="83" customWidth="1"/>
    <col min="15111" max="15111" width="28.25" style="83" customWidth="1"/>
    <col min="15112" max="15112" width="23.25" style="83" customWidth="1"/>
    <col min="15113" max="15113" width="7.25" style="83" customWidth="1"/>
    <col min="15114" max="15114" width="14.375" style="83" customWidth="1"/>
    <col min="15115" max="15115" width="0.875" style="83" customWidth="1"/>
    <col min="15116" max="15363" width="10.75" style="83"/>
    <col min="15364" max="15364" width="3.125" style="83" customWidth="1"/>
    <col min="15365" max="15365" width="1" style="83" customWidth="1"/>
    <col min="15366" max="15366" width="20.75" style="83" customWidth="1"/>
    <col min="15367" max="15367" width="28.25" style="83" customWidth="1"/>
    <col min="15368" max="15368" width="23.25" style="83" customWidth="1"/>
    <col min="15369" max="15369" width="7.25" style="83" customWidth="1"/>
    <col min="15370" max="15370" width="14.375" style="83" customWidth="1"/>
    <col min="15371" max="15371" width="0.875" style="83" customWidth="1"/>
    <col min="15372" max="15619" width="10.75" style="83"/>
    <col min="15620" max="15620" width="3.125" style="83" customWidth="1"/>
    <col min="15621" max="15621" width="1" style="83" customWidth="1"/>
    <col min="15622" max="15622" width="20.75" style="83" customWidth="1"/>
    <col min="15623" max="15623" width="28.25" style="83" customWidth="1"/>
    <col min="15624" max="15624" width="23.25" style="83" customWidth="1"/>
    <col min="15625" max="15625" width="7.25" style="83" customWidth="1"/>
    <col min="15626" max="15626" width="14.375" style="83" customWidth="1"/>
    <col min="15627" max="15627" width="0.875" style="83" customWidth="1"/>
    <col min="15628" max="15875" width="10.75" style="83"/>
    <col min="15876" max="15876" width="3.125" style="83" customWidth="1"/>
    <col min="15877" max="15877" width="1" style="83" customWidth="1"/>
    <col min="15878" max="15878" width="20.75" style="83" customWidth="1"/>
    <col min="15879" max="15879" width="28.25" style="83" customWidth="1"/>
    <col min="15880" max="15880" width="23.25" style="83" customWidth="1"/>
    <col min="15881" max="15881" width="7.25" style="83" customWidth="1"/>
    <col min="15882" max="15882" width="14.375" style="83" customWidth="1"/>
    <col min="15883" max="15883" width="0.875" style="83" customWidth="1"/>
    <col min="15884" max="16131" width="10.75" style="83"/>
    <col min="16132" max="16132" width="3.125" style="83" customWidth="1"/>
    <col min="16133" max="16133" width="1" style="83" customWidth="1"/>
    <col min="16134" max="16134" width="20.75" style="83" customWidth="1"/>
    <col min="16135" max="16135" width="28.25" style="83" customWidth="1"/>
    <col min="16136" max="16136" width="23.25" style="83" customWidth="1"/>
    <col min="16137" max="16137" width="7.25" style="83" customWidth="1"/>
    <col min="16138" max="16138" width="14.375" style="83" customWidth="1"/>
    <col min="16139" max="16139" width="0.875" style="83" customWidth="1"/>
    <col min="16140" max="16384" width="10.75" style="83"/>
  </cols>
  <sheetData>
    <row r="1" spans="1:29" ht="21.75" customHeight="1">
      <c r="A1" s="348" t="s">
        <v>165</v>
      </c>
      <c r="B1" s="348"/>
      <c r="C1" s="348"/>
      <c r="D1" s="348"/>
      <c r="E1" s="348"/>
      <c r="F1" s="348"/>
      <c r="G1" s="348"/>
      <c r="H1" s="348"/>
      <c r="I1" s="348"/>
      <c r="J1" s="348"/>
      <c r="K1" s="348"/>
      <c r="L1" s="348"/>
      <c r="M1" s="82"/>
    </row>
    <row r="2" spans="1:29" ht="19.5">
      <c r="A2" s="84" t="str">
        <f>"Ngày "&amp;N3&amp;" tháng "&amp;O3&amp;" năm "&amp;P3&amp;""</f>
        <v>Ngày 01 tháng 07 năm 2026</v>
      </c>
      <c r="B2" s="84"/>
      <c r="C2" s="85"/>
      <c r="N2" s="216" t="s">
        <v>158</v>
      </c>
      <c r="O2" s="20" t="s">
        <v>159</v>
      </c>
      <c r="P2" s="20" t="s">
        <v>160</v>
      </c>
    </row>
    <row r="3" spans="1:29" ht="16.5">
      <c r="A3" s="337" t="s">
        <v>57</v>
      </c>
      <c r="B3" s="337"/>
      <c r="C3" s="337"/>
      <c r="D3" s="311"/>
      <c r="E3" s="311"/>
      <c r="F3" s="311"/>
      <c r="G3" s="95"/>
      <c r="H3" s="95"/>
      <c r="I3" s="95"/>
      <c r="J3" s="95"/>
      <c r="K3" s="95"/>
      <c r="L3" s="95"/>
      <c r="N3" s="217" t="s">
        <v>161</v>
      </c>
      <c r="O3" s="214" t="str">
        <f>'BÌA TỔNG-G2'!O7</f>
        <v>07</v>
      </c>
      <c r="P3" s="17">
        <f>'BÌA TỔNG-G2'!P7</f>
        <v>2026</v>
      </c>
    </row>
    <row r="4" spans="1:29" ht="15.75" customHeight="1">
      <c r="A4" s="338"/>
      <c r="B4" s="338"/>
      <c r="C4" s="338"/>
      <c r="D4" s="339" t="s">
        <v>58</v>
      </c>
      <c r="E4" s="340"/>
      <c r="F4" s="340"/>
      <c r="G4" s="340"/>
      <c r="H4" s="341"/>
      <c r="I4" s="339" t="s">
        <v>59</v>
      </c>
      <c r="J4" s="340"/>
      <c r="K4" s="340"/>
      <c r="L4" s="341"/>
    </row>
    <row r="5" spans="1:29" ht="19.5" customHeight="1">
      <c r="A5" s="342" t="s">
        <v>60</v>
      </c>
      <c r="B5" s="342"/>
      <c r="C5" s="342"/>
      <c r="D5" s="343" t="s">
        <v>54</v>
      </c>
      <c r="E5" s="344"/>
      <c r="F5" s="344"/>
      <c r="G5" s="344"/>
      <c r="H5" s="345"/>
      <c r="I5" s="343" t="s">
        <v>54</v>
      </c>
      <c r="J5" s="344"/>
      <c r="K5" s="344"/>
      <c r="L5" s="345"/>
    </row>
    <row r="6" spans="1:29" ht="22.5" customHeight="1">
      <c r="A6" s="342" t="s">
        <v>61</v>
      </c>
      <c r="B6" s="342"/>
      <c r="C6" s="342"/>
      <c r="D6" s="343" t="s">
        <v>163</v>
      </c>
      <c r="E6" s="344"/>
      <c r="F6" s="344"/>
      <c r="G6" s="344"/>
      <c r="H6" s="345"/>
      <c r="I6" s="343" t="str">
        <f>D6</f>
        <v>31° - 34°</v>
      </c>
      <c r="J6" s="344"/>
      <c r="K6" s="344"/>
      <c r="L6" s="345"/>
    </row>
    <row r="7" spans="1:29" s="87" customFormat="1" ht="15.75">
      <c r="A7" s="310" t="s">
        <v>62</v>
      </c>
      <c r="B7" s="310"/>
      <c r="C7" s="310"/>
      <c r="D7" s="310"/>
      <c r="E7" s="310"/>
      <c r="F7" s="310"/>
      <c r="G7" s="310"/>
      <c r="H7" s="310"/>
      <c r="I7" s="310"/>
      <c r="J7" s="310"/>
      <c r="K7" s="310"/>
      <c r="L7" s="310"/>
      <c r="M7" s="85"/>
      <c r="N7" s="218"/>
    </row>
    <row r="8" spans="1:29" s="87" customFormat="1" ht="15.75">
      <c r="A8" s="332" t="s">
        <v>63</v>
      </c>
      <c r="B8" s="332"/>
      <c r="C8" s="332"/>
      <c r="D8" s="332"/>
      <c r="E8" s="332"/>
      <c r="F8" s="332"/>
      <c r="G8" s="332"/>
      <c r="H8" s="332"/>
      <c r="I8" s="332"/>
      <c r="J8" s="332"/>
      <c r="K8" s="332"/>
      <c r="L8" s="332"/>
      <c r="M8" s="85"/>
      <c r="N8" s="218"/>
    </row>
    <row r="9" spans="1:29" s="87" customFormat="1" ht="20.100000000000001" customHeight="1">
      <c r="A9" s="88"/>
      <c r="B9" s="88"/>
      <c r="C9" s="333" t="s">
        <v>64</v>
      </c>
      <c r="D9" s="334"/>
      <c r="E9" s="334"/>
      <c r="F9" s="334"/>
      <c r="G9" s="334"/>
      <c r="H9" s="334"/>
      <c r="I9" s="334"/>
      <c r="J9" s="334"/>
      <c r="K9" s="334"/>
      <c r="L9" s="334"/>
      <c r="M9" s="85"/>
      <c r="N9" s="218"/>
    </row>
    <row r="10" spans="1:29" s="87" customFormat="1" ht="20.100000000000001" customHeight="1">
      <c r="A10" s="88"/>
      <c r="B10" s="88"/>
      <c r="C10" s="333" t="s">
        <v>65</v>
      </c>
      <c r="D10" s="334"/>
      <c r="E10" s="334"/>
      <c r="F10" s="334"/>
      <c r="G10" s="334"/>
      <c r="H10" s="334"/>
      <c r="I10" s="334"/>
      <c r="J10" s="334"/>
      <c r="K10" s="334"/>
      <c r="L10" s="334"/>
      <c r="M10" s="85"/>
      <c r="N10" s="218"/>
    </row>
    <row r="11" spans="1:29" s="87" customFormat="1" ht="17.25" customHeight="1">
      <c r="A11" s="335" t="s">
        <v>66</v>
      </c>
      <c r="B11" s="335"/>
      <c r="C11" s="335"/>
      <c r="D11" s="335"/>
      <c r="E11" s="335"/>
      <c r="F11" s="335"/>
      <c r="G11" s="335"/>
      <c r="H11" s="335"/>
      <c r="I11" s="335"/>
      <c r="J11" s="335"/>
      <c r="K11" s="335"/>
      <c r="L11" s="335"/>
      <c r="M11" s="85"/>
      <c r="N11" s="218"/>
    </row>
    <row r="12" spans="1:29" s="87" customFormat="1" ht="7.5" customHeight="1">
      <c r="A12" s="119"/>
      <c r="B12" s="119"/>
      <c r="C12" s="119"/>
      <c r="D12" s="119"/>
      <c r="E12" s="119"/>
      <c r="F12" s="119"/>
      <c r="G12" s="119"/>
      <c r="H12" s="119"/>
      <c r="I12" s="119"/>
      <c r="J12" s="119"/>
      <c r="K12" s="119"/>
      <c r="L12" s="119"/>
      <c r="M12" s="85"/>
      <c r="N12" s="218"/>
    </row>
    <row r="13" spans="1:29" ht="15.75">
      <c r="A13" s="336" t="s">
        <v>67</v>
      </c>
      <c r="B13" s="336"/>
      <c r="C13" s="336"/>
      <c r="D13" s="336"/>
      <c r="E13" s="336"/>
      <c r="F13" s="336"/>
      <c r="G13" s="336"/>
      <c r="H13" s="336"/>
      <c r="I13" s="336"/>
      <c r="J13" s="336"/>
      <c r="K13" s="336"/>
      <c r="L13" s="336"/>
    </row>
    <row r="14" spans="1:29" ht="2.25" customHeight="1">
      <c r="A14" s="141"/>
      <c r="B14" s="141"/>
      <c r="C14" s="141"/>
      <c r="D14" s="141"/>
      <c r="E14" s="141"/>
      <c r="F14" s="141"/>
      <c r="G14" s="155"/>
      <c r="H14" s="155"/>
      <c r="I14" s="155"/>
      <c r="J14" s="155"/>
      <c r="K14" s="155"/>
      <c r="L14" s="155"/>
    </row>
    <row r="15" spans="1:29" ht="27.75" customHeight="1">
      <c r="A15" s="317" t="s">
        <v>135</v>
      </c>
      <c r="B15" s="318"/>
      <c r="C15" s="317" t="s">
        <v>68</v>
      </c>
      <c r="D15" s="318"/>
      <c r="E15" s="183"/>
      <c r="F15" s="321" t="s">
        <v>136</v>
      </c>
      <c r="G15" s="322" t="s">
        <v>155</v>
      </c>
      <c r="H15" s="323"/>
      <c r="I15" s="323"/>
      <c r="J15" s="322" t="s">
        <v>154</v>
      </c>
      <c r="K15" s="323"/>
      <c r="L15" s="324"/>
      <c r="M15" s="92"/>
      <c r="O15" s="325"/>
      <c r="P15" s="325"/>
      <c r="Q15" s="325"/>
      <c r="R15" s="325"/>
      <c r="S15" s="316"/>
      <c r="T15" s="316"/>
      <c r="U15" s="316"/>
      <c r="V15" s="316"/>
      <c r="W15" s="316"/>
      <c r="X15" s="316"/>
      <c r="Y15" s="316"/>
      <c r="Z15" s="316"/>
      <c r="AA15" s="316"/>
      <c r="AB15" s="316"/>
      <c r="AC15" s="316"/>
    </row>
    <row r="16" spans="1:29" ht="125.25" customHeight="1">
      <c r="A16" s="319"/>
      <c r="B16" s="320"/>
      <c r="C16" s="319"/>
      <c r="D16" s="320"/>
      <c r="E16" s="184"/>
      <c r="F16" s="321"/>
      <c r="G16" s="153" t="s">
        <v>151</v>
      </c>
      <c r="H16" s="153" t="s">
        <v>152</v>
      </c>
      <c r="I16" s="153" t="s">
        <v>153</v>
      </c>
      <c r="J16" s="153" t="s">
        <v>151</v>
      </c>
      <c r="K16" s="153" t="s">
        <v>152</v>
      </c>
      <c r="L16" s="153" t="s">
        <v>153</v>
      </c>
      <c r="O16" s="325"/>
      <c r="P16" s="325"/>
      <c r="Q16" s="325"/>
      <c r="R16" s="325"/>
      <c r="S16" s="193"/>
      <c r="T16" s="193"/>
      <c r="U16" s="193"/>
      <c r="V16" s="193"/>
      <c r="W16" s="193"/>
      <c r="X16" s="193"/>
      <c r="Y16" s="193"/>
      <c r="Z16" s="193"/>
      <c r="AA16" s="193"/>
      <c r="AB16" s="193"/>
      <c r="AC16" s="193"/>
    </row>
    <row r="17" spans="1:29" ht="24.75" customHeight="1">
      <c r="A17" s="190" t="s">
        <v>128</v>
      </c>
      <c r="B17" s="142"/>
      <c r="C17" s="330" t="s">
        <v>129</v>
      </c>
      <c r="D17" s="330"/>
      <c r="E17" s="330"/>
      <c r="F17" s="330"/>
      <c r="G17" s="330"/>
      <c r="H17" s="330"/>
      <c r="I17" s="330"/>
      <c r="J17" s="330"/>
      <c r="K17" s="330"/>
      <c r="L17" s="330"/>
      <c r="M17" s="93"/>
      <c r="O17" s="156"/>
      <c r="P17" s="142"/>
      <c r="Q17" s="331"/>
      <c r="R17" s="331"/>
      <c r="S17" s="331"/>
      <c r="T17" s="331"/>
      <c r="U17" s="331"/>
      <c r="V17" s="331"/>
      <c r="W17" s="331"/>
      <c r="X17" s="331"/>
      <c r="Y17" s="331"/>
      <c r="Z17" s="331"/>
      <c r="AA17" s="331"/>
      <c r="AB17" s="331"/>
      <c r="AC17" s="331"/>
    </row>
    <row r="18" spans="1:29" ht="20.100000000000001" customHeight="1">
      <c r="A18" s="187">
        <v>1</v>
      </c>
      <c r="B18" s="185" t="s">
        <v>69</v>
      </c>
      <c r="C18" s="326" t="s">
        <v>70</v>
      </c>
      <c r="D18" s="326"/>
      <c r="E18" s="176"/>
      <c r="F18" s="144" t="s">
        <v>71</v>
      </c>
      <c r="G18" s="203" t="s">
        <v>156</v>
      </c>
      <c r="H18" s="202" t="s">
        <v>156</v>
      </c>
      <c r="I18" s="201">
        <v>1</v>
      </c>
      <c r="J18" s="202" t="s">
        <v>156</v>
      </c>
      <c r="K18" s="202" t="s">
        <v>156</v>
      </c>
      <c r="L18" s="201">
        <v>1</v>
      </c>
      <c r="M18" s="93"/>
      <c r="O18" s="195"/>
      <c r="P18" s="196"/>
      <c r="Q18" s="327"/>
      <c r="R18" s="327"/>
      <c r="S18" s="86"/>
      <c r="T18" s="86"/>
      <c r="U18" s="86"/>
      <c r="V18" s="86"/>
      <c r="W18" s="194"/>
      <c r="X18" s="194"/>
      <c r="Y18" s="194"/>
      <c r="Z18" s="194"/>
      <c r="AA18" s="194"/>
      <c r="AB18" s="194"/>
      <c r="AC18" s="194"/>
    </row>
    <row r="19" spans="1:29" ht="20.100000000000001" customHeight="1">
      <c r="A19" s="187">
        <v>2</v>
      </c>
      <c r="B19" s="185" t="s">
        <v>69</v>
      </c>
      <c r="C19" s="326" t="s">
        <v>72</v>
      </c>
      <c r="D19" s="326"/>
      <c r="E19" s="176"/>
      <c r="F19" s="144" t="s">
        <v>71</v>
      </c>
      <c r="G19" s="203" t="s">
        <v>156</v>
      </c>
      <c r="H19" s="202" t="s">
        <v>156</v>
      </c>
      <c r="I19" s="202" t="s">
        <v>156</v>
      </c>
      <c r="J19" s="202" t="s">
        <v>156</v>
      </c>
      <c r="K19" s="202" t="s">
        <v>156</v>
      </c>
      <c r="L19" s="202" t="s">
        <v>156</v>
      </c>
      <c r="M19" s="93"/>
      <c r="O19" s="195"/>
      <c r="P19" s="196"/>
      <c r="Q19" s="327"/>
      <c r="R19" s="327"/>
      <c r="S19" s="194"/>
      <c r="T19" s="194"/>
      <c r="U19" s="194"/>
      <c r="V19" s="86"/>
      <c r="W19" s="86"/>
      <c r="X19" s="86"/>
      <c r="Y19" s="86"/>
      <c r="Z19" s="194"/>
      <c r="AA19" s="194"/>
      <c r="AB19" s="194"/>
      <c r="AC19" s="194"/>
    </row>
    <row r="20" spans="1:29" ht="20.100000000000001" customHeight="1">
      <c r="A20" s="187">
        <v>3</v>
      </c>
      <c r="B20" s="185" t="s">
        <v>69</v>
      </c>
      <c r="C20" s="326" t="s">
        <v>73</v>
      </c>
      <c r="D20" s="326"/>
      <c r="E20" s="176"/>
      <c r="F20" s="144" t="s">
        <v>71</v>
      </c>
      <c r="G20" s="203" t="s">
        <v>156</v>
      </c>
      <c r="H20" s="202" t="s">
        <v>156</v>
      </c>
      <c r="I20" s="202" t="s">
        <v>156</v>
      </c>
      <c r="J20" s="202" t="s">
        <v>156</v>
      </c>
      <c r="K20" s="202" t="s">
        <v>156</v>
      </c>
      <c r="L20" s="202" t="s">
        <v>156</v>
      </c>
      <c r="M20" s="93"/>
      <c r="O20" s="195"/>
      <c r="P20" s="196"/>
      <c r="Q20" s="327"/>
      <c r="R20" s="327"/>
      <c r="S20" s="194"/>
      <c r="T20" s="86"/>
      <c r="U20" s="86"/>
      <c r="V20" s="86"/>
      <c r="W20" s="86"/>
      <c r="X20" s="194"/>
      <c r="Y20" s="194"/>
      <c r="Z20" s="194"/>
      <c r="AA20" s="194"/>
      <c r="AB20" s="194"/>
      <c r="AC20" s="194"/>
    </row>
    <row r="21" spans="1:29" ht="20.100000000000001" customHeight="1">
      <c r="A21" s="187">
        <v>4</v>
      </c>
      <c r="B21" s="185" t="s">
        <v>69</v>
      </c>
      <c r="C21" s="326" t="s">
        <v>98</v>
      </c>
      <c r="D21" s="326"/>
      <c r="E21" s="176"/>
      <c r="F21" s="144" t="s">
        <v>71</v>
      </c>
      <c r="G21" s="203" t="s">
        <v>156</v>
      </c>
      <c r="H21" s="202" t="s">
        <v>156</v>
      </c>
      <c r="I21" s="202" t="s">
        <v>156</v>
      </c>
      <c r="J21" s="202" t="s">
        <v>156</v>
      </c>
      <c r="K21" s="202" t="s">
        <v>156</v>
      </c>
      <c r="L21" s="202" t="s">
        <v>156</v>
      </c>
      <c r="M21" s="93"/>
      <c r="O21" s="195"/>
      <c r="P21" s="196"/>
      <c r="Q21" s="327"/>
      <c r="R21" s="327"/>
      <c r="S21" s="194"/>
      <c r="T21" s="194"/>
      <c r="U21" s="194"/>
      <c r="V21" s="194"/>
      <c r="W21" s="194"/>
      <c r="X21" s="194"/>
      <c r="Y21" s="194"/>
      <c r="Z21" s="86"/>
      <c r="AA21" s="86"/>
      <c r="AB21" s="86"/>
      <c r="AC21" s="86"/>
    </row>
    <row r="22" spans="1:29" ht="20.100000000000001" customHeight="1">
      <c r="A22" s="187">
        <v>5</v>
      </c>
      <c r="B22" s="185" t="s">
        <v>69</v>
      </c>
      <c r="C22" s="326" t="s">
        <v>74</v>
      </c>
      <c r="D22" s="326"/>
      <c r="E22" s="176"/>
      <c r="F22" s="144" t="s">
        <v>71</v>
      </c>
      <c r="G22" s="203" t="s">
        <v>156</v>
      </c>
      <c r="H22" s="202" t="s">
        <v>156</v>
      </c>
      <c r="I22" s="202" t="s">
        <v>156</v>
      </c>
      <c r="J22" s="202" t="s">
        <v>156</v>
      </c>
      <c r="K22" s="202" t="s">
        <v>156</v>
      </c>
      <c r="L22" s="202" t="s">
        <v>156</v>
      </c>
      <c r="M22" s="93"/>
      <c r="O22" s="195"/>
      <c r="P22" s="196"/>
      <c r="Q22" s="327"/>
      <c r="R22" s="327"/>
      <c r="S22" s="194"/>
      <c r="T22" s="194"/>
      <c r="U22" s="194"/>
      <c r="V22" s="194"/>
      <c r="W22" s="194"/>
      <c r="X22" s="194"/>
      <c r="Y22" s="194"/>
      <c r="Z22" s="194"/>
      <c r="AA22" s="194"/>
      <c r="AB22" s="194"/>
      <c r="AC22" s="194"/>
    </row>
    <row r="23" spans="1:29" ht="20.100000000000001" customHeight="1">
      <c r="A23" s="187">
        <v>6</v>
      </c>
      <c r="B23" s="185" t="s">
        <v>69</v>
      </c>
      <c r="C23" s="326" t="s">
        <v>75</v>
      </c>
      <c r="D23" s="326"/>
      <c r="E23" s="176"/>
      <c r="F23" s="144" t="s">
        <v>71</v>
      </c>
      <c r="G23" s="203" t="s">
        <v>156</v>
      </c>
      <c r="H23" s="202" t="s">
        <v>156</v>
      </c>
      <c r="I23" s="202" t="s">
        <v>156</v>
      </c>
      <c r="J23" s="202" t="s">
        <v>156</v>
      </c>
      <c r="K23" s="202" t="s">
        <v>156</v>
      </c>
      <c r="L23" s="202" t="s">
        <v>156</v>
      </c>
      <c r="M23" s="93"/>
      <c r="O23" s="195"/>
      <c r="P23" s="196"/>
      <c r="Q23" s="327"/>
      <c r="R23" s="327"/>
      <c r="S23" s="194"/>
      <c r="T23" s="194"/>
      <c r="U23" s="194"/>
      <c r="V23" s="194"/>
      <c r="W23" s="194"/>
      <c r="X23" s="194"/>
      <c r="Y23" s="194"/>
      <c r="Z23" s="194"/>
      <c r="AA23" s="194"/>
      <c r="AB23" s="194"/>
      <c r="AC23" s="194"/>
    </row>
    <row r="24" spans="1:29" ht="20.100000000000001" customHeight="1">
      <c r="A24" s="187">
        <v>7</v>
      </c>
      <c r="B24" s="185" t="s">
        <v>69</v>
      </c>
      <c r="C24" s="326" t="s">
        <v>76</v>
      </c>
      <c r="D24" s="326"/>
      <c r="E24" s="176"/>
      <c r="F24" s="144" t="s">
        <v>71</v>
      </c>
      <c r="G24" s="203" t="s">
        <v>156</v>
      </c>
      <c r="H24" s="202" t="s">
        <v>156</v>
      </c>
      <c r="I24" s="202" t="s">
        <v>156</v>
      </c>
      <c r="J24" s="202" t="s">
        <v>156</v>
      </c>
      <c r="K24" s="202" t="s">
        <v>156</v>
      </c>
      <c r="L24" s="202" t="s">
        <v>156</v>
      </c>
      <c r="M24" s="93"/>
      <c r="O24" s="195"/>
      <c r="P24" s="196"/>
      <c r="Q24" s="327"/>
      <c r="R24" s="327"/>
      <c r="S24" s="194"/>
      <c r="T24" s="194"/>
      <c r="U24" s="194"/>
      <c r="V24" s="194"/>
      <c r="W24" s="194"/>
      <c r="X24" s="194"/>
      <c r="Y24" s="194"/>
      <c r="Z24" s="194"/>
      <c r="AA24" s="194"/>
      <c r="AB24" s="194"/>
      <c r="AC24" s="194"/>
    </row>
    <row r="25" spans="1:29" ht="20.100000000000001" customHeight="1">
      <c r="A25" s="187">
        <v>8</v>
      </c>
      <c r="B25" s="185" t="s">
        <v>69</v>
      </c>
      <c r="C25" s="326" t="s">
        <v>99</v>
      </c>
      <c r="D25" s="326"/>
      <c r="E25" s="176"/>
      <c r="F25" s="144" t="s">
        <v>71</v>
      </c>
      <c r="G25" s="203" t="s">
        <v>156</v>
      </c>
      <c r="H25" s="202" t="s">
        <v>156</v>
      </c>
      <c r="I25" s="202" t="s">
        <v>156</v>
      </c>
      <c r="J25" s="202" t="s">
        <v>156</v>
      </c>
      <c r="K25" s="202" t="s">
        <v>156</v>
      </c>
      <c r="L25" s="202" t="s">
        <v>156</v>
      </c>
      <c r="M25" s="93"/>
      <c r="O25" s="195"/>
      <c r="P25" s="196"/>
      <c r="Q25" s="327"/>
      <c r="R25" s="327"/>
      <c r="S25" s="194"/>
      <c r="T25" s="194"/>
      <c r="U25" s="194"/>
      <c r="V25" s="194"/>
      <c r="W25" s="194"/>
      <c r="X25" s="194"/>
      <c r="Y25" s="194"/>
      <c r="Z25" s="194"/>
      <c r="AA25" s="194"/>
      <c r="AB25" s="194"/>
      <c r="AC25" s="194"/>
    </row>
    <row r="26" spans="1:29" ht="20.100000000000001" customHeight="1">
      <c r="A26" s="187">
        <v>9</v>
      </c>
      <c r="B26" s="185" t="s">
        <v>69</v>
      </c>
      <c r="C26" s="326" t="s">
        <v>77</v>
      </c>
      <c r="D26" s="326"/>
      <c r="E26" s="176"/>
      <c r="F26" s="144" t="s">
        <v>71</v>
      </c>
      <c r="G26" s="203" t="s">
        <v>156</v>
      </c>
      <c r="H26" s="202" t="s">
        <v>156</v>
      </c>
      <c r="I26" s="202" t="s">
        <v>156</v>
      </c>
      <c r="J26" s="202" t="s">
        <v>156</v>
      </c>
      <c r="K26" s="202" t="s">
        <v>156</v>
      </c>
      <c r="L26" s="202" t="s">
        <v>156</v>
      </c>
      <c r="M26" s="93"/>
      <c r="O26" s="195"/>
      <c r="P26" s="196"/>
      <c r="Q26" s="327"/>
      <c r="R26" s="327"/>
      <c r="S26" s="194"/>
      <c r="T26" s="194"/>
      <c r="U26" s="194"/>
      <c r="V26" s="194"/>
      <c r="W26" s="194"/>
      <c r="X26" s="194"/>
      <c r="Y26" s="194"/>
      <c r="Z26" s="194"/>
      <c r="AA26" s="194"/>
      <c r="AB26" s="194"/>
      <c r="AC26" s="194"/>
    </row>
    <row r="27" spans="1:29" ht="20.100000000000001" customHeight="1">
      <c r="A27" s="187">
        <v>10</v>
      </c>
      <c r="B27" s="185" t="s">
        <v>69</v>
      </c>
      <c r="C27" s="326" t="s">
        <v>78</v>
      </c>
      <c r="D27" s="326"/>
      <c r="E27" s="176"/>
      <c r="F27" s="144" t="s">
        <v>71</v>
      </c>
      <c r="G27" s="203" t="s">
        <v>156</v>
      </c>
      <c r="H27" s="202" t="s">
        <v>156</v>
      </c>
      <c r="I27" s="202" t="s">
        <v>156</v>
      </c>
      <c r="J27" s="202" t="s">
        <v>156</v>
      </c>
      <c r="K27" s="202" t="s">
        <v>156</v>
      </c>
      <c r="L27" s="202" t="s">
        <v>156</v>
      </c>
      <c r="M27" s="93"/>
      <c r="O27" s="195"/>
      <c r="P27" s="196"/>
      <c r="Q27" s="327"/>
      <c r="R27" s="327"/>
      <c r="S27" s="194"/>
      <c r="T27" s="194"/>
      <c r="U27" s="194"/>
      <c r="V27" s="194"/>
      <c r="W27" s="194"/>
      <c r="X27" s="194"/>
      <c r="Y27" s="194"/>
      <c r="Z27" s="194"/>
      <c r="AA27" s="194"/>
      <c r="AB27" s="194"/>
      <c r="AC27" s="194"/>
    </row>
    <row r="28" spans="1:29" ht="20.100000000000001" customHeight="1">
      <c r="A28" s="187">
        <v>11</v>
      </c>
      <c r="B28" s="185" t="s">
        <v>69</v>
      </c>
      <c r="C28" s="326" t="s">
        <v>79</v>
      </c>
      <c r="D28" s="326"/>
      <c r="E28" s="176"/>
      <c r="F28" s="144" t="s">
        <v>71</v>
      </c>
      <c r="G28" s="203" t="s">
        <v>156</v>
      </c>
      <c r="H28" s="202" t="s">
        <v>156</v>
      </c>
      <c r="I28" s="202" t="s">
        <v>156</v>
      </c>
      <c r="J28" s="202" t="s">
        <v>156</v>
      </c>
      <c r="K28" s="202" t="s">
        <v>156</v>
      </c>
      <c r="L28" s="202" t="s">
        <v>156</v>
      </c>
      <c r="M28" s="93"/>
      <c r="O28" s="195"/>
      <c r="P28" s="196"/>
      <c r="Q28" s="327"/>
      <c r="R28" s="327"/>
      <c r="S28" s="194"/>
      <c r="T28" s="194"/>
      <c r="U28" s="194"/>
      <c r="V28" s="194"/>
      <c r="W28" s="194"/>
      <c r="X28" s="194"/>
      <c r="Y28" s="194"/>
      <c r="Z28" s="194"/>
      <c r="AA28" s="194"/>
      <c r="AB28" s="194"/>
      <c r="AC28" s="194"/>
    </row>
    <row r="29" spans="1:29" ht="20.100000000000001" customHeight="1">
      <c r="A29" s="187">
        <v>12</v>
      </c>
      <c r="B29" s="185" t="s">
        <v>69</v>
      </c>
      <c r="C29" s="326" t="s">
        <v>100</v>
      </c>
      <c r="D29" s="326"/>
      <c r="E29" s="176"/>
      <c r="F29" s="144" t="s">
        <v>71</v>
      </c>
      <c r="G29" s="203" t="s">
        <v>156</v>
      </c>
      <c r="H29" s="202" t="s">
        <v>156</v>
      </c>
      <c r="I29" s="202" t="s">
        <v>156</v>
      </c>
      <c r="J29" s="202" t="s">
        <v>156</v>
      </c>
      <c r="K29" s="202" t="s">
        <v>156</v>
      </c>
      <c r="L29" s="202" t="s">
        <v>156</v>
      </c>
      <c r="M29" s="93"/>
      <c r="O29" s="195"/>
      <c r="P29" s="196"/>
      <c r="Q29" s="327"/>
      <c r="R29" s="327"/>
      <c r="S29" s="194"/>
      <c r="T29" s="194"/>
      <c r="U29" s="194"/>
      <c r="V29" s="194"/>
      <c r="W29" s="194"/>
      <c r="X29" s="194"/>
      <c r="Y29" s="194"/>
      <c r="Z29" s="194"/>
      <c r="AA29" s="194"/>
      <c r="AB29" s="194"/>
      <c r="AC29" s="194"/>
    </row>
    <row r="30" spans="1:29" ht="20.100000000000001" customHeight="1">
      <c r="A30" s="187">
        <v>13</v>
      </c>
      <c r="B30" s="185" t="s">
        <v>69</v>
      </c>
      <c r="C30" s="326" t="s">
        <v>80</v>
      </c>
      <c r="D30" s="326"/>
      <c r="E30" s="176"/>
      <c r="F30" s="144" t="s">
        <v>71</v>
      </c>
      <c r="G30" s="203" t="s">
        <v>156</v>
      </c>
      <c r="H30" s="202" t="s">
        <v>156</v>
      </c>
      <c r="I30" s="202" t="s">
        <v>156</v>
      </c>
      <c r="J30" s="202" t="s">
        <v>156</v>
      </c>
      <c r="K30" s="202" t="s">
        <v>156</v>
      </c>
      <c r="L30" s="202" t="s">
        <v>156</v>
      </c>
      <c r="M30" s="93"/>
      <c r="O30" s="195"/>
      <c r="P30" s="196"/>
      <c r="Q30" s="327"/>
      <c r="R30" s="327"/>
      <c r="S30" s="194"/>
      <c r="T30" s="194"/>
      <c r="U30" s="194"/>
      <c r="V30" s="194"/>
      <c r="W30" s="194"/>
      <c r="X30" s="194"/>
      <c r="Y30" s="194"/>
      <c r="Z30" s="194"/>
      <c r="AA30" s="194"/>
      <c r="AB30" s="194"/>
      <c r="AC30" s="194"/>
    </row>
    <row r="31" spans="1:29" ht="20.100000000000001" customHeight="1">
      <c r="A31" s="187">
        <v>14</v>
      </c>
      <c r="B31" s="185" t="s">
        <v>69</v>
      </c>
      <c r="C31" s="326" t="s">
        <v>91</v>
      </c>
      <c r="D31" s="326"/>
      <c r="E31" s="176"/>
      <c r="F31" s="144" t="s">
        <v>71</v>
      </c>
      <c r="G31" s="203" t="s">
        <v>156</v>
      </c>
      <c r="H31" s="202" t="s">
        <v>156</v>
      </c>
      <c r="I31" s="202" t="s">
        <v>156</v>
      </c>
      <c r="J31" s="202" t="s">
        <v>156</v>
      </c>
      <c r="K31" s="202" t="s">
        <v>156</v>
      </c>
      <c r="L31" s="202" t="s">
        <v>156</v>
      </c>
      <c r="M31" s="93"/>
      <c r="O31" s="195"/>
      <c r="P31" s="196"/>
      <c r="Q31" s="327"/>
      <c r="R31" s="327"/>
      <c r="S31" s="194"/>
      <c r="T31" s="194"/>
      <c r="U31" s="194"/>
      <c r="V31" s="194"/>
      <c r="W31" s="194"/>
      <c r="X31" s="194"/>
      <c r="Y31" s="194"/>
      <c r="Z31" s="194"/>
      <c r="AA31" s="194"/>
      <c r="AB31" s="194"/>
      <c r="AC31" s="194"/>
    </row>
    <row r="32" spans="1:29" ht="20.100000000000001" customHeight="1">
      <c r="A32" s="187">
        <v>15</v>
      </c>
      <c r="B32" s="185" t="s">
        <v>69</v>
      </c>
      <c r="C32" s="326" t="s">
        <v>81</v>
      </c>
      <c r="D32" s="326"/>
      <c r="E32" s="176"/>
      <c r="F32" s="144" t="s">
        <v>71</v>
      </c>
      <c r="G32" s="203" t="s">
        <v>156</v>
      </c>
      <c r="H32" s="202" t="s">
        <v>156</v>
      </c>
      <c r="I32" s="202" t="s">
        <v>156</v>
      </c>
      <c r="J32" s="202" t="s">
        <v>156</v>
      </c>
      <c r="K32" s="202" t="s">
        <v>156</v>
      </c>
      <c r="L32" s="202" t="s">
        <v>156</v>
      </c>
      <c r="M32" s="93"/>
      <c r="O32" s="195"/>
      <c r="P32" s="196"/>
      <c r="Q32" s="327"/>
      <c r="R32" s="327"/>
      <c r="S32" s="194"/>
      <c r="T32" s="194"/>
      <c r="U32" s="194"/>
      <c r="V32" s="194"/>
      <c r="W32" s="194"/>
      <c r="X32" s="194"/>
      <c r="Y32" s="194"/>
      <c r="Z32" s="194"/>
      <c r="AA32" s="194"/>
      <c r="AB32" s="194"/>
      <c r="AC32" s="194"/>
    </row>
    <row r="33" spans="1:29" ht="20.100000000000001" customHeight="1">
      <c r="A33" s="187">
        <v>16</v>
      </c>
      <c r="B33" s="185" t="s">
        <v>69</v>
      </c>
      <c r="C33" s="326" t="s">
        <v>101</v>
      </c>
      <c r="D33" s="326"/>
      <c r="E33" s="151"/>
      <c r="F33" s="144" t="s">
        <v>71</v>
      </c>
      <c r="G33" s="203" t="s">
        <v>156</v>
      </c>
      <c r="H33" s="202" t="s">
        <v>156</v>
      </c>
      <c r="I33" s="202" t="s">
        <v>156</v>
      </c>
      <c r="J33" s="202" t="s">
        <v>156</v>
      </c>
      <c r="K33" s="202" t="s">
        <v>156</v>
      </c>
      <c r="L33" s="202" t="s">
        <v>156</v>
      </c>
      <c r="M33" s="93"/>
      <c r="N33" s="219"/>
      <c r="O33" s="195"/>
      <c r="P33" s="196"/>
      <c r="Q33" s="327"/>
      <c r="R33" s="327"/>
      <c r="S33" s="197"/>
      <c r="T33" s="197"/>
      <c r="U33" s="197"/>
      <c r="V33" s="197"/>
      <c r="W33" s="197"/>
      <c r="X33" s="197"/>
      <c r="Y33" s="197"/>
      <c r="Z33" s="197"/>
      <c r="AA33" s="197"/>
      <c r="AB33" s="197"/>
      <c r="AC33" s="197"/>
    </row>
    <row r="34" spans="1:29" ht="20.100000000000001" customHeight="1">
      <c r="A34" s="187">
        <v>17</v>
      </c>
      <c r="B34" s="186" t="s">
        <v>69</v>
      </c>
      <c r="C34" s="326" t="s">
        <v>141</v>
      </c>
      <c r="D34" s="326"/>
      <c r="E34" s="151"/>
      <c r="F34" s="144" t="s">
        <v>71</v>
      </c>
      <c r="G34" s="203" t="s">
        <v>156</v>
      </c>
      <c r="H34" s="202" t="s">
        <v>156</v>
      </c>
      <c r="I34" s="202" t="s">
        <v>156</v>
      </c>
      <c r="J34" s="202" t="s">
        <v>156</v>
      </c>
      <c r="K34" s="202" t="s">
        <v>156</v>
      </c>
      <c r="L34" s="202" t="s">
        <v>156</v>
      </c>
      <c r="M34" s="93"/>
      <c r="N34" s="219"/>
      <c r="O34" s="195"/>
      <c r="P34" s="104"/>
      <c r="Q34" s="327"/>
      <c r="R34" s="327"/>
      <c r="S34" s="197"/>
      <c r="T34" s="197"/>
      <c r="U34" s="197"/>
      <c r="V34" s="197"/>
      <c r="W34" s="197"/>
      <c r="X34" s="197"/>
      <c r="Y34" s="197"/>
      <c r="Z34" s="197"/>
      <c r="AA34" s="197"/>
      <c r="AB34" s="197"/>
      <c r="AC34" s="197"/>
    </row>
    <row r="35" spans="1:29" ht="20.100000000000001" customHeight="1">
      <c r="A35" s="187">
        <v>18</v>
      </c>
      <c r="B35" s="186" t="s">
        <v>69</v>
      </c>
      <c r="C35" s="326" t="s">
        <v>142</v>
      </c>
      <c r="D35" s="326"/>
      <c r="E35" s="151"/>
      <c r="F35" s="144" t="s">
        <v>71</v>
      </c>
      <c r="G35" s="203" t="s">
        <v>156</v>
      </c>
      <c r="H35" s="202" t="s">
        <v>156</v>
      </c>
      <c r="I35" s="202" t="s">
        <v>156</v>
      </c>
      <c r="J35" s="202" t="s">
        <v>156</v>
      </c>
      <c r="K35" s="202" t="s">
        <v>156</v>
      </c>
      <c r="L35" s="202" t="s">
        <v>156</v>
      </c>
      <c r="M35" s="93"/>
      <c r="N35" s="219"/>
      <c r="O35" s="195"/>
      <c r="P35" s="104"/>
      <c r="Q35" s="327"/>
      <c r="R35" s="327"/>
      <c r="S35" s="197"/>
      <c r="T35" s="197"/>
      <c r="U35" s="197"/>
      <c r="V35" s="197"/>
      <c r="W35" s="197"/>
      <c r="X35" s="197"/>
      <c r="Y35" s="197"/>
      <c r="Z35" s="197"/>
      <c r="AA35" s="197"/>
      <c r="AB35" s="197"/>
      <c r="AC35" s="197"/>
    </row>
    <row r="36" spans="1:29" ht="20.100000000000001" customHeight="1">
      <c r="A36" s="187">
        <v>19</v>
      </c>
      <c r="B36" s="186" t="s">
        <v>69</v>
      </c>
      <c r="C36" s="326" t="s">
        <v>143</v>
      </c>
      <c r="D36" s="326"/>
      <c r="E36" s="151"/>
      <c r="F36" s="144" t="s">
        <v>71</v>
      </c>
      <c r="G36" s="203" t="s">
        <v>156</v>
      </c>
      <c r="H36" s="202" t="s">
        <v>156</v>
      </c>
      <c r="I36" s="202" t="s">
        <v>156</v>
      </c>
      <c r="J36" s="202" t="s">
        <v>156</v>
      </c>
      <c r="K36" s="202" t="s">
        <v>156</v>
      </c>
      <c r="L36" s="202" t="s">
        <v>156</v>
      </c>
      <c r="M36" s="93"/>
      <c r="N36" s="219"/>
      <c r="O36" s="195"/>
      <c r="P36" s="104"/>
      <c r="Q36" s="327"/>
      <c r="R36" s="327"/>
      <c r="S36" s="197"/>
      <c r="T36" s="197"/>
      <c r="U36" s="197"/>
      <c r="V36" s="197"/>
      <c r="W36" s="197"/>
      <c r="X36" s="197"/>
      <c r="Y36" s="197"/>
      <c r="Z36" s="197"/>
      <c r="AA36" s="197"/>
      <c r="AB36" s="197"/>
      <c r="AC36" s="197"/>
    </row>
    <row r="37" spans="1:29" ht="20.100000000000001" customHeight="1">
      <c r="A37" s="187">
        <v>20</v>
      </c>
      <c r="B37" s="186" t="s">
        <v>69</v>
      </c>
      <c r="C37" s="326" t="s">
        <v>102</v>
      </c>
      <c r="D37" s="326"/>
      <c r="E37" s="150"/>
      <c r="F37" s="154" t="s">
        <v>71</v>
      </c>
      <c r="G37" s="203" t="s">
        <v>156</v>
      </c>
      <c r="H37" s="202" t="s">
        <v>156</v>
      </c>
      <c r="I37" s="202" t="s">
        <v>156</v>
      </c>
      <c r="J37" s="202" t="s">
        <v>156</v>
      </c>
      <c r="K37" s="202" t="s">
        <v>156</v>
      </c>
      <c r="L37" s="202" t="s">
        <v>156</v>
      </c>
      <c r="M37" s="93"/>
      <c r="N37" s="219"/>
      <c r="O37" s="195"/>
      <c r="P37" s="104"/>
      <c r="Q37" s="327"/>
      <c r="R37" s="327"/>
      <c r="S37" s="197"/>
      <c r="T37" s="197"/>
      <c r="U37" s="197"/>
      <c r="V37" s="197"/>
      <c r="W37" s="197"/>
      <c r="X37" s="197"/>
      <c r="Y37" s="197"/>
      <c r="Z37" s="197"/>
      <c r="AA37" s="197"/>
      <c r="AB37" s="197"/>
      <c r="AC37" s="197"/>
    </row>
    <row r="38" spans="1:29" ht="24.75" customHeight="1">
      <c r="A38" s="192" t="s">
        <v>128</v>
      </c>
      <c r="B38" s="104"/>
      <c r="C38" s="328" t="s">
        <v>130</v>
      </c>
      <c r="D38" s="328"/>
      <c r="E38" s="328"/>
      <c r="F38" s="328"/>
      <c r="G38" s="328"/>
      <c r="H38" s="328"/>
      <c r="I38" s="328"/>
      <c r="J38" s="328"/>
      <c r="K38" s="328"/>
      <c r="L38" s="328"/>
      <c r="M38" s="89"/>
      <c r="N38" s="219"/>
      <c r="O38" s="198"/>
      <c r="P38" s="104"/>
      <c r="Q38" s="329"/>
      <c r="R38" s="329"/>
      <c r="S38" s="329"/>
      <c r="T38" s="329"/>
      <c r="U38" s="329"/>
      <c r="V38" s="329"/>
      <c r="W38" s="329"/>
      <c r="X38" s="329"/>
      <c r="Y38" s="329"/>
      <c r="Z38" s="329"/>
      <c r="AA38" s="329"/>
      <c r="AB38" s="329"/>
      <c r="AC38" s="329"/>
    </row>
    <row r="39" spans="1:29" ht="33" customHeight="1">
      <c r="A39" s="189">
        <v>21</v>
      </c>
      <c r="B39" s="188" t="s">
        <v>69</v>
      </c>
      <c r="C39" s="307" t="s">
        <v>82</v>
      </c>
      <c r="D39" s="308"/>
      <c r="E39" s="182"/>
      <c r="F39" s="191" t="s">
        <v>71</v>
      </c>
      <c r="G39" s="201">
        <v>58</v>
      </c>
      <c r="H39" s="201">
        <v>40</v>
      </c>
      <c r="I39" s="201">
        <v>21</v>
      </c>
      <c r="J39" s="201">
        <v>58</v>
      </c>
      <c r="K39" s="201">
        <v>40</v>
      </c>
      <c r="L39" s="201">
        <v>21</v>
      </c>
      <c r="M39" s="89"/>
      <c r="N39" s="219"/>
      <c r="O39" s="199"/>
      <c r="P39" s="200"/>
      <c r="Q39" s="309"/>
      <c r="R39" s="309"/>
      <c r="S39" s="86"/>
      <c r="T39" s="86"/>
      <c r="U39" s="86"/>
      <c r="V39" s="86"/>
      <c r="W39" s="86"/>
      <c r="X39" s="86"/>
      <c r="Y39" s="86"/>
      <c r="Z39" s="86"/>
      <c r="AA39" s="86"/>
      <c r="AB39" s="86"/>
      <c r="AC39" s="86"/>
    </row>
    <row r="40" spans="1:29" ht="33" customHeight="1">
      <c r="A40" s="189">
        <v>22</v>
      </c>
      <c r="B40" s="188" t="s">
        <v>69</v>
      </c>
      <c r="C40" s="307" t="s">
        <v>103</v>
      </c>
      <c r="D40" s="308"/>
      <c r="E40" s="179"/>
      <c r="F40" s="191" t="s">
        <v>71</v>
      </c>
      <c r="G40" s="201">
        <v>9</v>
      </c>
      <c r="H40" s="201">
        <v>9</v>
      </c>
      <c r="I40" s="201">
        <v>7</v>
      </c>
      <c r="J40" s="201">
        <v>9</v>
      </c>
      <c r="K40" s="201">
        <v>9</v>
      </c>
      <c r="L40" s="201">
        <v>7</v>
      </c>
      <c r="M40" s="89"/>
      <c r="N40" s="219"/>
      <c r="O40" s="199"/>
      <c r="P40" s="200"/>
      <c r="Q40" s="309"/>
      <c r="R40" s="309"/>
      <c r="S40" s="86"/>
      <c r="T40" s="86"/>
      <c r="U40" s="86"/>
      <c r="V40" s="86"/>
      <c r="W40" s="86"/>
      <c r="X40" s="86"/>
      <c r="Y40" s="86"/>
      <c r="Z40" s="86"/>
      <c r="AA40" s="86"/>
      <c r="AB40" s="86"/>
      <c r="AC40" s="86"/>
    </row>
    <row r="41" spans="1:29" ht="33" customHeight="1">
      <c r="A41" s="189">
        <v>23</v>
      </c>
      <c r="B41" s="188" t="s">
        <v>69</v>
      </c>
      <c r="C41" s="307" t="s">
        <v>104</v>
      </c>
      <c r="D41" s="308"/>
      <c r="E41" s="179"/>
      <c r="F41" s="191" t="s">
        <v>71</v>
      </c>
      <c r="G41" s="201">
        <v>5</v>
      </c>
      <c r="H41" s="201">
        <v>1</v>
      </c>
      <c r="I41" s="201">
        <v>1</v>
      </c>
      <c r="J41" s="201">
        <v>5</v>
      </c>
      <c r="K41" s="201">
        <v>1</v>
      </c>
      <c r="L41" s="201">
        <v>1</v>
      </c>
      <c r="M41" s="89"/>
      <c r="N41" s="219"/>
      <c r="O41" s="199"/>
      <c r="P41" s="200"/>
      <c r="Q41" s="309"/>
      <c r="R41" s="309"/>
      <c r="S41" s="86"/>
      <c r="T41" s="86"/>
      <c r="U41" s="86"/>
      <c r="V41" s="86"/>
      <c r="W41" s="86"/>
      <c r="X41" s="86"/>
      <c r="Y41" s="86"/>
      <c r="Z41" s="86"/>
      <c r="AA41" s="86"/>
      <c r="AB41" s="86"/>
      <c r="AC41" s="86"/>
    </row>
    <row r="42" spans="1:29" ht="49.5" customHeight="1">
      <c r="A42" s="317" t="s">
        <v>135</v>
      </c>
      <c r="B42" s="318"/>
      <c r="C42" s="317" t="s">
        <v>68</v>
      </c>
      <c r="D42" s="318"/>
      <c r="E42" s="183"/>
      <c r="F42" s="321" t="s">
        <v>136</v>
      </c>
      <c r="G42" s="322" t="s">
        <v>155</v>
      </c>
      <c r="H42" s="323"/>
      <c r="I42" s="323"/>
      <c r="J42" s="322" t="s">
        <v>154</v>
      </c>
      <c r="K42" s="323"/>
      <c r="L42" s="324"/>
      <c r="M42" s="92"/>
      <c r="O42" s="325"/>
      <c r="P42" s="325"/>
      <c r="Q42" s="325"/>
      <c r="R42" s="325"/>
      <c r="S42" s="316"/>
      <c r="T42" s="316"/>
      <c r="U42" s="316"/>
      <c r="V42" s="316"/>
      <c r="W42" s="316"/>
      <c r="X42" s="316"/>
      <c r="Y42" s="316"/>
      <c r="Z42" s="316"/>
      <c r="AA42" s="316"/>
      <c r="AB42" s="316"/>
      <c r="AC42" s="316"/>
    </row>
    <row r="43" spans="1:29" ht="125.25" customHeight="1">
      <c r="A43" s="319"/>
      <c r="B43" s="320"/>
      <c r="C43" s="319"/>
      <c r="D43" s="320"/>
      <c r="E43" s="184"/>
      <c r="F43" s="321"/>
      <c r="G43" s="153" t="s">
        <v>151</v>
      </c>
      <c r="H43" s="153" t="s">
        <v>152</v>
      </c>
      <c r="I43" s="153" t="s">
        <v>153</v>
      </c>
      <c r="J43" s="153" t="s">
        <v>151</v>
      </c>
      <c r="K43" s="153" t="s">
        <v>152</v>
      </c>
      <c r="L43" s="153" t="s">
        <v>153</v>
      </c>
      <c r="O43" s="325"/>
      <c r="P43" s="325"/>
      <c r="Q43" s="325"/>
      <c r="R43" s="325"/>
      <c r="S43" s="193"/>
      <c r="T43" s="193"/>
      <c r="U43" s="193"/>
      <c r="V43" s="193"/>
      <c r="W43" s="193"/>
      <c r="X43" s="193"/>
      <c r="Y43" s="193"/>
      <c r="Z43" s="193"/>
      <c r="AA43" s="193"/>
      <c r="AB43" s="193"/>
      <c r="AC43" s="193"/>
    </row>
    <row r="44" spans="1:29" ht="30" customHeight="1">
      <c r="A44" s="189">
        <v>24</v>
      </c>
      <c r="B44" s="188" t="s">
        <v>69</v>
      </c>
      <c r="C44" s="307" t="s">
        <v>131</v>
      </c>
      <c r="D44" s="308"/>
      <c r="E44" s="179"/>
      <c r="F44" s="191" t="s">
        <v>71</v>
      </c>
      <c r="G44" s="202" t="s">
        <v>156</v>
      </c>
      <c r="H44" s="202" t="s">
        <v>156</v>
      </c>
      <c r="I44" s="202" t="s">
        <v>156</v>
      </c>
      <c r="J44" s="202" t="s">
        <v>156</v>
      </c>
      <c r="K44" s="202" t="s">
        <v>156</v>
      </c>
      <c r="L44" s="202" t="s">
        <v>156</v>
      </c>
      <c r="M44" s="89"/>
      <c r="N44" s="219"/>
      <c r="O44" s="199"/>
      <c r="P44" s="200"/>
      <c r="Q44" s="309"/>
      <c r="R44" s="309"/>
      <c r="S44" s="86"/>
      <c r="T44" s="86"/>
      <c r="U44" s="86"/>
      <c r="V44" s="86"/>
      <c r="W44" s="86"/>
      <c r="X44" s="86"/>
      <c r="Y44" s="86"/>
      <c r="Z44" s="86"/>
      <c r="AA44" s="86"/>
      <c r="AB44" s="86"/>
      <c r="AC44" s="86"/>
    </row>
    <row r="45" spans="1:29" ht="30" customHeight="1">
      <c r="A45" s="189">
        <v>25</v>
      </c>
      <c r="B45" s="188" t="s">
        <v>69</v>
      </c>
      <c r="C45" s="307" t="s">
        <v>83</v>
      </c>
      <c r="D45" s="308"/>
      <c r="E45" s="179"/>
      <c r="F45" s="191" t="s">
        <v>71</v>
      </c>
      <c r="G45" s="201">
        <v>25</v>
      </c>
      <c r="H45" s="201">
        <v>40</v>
      </c>
      <c r="I45" s="201">
        <v>22</v>
      </c>
      <c r="J45" s="201">
        <v>25</v>
      </c>
      <c r="K45" s="201">
        <v>40</v>
      </c>
      <c r="L45" s="201">
        <v>22</v>
      </c>
      <c r="M45" s="89"/>
      <c r="N45" s="219"/>
      <c r="O45" s="199"/>
      <c r="P45" s="200"/>
      <c r="Q45" s="309"/>
      <c r="R45" s="309"/>
      <c r="S45" s="86"/>
      <c r="T45" s="86"/>
      <c r="U45" s="86"/>
      <c r="V45" s="86"/>
      <c r="W45" s="86"/>
      <c r="X45" s="86"/>
      <c r="Y45" s="86"/>
      <c r="Z45" s="86"/>
      <c r="AA45" s="86"/>
      <c r="AB45" s="86"/>
      <c r="AC45" s="86"/>
    </row>
    <row r="46" spans="1:29" ht="30" customHeight="1">
      <c r="A46" s="189">
        <v>26</v>
      </c>
      <c r="B46" s="188" t="s">
        <v>69</v>
      </c>
      <c r="C46" s="307" t="s">
        <v>84</v>
      </c>
      <c r="D46" s="308"/>
      <c r="E46" s="179"/>
      <c r="F46" s="191" t="s">
        <v>71</v>
      </c>
      <c r="G46" s="201">
        <v>5</v>
      </c>
      <c r="H46" s="202" t="s">
        <v>156</v>
      </c>
      <c r="I46" s="202" t="s">
        <v>156</v>
      </c>
      <c r="J46" s="201">
        <v>5</v>
      </c>
      <c r="K46" s="202" t="s">
        <v>156</v>
      </c>
      <c r="L46" s="202" t="s">
        <v>156</v>
      </c>
      <c r="M46" s="89"/>
      <c r="N46" s="219"/>
      <c r="O46" s="199"/>
      <c r="P46" s="200"/>
      <c r="Q46" s="309"/>
      <c r="R46" s="309"/>
      <c r="S46" s="86"/>
      <c r="T46" s="86"/>
      <c r="U46" s="86"/>
      <c r="V46" s="86"/>
      <c r="W46" s="86"/>
      <c r="X46" s="86"/>
      <c r="Y46" s="86"/>
      <c r="Z46" s="86"/>
      <c r="AA46" s="86"/>
      <c r="AB46" s="86"/>
      <c r="AC46" s="86"/>
    </row>
    <row r="47" spans="1:29" ht="30" customHeight="1">
      <c r="A47" s="189">
        <v>27</v>
      </c>
      <c r="B47" s="188" t="s">
        <v>69</v>
      </c>
      <c r="C47" s="307" t="s">
        <v>85</v>
      </c>
      <c r="D47" s="308"/>
      <c r="E47" s="179"/>
      <c r="F47" s="191" t="s">
        <v>71</v>
      </c>
      <c r="G47" s="201">
        <v>3</v>
      </c>
      <c r="H47" s="201">
        <v>1</v>
      </c>
      <c r="I47" s="201">
        <v>8</v>
      </c>
      <c r="J47" s="201">
        <v>3</v>
      </c>
      <c r="K47" s="201">
        <v>1</v>
      </c>
      <c r="L47" s="201">
        <v>8</v>
      </c>
      <c r="M47" s="89"/>
      <c r="N47" s="219"/>
      <c r="O47" s="199"/>
      <c r="P47" s="200"/>
      <c r="Q47" s="309"/>
      <c r="R47" s="309"/>
      <c r="S47" s="86"/>
      <c r="T47" s="86"/>
      <c r="U47" s="86"/>
      <c r="V47" s="86"/>
      <c r="W47" s="86"/>
      <c r="X47" s="86"/>
      <c r="Y47" s="86"/>
      <c r="Z47" s="86"/>
      <c r="AA47" s="86"/>
      <c r="AB47" s="86"/>
      <c r="AC47" s="86"/>
    </row>
    <row r="48" spans="1:29" ht="30" customHeight="1">
      <c r="A48" s="189">
        <v>28</v>
      </c>
      <c r="B48" s="188" t="s">
        <v>69</v>
      </c>
      <c r="C48" s="307" t="s">
        <v>132</v>
      </c>
      <c r="D48" s="308"/>
      <c r="E48" s="179"/>
      <c r="F48" s="191" t="s">
        <v>71</v>
      </c>
      <c r="G48" s="202" t="s">
        <v>156</v>
      </c>
      <c r="H48" s="202" t="s">
        <v>156</v>
      </c>
      <c r="I48" s="202" t="s">
        <v>156</v>
      </c>
      <c r="J48" s="202" t="s">
        <v>156</v>
      </c>
      <c r="K48" s="202" t="s">
        <v>156</v>
      </c>
      <c r="L48" s="202" t="s">
        <v>156</v>
      </c>
      <c r="M48" s="89"/>
      <c r="N48" s="219"/>
      <c r="O48" s="199"/>
      <c r="P48" s="200"/>
      <c r="Q48" s="309"/>
      <c r="R48" s="309"/>
      <c r="S48" s="86"/>
      <c r="T48" s="86"/>
      <c r="U48" s="86"/>
      <c r="V48" s="86"/>
      <c r="W48" s="86"/>
      <c r="X48" s="86"/>
      <c r="Y48" s="86"/>
      <c r="Z48" s="86"/>
      <c r="AA48" s="86"/>
      <c r="AB48" s="86"/>
      <c r="AC48" s="86"/>
    </row>
    <row r="49" spans="1:29" ht="30" customHeight="1">
      <c r="A49" s="189">
        <v>29</v>
      </c>
      <c r="B49" s="188" t="s">
        <v>69</v>
      </c>
      <c r="C49" s="307" t="s">
        <v>86</v>
      </c>
      <c r="D49" s="308"/>
      <c r="E49" s="179"/>
      <c r="F49" s="191" t="s">
        <v>71</v>
      </c>
      <c r="G49" s="201">
        <v>10</v>
      </c>
      <c r="H49" s="201">
        <v>12</v>
      </c>
      <c r="I49" s="201">
        <v>9</v>
      </c>
      <c r="J49" s="201">
        <v>10</v>
      </c>
      <c r="K49" s="201">
        <v>12</v>
      </c>
      <c r="L49" s="201">
        <v>9</v>
      </c>
      <c r="M49" s="89"/>
      <c r="N49" s="219"/>
      <c r="O49" s="199"/>
      <c r="P49" s="200"/>
      <c r="Q49" s="309"/>
      <c r="R49" s="309"/>
      <c r="S49" s="86"/>
      <c r="T49" s="86"/>
      <c r="U49" s="86"/>
      <c r="V49" s="86"/>
      <c r="W49" s="86"/>
      <c r="X49" s="86"/>
      <c r="Y49" s="86"/>
      <c r="Z49" s="86"/>
      <c r="AA49" s="86"/>
      <c r="AB49" s="86"/>
      <c r="AC49" s="86"/>
    </row>
    <row r="50" spans="1:29" ht="30" customHeight="1">
      <c r="A50" s="189">
        <v>30</v>
      </c>
      <c r="B50" s="188" t="s">
        <v>69</v>
      </c>
      <c r="C50" s="307" t="s">
        <v>87</v>
      </c>
      <c r="D50" s="308"/>
      <c r="E50" s="179"/>
      <c r="F50" s="191" t="s">
        <v>71</v>
      </c>
      <c r="G50" s="202" t="s">
        <v>156</v>
      </c>
      <c r="H50" s="202" t="s">
        <v>156</v>
      </c>
      <c r="I50" s="202" t="s">
        <v>156</v>
      </c>
      <c r="J50" s="202" t="s">
        <v>156</v>
      </c>
      <c r="K50" s="202" t="s">
        <v>156</v>
      </c>
      <c r="L50" s="202" t="s">
        <v>156</v>
      </c>
      <c r="M50" s="89"/>
      <c r="N50" s="219"/>
      <c r="O50" s="199"/>
      <c r="P50" s="200"/>
      <c r="Q50" s="309"/>
      <c r="R50" s="309"/>
      <c r="S50" s="86"/>
      <c r="T50" s="86"/>
      <c r="U50" s="86"/>
      <c r="V50" s="86"/>
      <c r="W50" s="86"/>
      <c r="X50" s="86"/>
      <c r="Y50" s="86"/>
      <c r="Z50" s="86"/>
      <c r="AA50" s="86"/>
      <c r="AB50" s="86"/>
      <c r="AC50" s="86"/>
    </row>
    <row r="51" spans="1:29" ht="30" customHeight="1">
      <c r="A51" s="189">
        <v>31</v>
      </c>
      <c r="B51" s="188" t="s">
        <v>69</v>
      </c>
      <c r="C51" s="307" t="s">
        <v>105</v>
      </c>
      <c r="D51" s="308"/>
      <c r="E51" s="179"/>
      <c r="F51" s="191" t="s">
        <v>71</v>
      </c>
      <c r="G51" s="201">
        <v>2</v>
      </c>
      <c r="H51" s="203" t="s">
        <v>156</v>
      </c>
      <c r="I51" s="201">
        <v>8</v>
      </c>
      <c r="J51" s="201">
        <v>2</v>
      </c>
      <c r="K51" s="203" t="s">
        <v>156</v>
      </c>
      <c r="L51" s="201">
        <v>8</v>
      </c>
      <c r="M51" s="89"/>
      <c r="N51" s="219"/>
      <c r="O51" s="199"/>
      <c r="P51" s="200"/>
      <c r="Q51" s="309"/>
      <c r="R51" s="309"/>
      <c r="S51" s="86"/>
      <c r="T51" s="86"/>
      <c r="U51" s="86"/>
      <c r="V51" s="86"/>
      <c r="W51" s="86"/>
      <c r="X51" s="86"/>
      <c r="Y51" s="86"/>
      <c r="Z51" s="86"/>
      <c r="AA51" s="86"/>
      <c r="AB51" s="86"/>
      <c r="AC51" s="86"/>
    </row>
    <row r="52" spans="1:29" ht="30" customHeight="1">
      <c r="A52" s="189">
        <v>32</v>
      </c>
      <c r="B52" s="188" t="s">
        <v>69</v>
      </c>
      <c r="C52" s="307" t="s">
        <v>133</v>
      </c>
      <c r="D52" s="308"/>
      <c r="E52" s="179"/>
      <c r="F52" s="191" t="s">
        <v>71</v>
      </c>
      <c r="G52" s="202" t="s">
        <v>156</v>
      </c>
      <c r="H52" s="202" t="s">
        <v>156</v>
      </c>
      <c r="I52" s="202" t="s">
        <v>156</v>
      </c>
      <c r="J52" s="202" t="s">
        <v>156</v>
      </c>
      <c r="K52" s="202" t="s">
        <v>156</v>
      </c>
      <c r="L52" s="202" t="s">
        <v>156</v>
      </c>
      <c r="M52" s="89"/>
      <c r="N52" s="219"/>
      <c r="O52" s="199"/>
      <c r="P52" s="200"/>
      <c r="Q52" s="309"/>
      <c r="R52" s="309"/>
      <c r="S52" s="86"/>
      <c r="T52" s="86"/>
      <c r="U52" s="86"/>
      <c r="V52" s="86"/>
      <c r="W52" s="86"/>
      <c r="X52" s="86"/>
      <c r="Y52" s="86"/>
      <c r="Z52" s="86"/>
      <c r="AA52" s="86"/>
      <c r="AB52" s="86"/>
      <c r="AC52" s="86"/>
    </row>
    <row r="53" spans="1:29" ht="30" customHeight="1">
      <c r="A53" s="189">
        <v>33</v>
      </c>
      <c r="B53" s="188" t="s">
        <v>69</v>
      </c>
      <c r="C53" s="307" t="s">
        <v>88</v>
      </c>
      <c r="D53" s="308"/>
      <c r="E53" s="179"/>
      <c r="F53" s="191" t="s">
        <v>71</v>
      </c>
      <c r="G53" s="201">
        <v>3</v>
      </c>
      <c r="H53" s="201">
        <v>7</v>
      </c>
      <c r="I53" s="201">
        <v>7</v>
      </c>
      <c r="J53" s="201">
        <v>3</v>
      </c>
      <c r="K53" s="201">
        <v>7</v>
      </c>
      <c r="L53" s="201">
        <v>7</v>
      </c>
      <c r="M53" s="89"/>
      <c r="N53" s="219"/>
      <c r="O53" s="199"/>
      <c r="P53" s="200"/>
      <c r="Q53" s="309"/>
      <c r="R53" s="309"/>
      <c r="S53" s="86"/>
      <c r="T53" s="86"/>
      <c r="U53" s="86"/>
      <c r="V53" s="86"/>
      <c r="W53" s="86"/>
      <c r="X53" s="86"/>
      <c r="Y53" s="86"/>
      <c r="Z53" s="86"/>
      <c r="AA53" s="86"/>
      <c r="AB53" s="86"/>
      <c r="AC53" s="86"/>
    </row>
    <row r="54" spans="1:29" ht="30" customHeight="1">
      <c r="A54" s="189">
        <v>34</v>
      </c>
      <c r="B54" s="188" t="s">
        <v>69</v>
      </c>
      <c r="C54" s="307" t="s">
        <v>89</v>
      </c>
      <c r="D54" s="308"/>
      <c r="E54" s="179"/>
      <c r="F54" s="191" t="s">
        <v>71</v>
      </c>
      <c r="G54" s="202" t="s">
        <v>156</v>
      </c>
      <c r="H54" s="202" t="s">
        <v>156</v>
      </c>
      <c r="I54" s="202" t="s">
        <v>156</v>
      </c>
      <c r="J54" s="202" t="s">
        <v>156</v>
      </c>
      <c r="K54" s="202" t="s">
        <v>156</v>
      </c>
      <c r="L54" s="202" t="s">
        <v>156</v>
      </c>
      <c r="M54" s="89"/>
      <c r="N54" s="219"/>
      <c r="O54" s="199"/>
      <c r="P54" s="200"/>
      <c r="Q54" s="309"/>
      <c r="R54" s="309"/>
      <c r="S54" s="86"/>
      <c r="T54" s="86"/>
      <c r="U54" s="86"/>
      <c r="V54" s="86"/>
      <c r="W54" s="86"/>
      <c r="X54" s="86"/>
      <c r="Y54" s="86"/>
      <c r="Z54" s="86"/>
      <c r="AA54" s="86"/>
      <c r="AB54" s="86"/>
      <c r="AC54" s="86"/>
    </row>
    <row r="55" spans="1:29" ht="30" customHeight="1">
      <c r="A55" s="189">
        <v>35</v>
      </c>
      <c r="B55" s="188" t="s">
        <v>69</v>
      </c>
      <c r="C55" s="307" t="s">
        <v>140</v>
      </c>
      <c r="D55" s="308"/>
      <c r="E55" s="179"/>
      <c r="F55" s="191" t="s">
        <v>71</v>
      </c>
      <c r="G55" s="202" t="s">
        <v>156</v>
      </c>
      <c r="H55" s="202" t="s">
        <v>156</v>
      </c>
      <c r="I55" s="201">
        <v>3</v>
      </c>
      <c r="J55" s="202" t="s">
        <v>156</v>
      </c>
      <c r="K55" s="202" t="s">
        <v>156</v>
      </c>
      <c r="L55" s="201">
        <v>3</v>
      </c>
      <c r="M55" s="89"/>
      <c r="N55" s="220"/>
      <c r="O55" s="199"/>
      <c r="P55" s="200"/>
      <c r="Q55" s="309"/>
      <c r="R55" s="309"/>
      <c r="S55" s="86"/>
      <c r="T55" s="86"/>
      <c r="U55" s="86"/>
      <c r="V55" s="86"/>
      <c r="W55" s="86"/>
      <c r="X55" s="86"/>
      <c r="Y55" s="86"/>
      <c r="Z55" s="86"/>
      <c r="AA55" s="86"/>
      <c r="AB55" s="86"/>
      <c r="AC55" s="86"/>
    </row>
    <row r="56" spans="1:29" ht="30" customHeight="1">
      <c r="A56" s="189">
        <v>36</v>
      </c>
      <c r="B56" s="188" t="s">
        <v>69</v>
      </c>
      <c r="C56" s="307" t="s">
        <v>134</v>
      </c>
      <c r="D56" s="308"/>
      <c r="E56" s="179"/>
      <c r="F56" s="191" t="s">
        <v>71</v>
      </c>
      <c r="G56" s="202" t="s">
        <v>156</v>
      </c>
      <c r="H56" s="202" t="s">
        <v>156</v>
      </c>
      <c r="I56" s="202" t="s">
        <v>156</v>
      </c>
      <c r="J56" s="202" t="s">
        <v>156</v>
      </c>
      <c r="K56" s="202" t="s">
        <v>156</v>
      </c>
      <c r="L56" s="202" t="s">
        <v>156</v>
      </c>
      <c r="M56" s="89"/>
      <c r="N56" s="220"/>
      <c r="O56" s="199"/>
      <c r="P56" s="200"/>
      <c r="Q56" s="309"/>
      <c r="R56" s="309"/>
      <c r="S56" s="86"/>
      <c r="T56" s="86"/>
      <c r="U56" s="86"/>
      <c r="V56" s="86"/>
      <c r="W56" s="86"/>
      <c r="X56" s="86"/>
      <c r="Y56" s="86"/>
      <c r="Z56" s="86"/>
      <c r="AA56" s="86"/>
      <c r="AB56" s="86"/>
      <c r="AC56" s="86"/>
    </row>
    <row r="57" spans="1:29" ht="30" customHeight="1">
      <c r="A57" s="189">
        <v>37</v>
      </c>
      <c r="B57" s="188" t="s">
        <v>69</v>
      </c>
      <c r="C57" s="307" t="s">
        <v>90</v>
      </c>
      <c r="D57" s="308"/>
      <c r="E57" s="179"/>
      <c r="F57" s="191" t="s">
        <v>71</v>
      </c>
      <c r="G57" s="202" t="s">
        <v>156</v>
      </c>
      <c r="H57" s="202" t="s">
        <v>156</v>
      </c>
      <c r="I57" s="202" t="s">
        <v>156</v>
      </c>
      <c r="J57" s="202" t="s">
        <v>156</v>
      </c>
      <c r="K57" s="202" t="s">
        <v>156</v>
      </c>
      <c r="L57" s="202" t="s">
        <v>156</v>
      </c>
      <c r="M57" s="89"/>
      <c r="N57" s="220"/>
      <c r="O57" s="199"/>
      <c r="P57" s="200"/>
      <c r="Q57" s="309"/>
      <c r="R57" s="309"/>
      <c r="S57" s="86"/>
      <c r="T57" s="86"/>
      <c r="U57" s="86"/>
      <c r="V57" s="86"/>
      <c r="W57" s="86"/>
      <c r="X57" s="86"/>
      <c r="Y57" s="86"/>
      <c r="Z57" s="86"/>
      <c r="AA57" s="86"/>
      <c r="AB57" s="86"/>
      <c r="AC57" s="86"/>
    </row>
    <row r="58" spans="1:29" ht="30" customHeight="1">
      <c r="A58" s="189">
        <v>38</v>
      </c>
      <c r="B58" s="188" t="s">
        <v>69</v>
      </c>
      <c r="C58" s="307" t="s">
        <v>106</v>
      </c>
      <c r="D58" s="308"/>
      <c r="E58" s="150"/>
      <c r="F58" s="191" t="s">
        <v>71</v>
      </c>
      <c r="G58" s="202" t="s">
        <v>156</v>
      </c>
      <c r="H58" s="202" t="s">
        <v>156</v>
      </c>
      <c r="I58" s="202" t="s">
        <v>156</v>
      </c>
      <c r="J58" s="202" t="s">
        <v>156</v>
      </c>
      <c r="K58" s="202" t="s">
        <v>156</v>
      </c>
      <c r="L58" s="202" t="s">
        <v>156</v>
      </c>
      <c r="M58" s="89"/>
      <c r="N58" s="220"/>
      <c r="O58" s="199"/>
      <c r="P58" s="200"/>
      <c r="Q58" s="309"/>
      <c r="R58" s="309"/>
      <c r="S58" s="86"/>
      <c r="T58" s="86"/>
      <c r="U58" s="86"/>
      <c r="V58" s="86"/>
      <c r="W58" s="86"/>
      <c r="X58" s="86"/>
      <c r="Y58" s="86"/>
      <c r="Z58" s="86"/>
      <c r="AA58" s="86"/>
      <c r="AB58" s="86"/>
      <c r="AC58" s="86"/>
    </row>
    <row r="59" spans="1:29" ht="25.5" customHeight="1">
      <c r="A59" s="310" t="s">
        <v>92</v>
      </c>
      <c r="B59" s="310"/>
      <c r="C59" s="310"/>
      <c r="D59" s="310"/>
      <c r="E59" s="310"/>
      <c r="F59" s="310"/>
      <c r="G59" s="310"/>
      <c r="H59" s="310"/>
      <c r="I59" s="310"/>
      <c r="J59" s="310"/>
      <c r="K59" s="310"/>
      <c r="L59" s="310"/>
      <c r="M59" s="92"/>
    </row>
    <row r="60" spans="1:29" ht="19.5" customHeight="1">
      <c r="A60" s="139"/>
      <c r="B60" s="139"/>
      <c r="C60" s="140"/>
      <c r="D60" s="140" t="s">
        <v>145</v>
      </c>
      <c r="E60" s="140"/>
      <c r="F60" s="152" t="s">
        <v>54</v>
      </c>
      <c r="G60" s="152"/>
      <c r="H60" s="152"/>
      <c r="I60" s="152"/>
      <c r="J60" s="152" t="s">
        <v>144</v>
      </c>
      <c r="K60" s="152"/>
      <c r="L60" s="140"/>
      <c r="M60" s="94"/>
    </row>
    <row r="61" spans="1:29" ht="28.5" customHeight="1">
      <c r="A61" s="310" t="s">
        <v>93</v>
      </c>
      <c r="B61" s="310"/>
      <c r="C61" s="310"/>
      <c r="D61" s="310"/>
      <c r="E61" s="310"/>
      <c r="F61" s="310"/>
      <c r="G61" s="310"/>
      <c r="H61" s="310"/>
      <c r="I61" s="310"/>
      <c r="J61" s="310"/>
      <c r="K61" s="310"/>
      <c r="L61" s="310"/>
      <c r="M61" s="92"/>
      <c r="N61" s="311"/>
      <c r="O61" s="311"/>
      <c r="P61" s="311"/>
    </row>
    <row r="62" spans="1:29" ht="20.25" customHeight="1">
      <c r="A62" s="139"/>
      <c r="B62" s="139"/>
      <c r="C62" s="139"/>
      <c r="D62" s="140" t="s">
        <v>145</v>
      </c>
      <c r="E62" s="140"/>
      <c r="F62" s="152" t="s">
        <v>54</v>
      </c>
      <c r="G62" s="152"/>
      <c r="H62" s="152"/>
      <c r="I62" s="152"/>
      <c r="J62" s="152" t="s">
        <v>144</v>
      </c>
      <c r="K62" s="152"/>
      <c r="L62" s="139"/>
      <c r="M62" s="94"/>
      <c r="N62" s="221"/>
      <c r="O62" s="95"/>
      <c r="P62" s="95"/>
    </row>
    <row r="63" spans="1:29" ht="26.25" customHeight="1">
      <c r="A63" s="312" t="s">
        <v>94</v>
      </c>
      <c r="B63" s="312"/>
      <c r="C63" s="312"/>
      <c r="D63" s="312"/>
      <c r="E63" s="312"/>
      <c r="F63" s="312"/>
      <c r="G63" s="312"/>
      <c r="H63" s="312"/>
      <c r="I63" s="312"/>
      <c r="J63" s="312"/>
      <c r="K63" s="312"/>
      <c r="L63" s="312"/>
      <c r="M63" s="92"/>
    </row>
    <row r="64" spans="1:29" ht="22.5" customHeight="1">
      <c r="A64" s="120"/>
      <c r="B64" s="120"/>
      <c r="C64" s="120"/>
      <c r="D64" s="120"/>
      <c r="E64" s="120"/>
      <c r="F64" s="120"/>
      <c r="G64" s="120"/>
      <c r="H64" s="120"/>
      <c r="I64" s="120"/>
      <c r="J64" s="120"/>
      <c r="K64" s="120"/>
      <c r="L64" s="120"/>
      <c r="M64" s="94"/>
    </row>
    <row r="65" spans="1:16" ht="22.5" customHeight="1">
      <c r="A65" s="313" t="s">
        <v>95</v>
      </c>
      <c r="B65" s="313"/>
      <c r="C65" s="313"/>
      <c r="D65" s="313"/>
      <c r="E65" s="313"/>
      <c r="F65" s="313"/>
      <c r="G65" s="313"/>
      <c r="H65" s="313"/>
      <c r="I65" s="313"/>
      <c r="J65" s="313"/>
      <c r="K65" s="313"/>
      <c r="L65" s="313"/>
      <c r="M65" s="92"/>
    </row>
    <row r="66" spans="1:16" ht="19.5" customHeight="1">
      <c r="A66" s="97"/>
      <c r="B66" s="97"/>
      <c r="C66" s="145"/>
      <c r="D66" s="97"/>
      <c r="E66" s="97"/>
      <c r="F66" s="97"/>
      <c r="G66" s="97"/>
      <c r="H66" s="97"/>
      <c r="I66" s="97"/>
      <c r="J66" s="97"/>
      <c r="K66" s="97"/>
      <c r="L66" s="97"/>
      <c r="M66" s="94"/>
    </row>
    <row r="67" spans="1:16" ht="15.75">
      <c r="A67" s="94"/>
      <c r="B67" s="94"/>
      <c r="C67" s="146"/>
      <c r="D67" s="94"/>
      <c r="E67" s="94"/>
      <c r="F67" s="94"/>
      <c r="G67" s="94"/>
      <c r="H67" s="94"/>
      <c r="I67" s="94"/>
      <c r="J67" s="94"/>
      <c r="K67" s="94"/>
      <c r="L67" s="94"/>
      <c r="M67" s="94"/>
    </row>
    <row r="68" spans="1:16" ht="31.5" customHeight="1">
      <c r="A68" s="314" t="s">
        <v>96</v>
      </c>
      <c r="B68" s="314"/>
      <c r="C68" s="314"/>
      <c r="D68" s="314"/>
      <c r="E68" s="98"/>
      <c r="F68" s="98"/>
      <c r="G68" s="98"/>
      <c r="H68" s="315" t="s">
        <v>97</v>
      </c>
      <c r="I68" s="315"/>
      <c r="J68" s="315"/>
      <c r="K68" s="315"/>
      <c r="L68" s="315"/>
      <c r="M68" s="94"/>
    </row>
    <row r="69" spans="1:16" ht="95.1" customHeight="1">
      <c r="A69" s="99"/>
      <c r="B69" s="101" t="str">
        <f>'Biavh-Q8'!Q16&amp;"        …............."</f>
        <v>Ông Huỳnh Phước Hải        ….............</v>
      </c>
      <c r="C69" s="147"/>
      <c r="D69" s="99"/>
      <c r="E69" s="81"/>
      <c r="F69" s="100"/>
      <c r="G69" s="100"/>
      <c r="H69" s="306" t="str">
        <f>'Biavh-Q8'!Q22&amp;"          ….................."</f>
        <v>Ông Phạm Tấn Việt          …..................</v>
      </c>
      <c r="I69" s="306"/>
      <c r="J69" s="306"/>
      <c r="K69" s="306"/>
      <c r="L69" s="306"/>
      <c r="M69" s="94"/>
    </row>
    <row r="70" spans="1:16" ht="5.25" customHeight="1">
      <c r="A70" s="99"/>
      <c r="B70" s="101"/>
      <c r="C70" s="147"/>
      <c r="D70" s="99"/>
      <c r="E70" s="81"/>
      <c r="F70" s="100"/>
      <c r="G70" s="100"/>
      <c r="H70" s="204"/>
      <c r="I70" s="204"/>
      <c r="J70" s="204"/>
      <c r="K70" s="204"/>
      <c r="L70" s="204"/>
      <c r="M70" s="94"/>
    </row>
    <row r="71" spans="1:16" ht="21.75" customHeight="1">
      <c r="A71" s="348" t="s">
        <v>165</v>
      </c>
      <c r="B71" s="348"/>
      <c r="C71" s="348"/>
      <c r="D71" s="348"/>
      <c r="E71" s="348"/>
      <c r="F71" s="348"/>
      <c r="G71" s="348"/>
      <c r="H71" s="348"/>
      <c r="I71" s="348"/>
      <c r="J71" s="348"/>
      <c r="K71" s="348"/>
      <c r="L71" s="348"/>
      <c r="M71" s="82"/>
    </row>
    <row r="72" spans="1:16" ht="19.5">
      <c r="A72" s="84" t="str">
        <f>"Ngày "&amp;N73&amp;" tháng "&amp;O3&amp;" năm "&amp;P3&amp;""</f>
        <v>Ngày 02 tháng 07 năm 2026</v>
      </c>
      <c r="B72" s="84"/>
      <c r="C72" s="85"/>
      <c r="N72" s="216"/>
      <c r="O72" s="20"/>
      <c r="P72" s="20"/>
    </row>
    <row r="73" spans="1:16" ht="16.5">
      <c r="A73" s="337" t="s">
        <v>57</v>
      </c>
      <c r="B73" s="337"/>
      <c r="C73" s="337"/>
      <c r="D73" s="311"/>
      <c r="E73" s="311"/>
      <c r="F73" s="311"/>
      <c r="G73" s="95"/>
      <c r="H73" s="95"/>
      <c r="I73" s="95"/>
      <c r="J73" s="95"/>
      <c r="K73" s="95"/>
      <c r="L73" s="95"/>
      <c r="N73" s="217" t="s">
        <v>164</v>
      </c>
      <c r="O73" s="214"/>
      <c r="P73" s="17"/>
    </row>
    <row r="74" spans="1:16" ht="15.75" customHeight="1">
      <c r="A74" s="338"/>
      <c r="B74" s="338"/>
      <c r="C74" s="338"/>
      <c r="D74" s="339" t="s">
        <v>58</v>
      </c>
      <c r="E74" s="340"/>
      <c r="F74" s="340"/>
      <c r="G74" s="340"/>
      <c r="H74" s="341"/>
      <c r="I74" s="339" t="s">
        <v>59</v>
      </c>
      <c r="J74" s="340"/>
      <c r="K74" s="340"/>
      <c r="L74" s="341"/>
    </row>
    <row r="75" spans="1:16" ht="19.5" customHeight="1">
      <c r="A75" s="342" t="s">
        <v>60</v>
      </c>
      <c r="B75" s="342"/>
      <c r="C75" s="342"/>
      <c r="D75" s="343" t="s">
        <v>54</v>
      </c>
      <c r="E75" s="344"/>
      <c r="F75" s="344"/>
      <c r="G75" s="344"/>
      <c r="H75" s="345"/>
      <c r="I75" s="343" t="s">
        <v>54</v>
      </c>
      <c r="J75" s="344"/>
      <c r="K75" s="344"/>
      <c r="L75" s="345"/>
    </row>
    <row r="76" spans="1:16" ht="22.5" customHeight="1">
      <c r="A76" s="342" t="s">
        <v>61</v>
      </c>
      <c r="B76" s="342"/>
      <c r="C76" s="342"/>
      <c r="D76" s="343" t="s">
        <v>163</v>
      </c>
      <c r="E76" s="344"/>
      <c r="F76" s="344"/>
      <c r="G76" s="344"/>
      <c r="H76" s="345"/>
      <c r="I76" s="343" t="str">
        <f>D76</f>
        <v>31° - 34°</v>
      </c>
      <c r="J76" s="344"/>
      <c r="K76" s="344"/>
      <c r="L76" s="345"/>
    </row>
    <row r="77" spans="1:16" s="87" customFormat="1" ht="19.5" customHeight="1">
      <c r="A77" s="310" t="s">
        <v>62</v>
      </c>
      <c r="B77" s="310"/>
      <c r="C77" s="310"/>
      <c r="D77" s="310"/>
      <c r="E77" s="310"/>
      <c r="F77" s="310"/>
      <c r="G77" s="310"/>
      <c r="H77" s="310"/>
      <c r="I77" s="310"/>
      <c r="J77" s="310"/>
      <c r="K77" s="310"/>
      <c r="L77" s="310"/>
      <c r="M77" s="85"/>
      <c r="N77" s="218"/>
    </row>
    <row r="78" spans="1:16" s="87" customFormat="1" ht="15.75">
      <c r="A78" s="332" t="s">
        <v>63</v>
      </c>
      <c r="B78" s="332"/>
      <c r="C78" s="332"/>
      <c r="D78" s="332"/>
      <c r="E78" s="332"/>
      <c r="F78" s="332"/>
      <c r="G78" s="332"/>
      <c r="H78" s="332"/>
      <c r="I78" s="332"/>
      <c r="J78" s="332"/>
      <c r="K78" s="332"/>
      <c r="L78" s="332"/>
      <c r="M78" s="85"/>
      <c r="N78" s="218"/>
    </row>
    <row r="79" spans="1:16" s="87" customFormat="1" ht="20.100000000000001" customHeight="1">
      <c r="A79" s="88"/>
      <c r="B79" s="88"/>
      <c r="C79" s="333" t="s">
        <v>64</v>
      </c>
      <c r="D79" s="334"/>
      <c r="E79" s="334"/>
      <c r="F79" s="334"/>
      <c r="G79" s="334"/>
      <c r="H79" s="334"/>
      <c r="I79" s="334"/>
      <c r="J79" s="334"/>
      <c r="K79" s="334"/>
      <c r="L79" s="334"/>
      <c r="M79" s="85"/>
      <c r="N79" s="218"/>
    </row>
    <row r="80" spans="1:16" s="87" customFormat="1" ht="20.100000000000001" customHeight="1">
      <c r="A80" s="88"/>
      <c r="B80" s="88"/>
      <c r="C80" s="333" t="s">
        <v>65</v>
      </c>
      <c r="D80" s="334"/>
      <c r="E80" s="334"/>
      <c r="F80" s="334"/>
      <c r="G80" s="334"/>
      <c r="H80" s="334"/>
      <c r="I80" s="334"/>
      <c r="J80" s="334"/>
      <c r="K80" s="334"/>
      <c r="L80" s="334"/>
      <c r="M80" s="85"/>
      <c r="N80" s="218"/>
    </row>
    <row r="81" spans="1:29" s="87" customFormat="1" ht="17.25" customHeight="1">
      <c r="A81" s="335" t="s">
        <v>66</v>
      </c>
      <c r="B81" s="335"/>
      <c r="C81" s="335"/>
      <c r="D81" s="335"/>
      <c r="E81" s="335"/>
      <c r="F81" s="335"/>
      <c r="G81" s="335"/>
      <c r="H81" s="335"/>
      <c r="I81" s="335"/>
      <c r="J81" s="335"/>
      <c r="K81" s="335"/>
      <c r="L81" s="335"/>
      <c r="M81" s="85"/>
      <c r="N81" s="218"/>
    </row>
    <row r="82" spans="1:29" s="87" customFormat="1" ht="7.5" customHeight="1">
      <c r="A82" s="119"/>
      <c r="B82" s="119"/>
      <c r="C82" s="119"/>
      <c r="D82" s="119"/>
      <c r="E82" s="119"/>
      <c r="F82" s="119"/>
      <c r="G82" s="119"/>
      <c r="H82" s="119"/>
      <c r="I82" s="119"/>
      <c r="J82" s="119"/>
      <c r="K82" s="119"/>
      <c r="L82" s="119"/>
      <c r="M82" s="85"/>
      <c r="N82" s="218"/>
    </row>
    <row r="83" spans="1:29" ht="15.75">
      <c r="A83" s="336" t="s">
        <v>67</v>
      </c>
      <c r="B83" s="336"/>
      <c r="C83" s="336"/>
      <c r="D83" s="336"/>
      <c r="E83" s="336"/>
      <c r="F83" s="336"/>
      <c r="G83" s="336"/>
      <c r="H83" s="336"/>
      <c r="I83" s="336"/>
      <c r="J83" s="336"/>
      <c r="K83" s="336"/>
      <c r="L83" s="336"/>
    </row>
    <row r="84" spans="1:29" ht="2.25" customHeight="1">
      <c r="A84" s="141"/>
      <c r="B84" s="141"/>
      <c r="C84" s="141"/>
      <c r="D84" s="141"/>
      <c r="E84" s="141"/>
      <c r="F84" s="141"/>
      <c r="G84" s="155"/>
      <c r="H84" s="155"/>
      <c r="I84" s="155"/>
      <c r="J84" s="155"/>
      <c r="K84" s="155"/>
      <c r="L84" s="155"/>
    </row>
    <row r="85" spans="1:29" ht="27.75" customHeight="1">
      <c r="A85" s="317" t="s">
        <v>135</v>
      </c>
      <c r="B85" s="318"/>
      <c r="C85" s="317" t="s">
        <v>68</v>
      </c>
      <c r="D85" s="318"/>
      <c r="E85" s="183"/>
      <c r="F85" s="321" t="s">
        <v>136</v>
      </c>
      <c r="G85" s="322" t="s">
        <v>155</v>
      </c>
      <c r="H85" s="323"/>
      <c r="I85" s="323"/>
      <c r="J85" s="322" t="s">
        <v>154</v>
      </c>
      <c r="K85" s="323"/>
      <c r="L85" s="324"/>
      <c r="M85" s="92"/>
      <c r="O85" s="325"/>
      <c r="P85" s="325"/>
      <c r="Q85" s="325"/>
      <c r="R85" s="325"/>
      <c r="S85" s="316"/>
      <c r="T85" s="316"/>
      <c r="U85" s="316"/>
      <c r="V85" s="316"/>
      <c r="W85" s="316"/>
      <c r="X85" s="316"/>
      <c r="Y85" s="316"/>
      <c r="Z85" s="316"/>
      <c r="AA85" s="316"/>
      <c r="AB85" s="316"/>
      <c r="AC85" s="316"/>
    </row>
    <row r="86" spans="1:29" ht="125.25" customHeight="1">
      <c r="A86" s="319"/>
      <c r="B86" s="320"/>
      <c r="C86" s="319"/>
      <c r="D86" s="320"/>
      <c r="E86" s="184"/>
      <c r="F86" s="321"/>
      <c r="G86" s="153" t="s">
        <v>151</v>
      </c>
      <c r="H86" s="153" t="s">
        <v>152</v>
      </c>
      <c r="I86" s="153" t="s">
        <v>153</v>
      </c>
      <c r="J86" s="153" t="s">
        <v>151</v>
      </c>
      <c r="K86" s="153" t="s">
        <v>152</v>
      </c>
      <c r="L86" s="153" t="s">
        <v>153</v>
      </c>
      <c r="O86" s="325"/>
      <c r="P86" s="325"/>
      <c r="Q86" s="325"/>
      <c r="R86" s="325"/>
      <c r="S86" s="193"/>
      <c r="T86" s="193"/>
      <c r="U86" s="193"/>
      <c r="V86" s="193"/>
      <c r="W86" s="193"/>
      <c r="X86" s="193"/>
      <c r="Y86" s="193"/>
      <c r="Z86" s="193"/>
      <c r="AA86" s="193"/>
      <c r="AB86" s="193"/>
      <c r="AC86" s="193"/>
    </row>
    <row r="87" spans="1:29" ht="24.75" customHeight="1">
      <c r="A87" s="190" t="s">
        <v>128</v>
      </c>
      <c r="B87" s="142"/>
      <c r="C87" s="330" t="s">
        <v>129</v>
      </c>
      <c r="D87" s="330"/>
      <c r="E87" s="330"/>
      <c r="F87" s="330"/>
      <c r="G87" s="330"/>
      <c r="H87" s="330"/>
      <c r="I87" s="330"/>
      <c r="J87" s="330"/>
      <c r="K87" s="330"/>
      <c r="L87" s="330"/>
      <c r="M87" s="93"/>
      <c r="O87" s="156"/>
      <c r="P87" s="142"/>
      <c r="Q87" s="331"/>
      <c r="R87" s="331"/>
      <c r="S87" s="331"/>
      <c r="T87" s="331"/>
      <c r="U87" s="331"/>
      <c r="V87" s="331"/>
      <c r="W87" s="331"/>
      <c r="X87" s="331"/>
      <c r="Y87" s="331"/>
      <c r="Z87" s="331"/>
      <c r="AA87" s="331"/>
      <c r="AB87" s="331"/>
      <c r="AC87" s="331"/>
    </row>
    <row r="88" spans="1:29" ht="20.100000000000001" customHeight="1">
      <c r="A88" s="187">
        <v>1</v>
      </c>
      <c r="B88" s="185" t="s">
        <v>69</v>
      </c>
      <c r="C88" s="326" t="s">
        <v>70</v>
      </c>
      <c r="D88" s="326"/>
      <c r="E88" s="176"/>
      <c r="F88" s="144" t="s">
        <v>71</v>
      </c>
      <c r="G88" s="203" t="s">
        <v>156</v>
      </c>
      <c r="H88" s="202" t="s">
        <v>156</v>
      </c>
      <c r="I88" s="201">
        <v>1</v>
      </c>
      <c r="J88" s="202" t="s">
        <v>156</v>
      </c>
      <c r="K88" s="202" t="s">
        <v>156</v>
      </c>
      <c r="L88" s="201">
        <v>1</v>
      </c>
      <c r="M88" s="93"/>
      <c r="O88" s="195"/>
      <c r="P88" s="196"/>
      <c r="Q88" s="327"/>
      <c r="R88" s="327"/>
      <c r="S88" s="86"/>
      <c r="T88" s="86"/>
      <c r="U88" s="86"/>
      <c r="V88" s="86"/>
      <c r="W88" s="194"/>
      <c r="X88" s="194"/>
      <c r="Y88" s="194"/>
      <c r="Z88" s="194"/>
      <c r="AA88" s="194"/>
      <c r="AB88" s="194"/>
      <c r="AC88" s="194"/>
    </row>
    <row r="89" spans="1:29" ht="20.100000000000001" customHeight="1">
      <c r="A89" s="187">
        <v>2</v>
      </c>
      <c r="B89" s="185" t="s">
        <v>69</v>
      </c>
      <c r="C89" s="326" t="s">
        <v>72</v>
      </c>
      <c r="D89" s="326"/>
      <c r="E89" s="176"/>
      <c r="F89" s="144" t="s">
        <v>71</v>
      </c>
      <c r="G89" s="203" t="s">
        <v>156</v>
      </c>
      <c r="H89" s="202" t="s">
        <v>156</v>
      </c>
      <c r="I89" s="202" t="s">
        <v>156</v>
      </c>
      <c r="J89" s="202" t="s">
        <v>156</v>
      </c>
      <c r="K89" s="202" t="s">
        <v>156</v>
      </c>
      <c r="L89" s="202" t="s">
        <v>156</v>
      </c>
      <c r="M89" s="93"/>
      <c r="O89" s="195"/>
      <c r="P89" s="196"/>
      <c r="Q89" s="327"/>
      <c r="R89" s="327"/>
      <c r="S89" s="194"/>
      <c r="T89" s="194"/>
      <c r="U89" s="194"/>
      <c r="V89" s="86"/>
      <c r="W89" s="86"/>
      <c r="X89" s="86"/>
      <c r="Y89" s="86"/>
      <c r="Z89" s="194"/>
      <c r="AA89" s="194"/>
      <c r="AB89" s="194"/>
      <c r="AC89" s="194"/>
    </row>
    <row r="90" spans="1:29" ht="20.100000000000001" customHeight="1">
      <c r="A90" s="187">
        <v>3</v>
      </c>
      <c r="B90" s="185" t="s">
        <v>69</v>
      </c>
      <c r="C90" s="326" t="s">
        <v>73</v>
      </c>
      <c r="D90" s="326"/>
      <c r="E90" s="176"/>
      <c r="F90" s="144" t="s">
        <v>71</v>
      </c>
      <c r="G90" s="203" t="s">
        <v>156</v>
      </c>
      <c r="H90" s="202" t="s">
        <v>156</v>
      </c>
      <c r="I90" s="202" t="s">
        <v>156</v>
      </c>
      <c r="J90" s="202" t="s">
        <v>156</v>
      </c>
      <c r="K90" s="202" t="s">
        <v>156</v>
      </c>
      <c r="L90" s="202" t="s">
        <v>156</v>
      </c>
      <c r="M90" s="93"/>
      <c r="O90" s="195"/>
      <c r="P90" s="196"/>
      <c r="Q90" s="327"/>
      <c r="R90" s="327"/>
      <c r="S90" s="194"/>
      <c r="T90" s="86"/>
      <c r="U90" s="86"/>
      <c r="V90" s="86"/>
      <c r="W90" s="86"/>
      <c r="X90" s="194"/>
      <c r="Y90" s="194"/>
      <c r="Z90" s="194"/>
      <c r="AA90" s="194"/>
      <c r="AB90" s="194"/>
      <c r="AC90" s="194"/>
    </row>
    <row r="91" spans="1:29" ht="20.100000000000001" customHeight="1">
      <c r="A91" s="187">
        <v>4</v>
      </c>
      <c r="B91" s="185" t="s">
        <v>69</v>
      </c>
      <c r="C91" s="326" t="s">
        <v>98</v>
      </c>
      <c r="D91" s="326"/>
      <c r="E91" s="176"/>
      <c r="F91" s="144" t="s">
        <v>71</v>
      </c>
      <c r="G91" s="203" t="s">
        <v>156</v>
      </c>
      <c r="H91" s="202" t="s">
        <v>156</v>
      </c>
      <c r="I91" s="202" t="s">
        <v>156</v>
      </c>
      <c r="J91" s="202" t="s">
        <v>156</v>
      </c>
      <c r="K91" s="202" t="s">
        <v>156</v>
      </c>
      <c r="L91" s="202" t="s">
        <v>156</v>
      </c>
      <c r="M91" s="93"/>
      <c r="O91" s="195"/>
      <c r="P91" s="196"/>
      <c r="Q91" s="327"/>
      <c r="R91" s="327"/>
      <c r="S91" s="194"/>
      <c r="T91" s="194"/>
      <c r="U91" s="194"/>
      <c r="V91" s="194"/>
      <c r="W91" s="194"/>
      <c r="X91" s="194"/>
      <c r="Y91" s="194"/>
      <c r="Z91" s="86"/>
      <c r="AA91" s="86"/>
      <c r="AB91" s="86"/>
      <c r="AC91" s="86"/>
    </row>
    <row r="92" spans="1:29" ht="20.100000000000001" customHeight="1">
      <c r="A92" s="187">
        <v>5</v>
      </c>
      <c r="B92" s="185" t="s">
        <v>69</v>
      </c>
      <c r="C92" s="326" t="s">
        <v>74</v>
      </c>
      <c r="D92" s="326"/>
      <c r="E92" s="176"/>
      <c r="F92" s="144" t="s">
        <v>71</v>
      </c>
      <c r="G92" s="203" t="s">
        <v>156</v>
      </c>
      <c r="H92" s="202" t="s">
        <v>156</v>
      </c>
      <c r="I92" s="202" t="s">
        <v>156</v>
      </c>
      <c r="J92" s="202" t="s">
        <v>156</v>
      </c>
      <c r="K92" s="202" t="s">
        <v>156</v>
      </c>
      <c r="L92" s="202" t="s">
        <v>156</v>
      </c>
      <c r="M92" s="93"/>
      <c r="O92" s="195"/>
      <c r="P92" s="196"/>
      <c r="Q92" s="327"/>
      <c r="R92" s="327"/>
      <c r="S92" s="194"/>
      <c r="T92" s="194"/>
      <c r="U92" s="194"/>
      <c r="V92" s="194"/>
      <c r="W92" s="194"/>
      <c r="X92" s="194"/>
      <c r="Y92" s="194"/>
      <c r="Z92" s="194"/>
      <c r="AA92" s="194"/>
      <c r="AB92" s="194"/>
      <c r="AC92" s="194"/>
    </row>
    <row r="93" spans="1:29" ht="20.100000000000001" customHeight="1">
      <c r="A93" s="187">
        <v>6</v>
      </c>
      <c r="B93" s="185" t="s">
        <v>69</v>
      </c>
      <c r="C93" s="326" t="s">
        <v>75</v>
      </c>
      <c r="D93" s="326"/>
      <c r="E93" s="176"/>
      <c r="F93" s="144" t="s">
        <v>71</v>
      </c>
      <c r="G93" s="203" t="s">
        <v>156</v>
      </c>
      <c r="H93" s="202" t="s">
        <v>156</v>
      </c>
      <c r="I93" s="202" t="s">
        <v>156</v>
      </c>
      <c r="J93" s="202" t="s">
        <v>156</v>
      </c>
      <c r="K93" s="202" t="s">
        <v>156</v>
      </c>
      <c r="L93" s="202" t="s">
        <v>156</v>
      </c>
      <c r="M93" s="93"/>
      <c r="O93" s="195"/>
      <c r="P93" s="196"/>
      <c r="Q93" s="327"/>
      <c r="R93" s="327"/>
      <c r="S93" s="194"/>
      <c r="T93" s="194"/>
      <c r="U93" s="194"/>
      <c r="V93" s="194"/>
      <c r="W93" s="194"/>
      <c r="X93" s="194"/>
      <c r="Y93" s="194"/>
      <c r="Z93" s="194"/>
      <c r="AA93" s="194"/>
      <c r="AB93" s="194"/>
      <c r="AC93" s="194"/>
    </row>
    <row r="94" spans="1:29" ht="20.100000000000001" customHeight="1">
      <c r="A94" s="187">
        <v>7</v>
      </c>
      <c r="B94" s="185" t="s">
        <v>69</v>
      </c>
      <c r="C94" s="326" t="s">
        <v>76</v>
      </c>
      <c r="D94" s="326"/>
      <c r="E94" s="176"/>
      <c r="F94" s="144" t="s">
        <v>71</v>
      </c>
      <c r="G94" s="203" t="s">
        <v>156</v>
      </c>
      <c r="H94" s="202" t="s">
        <v>156</v>
      </c>
      <c r="I94" s="202" t="s">
        <v>156</v>
      </c>
      <c r="J94" s="202" t="s">
        <v>156</v>
      </c>
      <c r="K94" s="202" t="s">
        <v>156</v>
      </c>
      <c r="L94" s="202" t="s">
        <v>156</v>
      </c>
      <c r="M94" s="93"/>
      <c r="O94" s="195"/>
      <c r="P94" s="196"/>
      <c r="Q94" s="327"/>
      <c r="R94" s="327"/>
      <c r="S94" s="194"/>
      <c r="T94" s="194"/>
      <c r="U94" s="194"/>
      <c r="V94" s="194"/>
      <c r="W94" s="194"/>
      <c r="X94" s="194"/>
      <c r="Y94" s="194"/>
      <c r="Z94" s="194"/>
      <c r="AA94" s="194"/>
      <c r="AB94" s="194"/>
      <c r="AC94" s="194"/>
    </row>
    <row r="95" spans="1:29" ht="20.100000000000001" customHeight="1">
      <c r="A95" s="187">
        <v>8</v>
      </c>
      <c r="B95" s="185" t="s">
        <v>69</v>
      </c>
      <c r="C95" s="326" t="s">
        <v>99</v>
      </c>
      <c r="D95" s="326"/>
      <c r="E95" s="176"/>
      <c r="F95" s="144" t="s">
        <v>71</v>
      </c>
      <c r="G95" s="203" t="s">
        <v>156</v>
      </c>
      <c r="H95" s="202" t="s">
        <v>156</v>
      </c>
      <c r="I95" s="202" t="s">
        <v>156</v>
      </c>
      <c r="J95" s="202" t="s">
        <v>156</v>
      </c>
      <c r="K95" s="202" t="s">
        <v>156</v>
      </c>
      <c r="L95" s="202" t="s">
        <v>156</v>
      </c>
      <c r="M95" s="93"/>
      <c r="O95" s="195"/>
      <c r="P95" s="196"/>
      <c r="Q95" s="327"/>
      <c r="R95" s="327"/>
      <c r="S95" s="194"/>
      <c r="T95" s="194"/>
      <c r="U95" s="194"/>
      <c r="V95" s="194"/>
      <c r="W95" s="194"/>
      <c r="X95" s="194"/>
      <c r="Y95" s="194"/>
      <c r="Z95" s="194"/>
      <c r="AA95" s="194"/>
      <c r="AB95" s="194"/>
      <c r="AC95" s="194"/>
    </row>
    <row r="96" spans="1:29" ht="20.100000000000001" customHeight="1">
      <c r="A96" s="187">
        <v>9</v>
      </c>
      <c r="B96" s="185" t="s">
        <v>69</v>
      </c>
      <c r="C96" s="326" t="s">
        <v>77</v>
      </c>
      <c r="D96" s="326"/>
      <c r="E96" s="176"/>
      <c r="F96" s="144" t="s">
        <v>71</v>
      </c>
      <c r="G96" s="203" t="s">
        <v>156</v>
      </c>
      <c r="H96" s="202" t="s">
        <v>156</v>
      </c>
      <c r="I96" s="202" t="s">
        <v>156</v>
      </c>
      <c r="J96" s="202" t="s">
        <v>156</v>
      </c>
      <c r="K96" s="202" t="s">
        <v>156</v>
      </c>
      <c r="L96" s="202" t="s">
        <v>156</v>
      </c>
      <c r="M96" s="93"/>
      <c r="O96" s="195"/>
      <c r="P96" s="196"/>
      <c r="Q96" s="327"/>
      <c r="R96" s="327"/>
      <c r="S96" s="194"/>
      <c r="T96" s="194"/>
      <c r="U96" s="194"/>
      <c r="V96" s="194"/>
      <c r="W96" s="194"/>
      <c r="X96" s="194"/>
      <c r="Y96" s="194"/>
      <c r="Z96" s="194"/>
      <c r="AA96" s="194"/>
      <c r="AB96" s="194"/>
      <c r="AC96" s="194"/>
    </row>
    <row r="97" spans="1:29" ht="20.100000000000001" customHeight="1">
      <c r="A97" s="187">
        <v>10</v>
      </c>
      <c r="B97" s="185" t="s">
        <v>69</v>
      </c>
      <c r="C97" s="326" t="s">
        <v>78</v>
      </c>
      <c r="D97" s="326"/>
      <c r="E97" s="176"/>
      <c r="F97" s="144" t="s">
        <v>71</v>
      </c>
      <c r="G97" s="203" t="s">
        <v>156</v>
      </c>
      <c r="H97" s="202" t="s">
        <v>156</v>
      </c>
      <c r="I97" s="202" t="s">
        <v>156</v>
      </c>
      <c r="J97" s="202" t="s">
        <v>156</v>
      </c>
      <c r="K97" s="202" t="s">
        <v>156</v>
      </c>
      <c r="L97" s="202" t="s">
        <v>156</v>
      </c>
      <c r="M97" s="93"/>
      <c r="O97" s="195"/>
      <c r="P97" s="196"/>
      <c r="Q97" s="327"/>
      <c r="R97" s="327"/>
      <c r="S97" s="194"/>
      <c r="T97" s="194"/>
      <c r="U97" s="194"/>
      <c r="V97" s="194"/>
      <c r="W97" s="194"/>
      <c r="X97" s="194"/>
      <c r="Y97" s="194"/>
      <c r="Z97" s="194"/>
      <c r="AA97" s="194"/>
      <c r="AB97" s="194"/>
      <c r="AC97" s="194"/>
    </row>
    <row r="98" spans="1:29" ht="20.100000000000001" customHeight="1">
      <c r="A98" s="187">
        <v>11</v>
      </c>
      <c r="B98" s="185" t="s">
        <v>69</v>
      </c>
      <c r="C98" s="326" t="s">
        <v>79</v>
      </c>
      <c r="D98" s="326"/>
      <c r="E98" s="176"/>
      <c r="F98" s="144" t="s">
        <v>71</v>
      </c>
      <c r="G98" s="203" t="s">
        <v>156</v>
      </c>
      <c r="H98" s="202" t="s">
        <v>156</v>
      </c>
      <c r="I98" s="202" t="s">
        <v>156</v>
      </c>
      <c r="J98" s="202" t="s">
        <v>156</v>
      </c>
      <c r="K98" s="202" t="s">
        <v>156</v>
      </c>
      <c r="L98" s="202" t="s">
        <v>156</v>
      </c>
      <c r="M98" s="93"/>
      <c r="O98" s="195"/>
      <c r="P98" s="196"/>
      <c r="Q98" s="327"/>
      <c r="R98" s="327"/>
      <c r="S98" s="194"/>
      <c r="T98" s="194"/>
      <c r="U98" s="194"/>
      <c r="V98" s="194"/>
      <c r="W98" s="194"/>
      <c r="X98" s="194"/>
      <c r="Y98" s="194"/>
      <c r="Z98" s="194"/>
      <c r="AA98" s="194"/>
      <c r="AB98" s="194"/>
      <c r="AC98" s="194"/>
    </row>
    <row r="99" spans="1:29" ht="20.100000000000001" customHeight="1">
      <c r="A99" s="187">
        <v>12</v>
      </c>
      <c r="B99" s="185" t="s">
        <v>69</v>
      </c>
      <c r="C99" s="326" t="s">
        <v>100</v>
      </c>
      <c r="D99" s="326"/>
      <c r="E99" s="176"/>
      <c r="F99" s="144" t="s">
        <v>71</v>
      </c>
      <c r="G99" s="203" t="s">
        <v>156</v>
      </c>
      <c r="H99" s="202" t="s">
        <v>156</v>
      </c>
      <c r="I99" s="202" t="s">
        <v>156</v>
      </c>
      <c r="J99" s="202" t="s">
        <v>156</v>
      </c>
      <c r="K99" s="202" t="s">
        <v>156</v>
      </c>
      <c r="L99" s="202" t="s">
        <v>156</v>
      </c>
      <c r="M99" s="93"/>
      <c r="O99" s="195"/>
      <c r="P99" s="196"/>
      <c r="Q99" s="327"/>
      <c r="R99" s="327"/>
      <c r="S99" s="194"/>
      <c r="T99" s="194"/>
      <c r="U99" s="194"/>
      <c r="V99" s="194"/>
      <c r="W99" s="194"/>
      <c r="X99" s="194"/>
      <c r="Y99" s="194"/>
      <c r="Z99" s="194"/>
      <c r="AA99" s="194"/>
      <c r="AB99" s="194"/>
      <c r="AC99" s="194"/>
    </row>
    <row r="100" spans="1:29" ht="20.100000000000001" customHeight="1">
      <c r="A100" s="187">
        <v>13</v>
      </c>
      <c r="B100" s="185" t="s">
        <v>69</v>
      </c>
      <c r="C100" s="326" t="s">
        <v>80</v>
      </c>
      <c r="D100" s="326"/>
      <c r="E100" s="176"/>
      <c r="F100" s="144" t="s">
        <v>71</v>
      </c>
      <c r="G100" s="203" t="s">
        <v>156</v>
      </c>
      <c r="H100" s="202" t="s">
        <v>156</v>
      </c>
      <c r="I100" s="202" t="s">
        <v>156</v>
      </c>
      <c r="J100" s="202" t="s">
        <v>156</v>
      </c>
      <c r="K100" s="202" t="s">
        <v>156</v>
      </c>
      <c r="L100" s="202" t="s">
        <v>156</v>
      </c>
      <c r="M100" s="93"/>
      <c r="O100" s="195"/>
      <c r="P100" s="196"/>
      <c r="Q100" s="327"/>
      <c r="R100" s="327"/>
      <c r="S100" s="194"/>
      <c r="T100" s="194"/>
      <c r="U100" s="194"/>
      <c r="V100" s="194"/>
      <c r="W100" s="194"/>
      <c r="X100" s="194"/>
      <c r="Y100" s="194"/>
      <c r="Z100" s="194"/>
      <c r="AA100" s="194"/>
      <c r="AB100" s="194"/>
      <c r="AC100" s="194"/>
    </row>
    <row r="101" spans="1:29" ht="20.100000000000001" customHeight="1">
      <c r="A101" s="187">
        <v>14</v>
      </c>
      <c r="B101" s="185" t="s">
        <v>69</v>
      </c>
      <c r="C101" s="326" t="s">
        <v>91</v>
      </c>
      <c r="D101" s="326"/>
      <c r="E101" s="176"/>
      <c r="F101" s="144" t="s">
        <v>71</v>
      </c>
      <c r="G101" s="203" t="s">
        <v>156</v>
      </c>
      <c r="H101" s="202" t="s">
        <v>156</v>
      </c>
      <c r="I101" s="202" t="s">
        <v>156</v>
      </c>
      <c r="J101" s="202" t="s">
        <v>156</v>
      </c>
      <c r="K101" s="202" t="s">
        <v>156</v>
      </c>
      <c r="L101" s="202" t="s">
        <v>156</v>
      </c>
      <c r="M101" s="93"/>
      <c r="O101" s="195"/>
      <c r="P101" s="196"/>
      <c r="Q101" s="327"/>
      <c r="R101" s="327"/>
      <c r="S101" s="194"/>
      <c r="T101" s="194"/>
      <c r="U101" s="194"/>
      <c r="V101" s="194"/>
      <c r="W101" s="194"/>
      <c r="X101" s="194"/>
      <c r="Y101" s="194"/>
      <c r="Z101" s="194"/>
      <c r="AA101" s="194"/>
      <c r="AB101" s="194"/>
      <c r="AC101" s="194"/>
    </row>
    <row r="102" spans="1:29" ht="20.100000000000001" customHeight="1">
      <c r="A102" s="187">
        <v>15</v>
      </c>
      <c r="B102" s="185" t="s">
        <v>69</v>
      </c>
      <c r="C102" s="326" t="s">
        <v>81</v>
      </c>
      <c r="D102" s="326"/>
      <c r="E102" s="176"/>
      <c r="F102" s="144" t="s">
        <v>71</v>
      </c>
      <c r="G102" s="203" t="s">
        <v>156</v>
      </c>
      <c r="H102" s="202" t="s">
        <v>156</v>
      </c>
      <c r="I102" s="202" t="s">
        <v>156</v>
      </c>
      <c r="J102" s="202" t="s">
        <v>156</v>
      </c>
      <c r="K102" s="202" t="s">
        <v>156</v>
      </c>
      <c r="L102" s="202" t="s">
        <v>156</v>
      </c>
      <c r="M102" s="93"/>
      <c r="O102" s="195"/>
      <c r="P102" s="196"/>
      <c r="Q102" s="327"/>
      <c r="R102" s="327"/>
      <c r="S102" s="194"/>
      <c r="T102" s="194"/>
      <c r="U102" s="194"/>
      <c r="V102" s="194"/>
      <c r="W102" s="194"/>
      <c r="X102" s="194"/>
      <c r="Y102" s="194"/>
      <c r="Z102" s="194"/>
      <c r="AA102" s="194"/>
      <c r="AB102" s="194"/>
      <c r="AC102" s="194"/>
    </row>
    <row r="103" spans="1:29" ht="20.100000000000001" customHeight="1">
      <c r="A103" s="187">
        <v>16</v>
      </c>
      <c r="B103" s="185" t="s">
        <v>69</v>
      </c>
      <c r="C103" s="326" t="s">
        <v>101</v>
      </c>
      <c r="D103" s="326"/>
      <c r="E103" s="151"/>
      <c r="F103" s="144" t="s">
        <v>71</v>
      </c>
      <c r="G103" s="203" t="s">
        <v>156</v>
      </c>
      <c r="H103" s="202" t="s">
        <v>156</v>
      </c>
      <c r="I103" s="202" t="s">
        <v>156</v>
      </c>
      <c r="J103" s="202" t="s">
        <v>156</v>
      </c>
      <c r="K103" s="202" t="s">
        <v>156</v>
      </c>
      <c r="L103" s="202" t="s">
        <v>156</v>
      </c>
      <c r="M103" s="93"/>
      <c r="N103" s="219"/>
      <c r="O103" s="195"/>
      <c r="P103" s="196"/>
      <c r="Q103" s="327"/>
      <c r="R103" s="327"/>
      <c r="S103" s="197"/>
      <c r="T103" s="197"/>
      <c r="U103" s="197"/>
      <c r="V103" s="197"/>
      <c r="W103" s="197"/>
      <c r="X103" s="197"/>
      <c r="Y103" s="197"/>
      <c r="Z103" s="197"/>
      <c r="AA103" s="197"/>
      <c r="AB103" s="197"/>
      <c r="AC103" s="197"/>
    </row>
    <row r="104" spans="1:29" ht="20.100000000000001" customHeight="1">
      <c r="A104" s="187">
        <v>17</v>
      </c>
      <c r="B104" s="186" t="s">
        <v>69</v>
      </c>
      <c r="C104" s="326" t="s">
        <v>141</v>
      </c>
      <c r="D104" s="326"/>
      <c r="E104" s="151"/>
      <c r="F104" s="144" t="s">
        <v>71</v>
      </c>
      <c r="G104" s="203" t="s">
        <v>156</v>
      </c>
      <c r="H104" s="202" t="s">
        <v>156</v>
      </c>
      <c r="I104" s="202" t="s">
        <v>156</v>
      </c>
      <c r="J104" s="202" t="s">
        <v>156</v>
      </c>
      <c r="K104" s="202" t="s">
        <v>156</v>
      </c>
      <c r="L104" s="202" t="s">
        <v>156</v>
      </c>
      <c r="M104" s="93"/>
      <c r="N104" s="219"/>
      <c r="O104" s="195"/>
      <c r="P104" s="104"/>
      <c r="Q104" s="327"/>
      <c r="R104" s="327"/>
      <c r="S104" s="197"/>
      <c r="T104" s="197"/>
      <c r="U104" s="197"/>
      <c r="V104" s="197"/>
      <c r="W104" s="197"/>
      <c r="X104" s="197"/>
      <c r="Y104" s="197"/>
      <c r="Z104" s="197"/>
      <c r="AA104" s="197"/>
      <c r="AB104" s="197"/>
      <c r="AC104" s="197"/>
    </row>
    <row r="105" spans="1:29" ht="20.100000000000001" customHeight="1">
      <c r="A105" s="187">
        <v>18</v>
      </c>
      <c r="B105" s="186" t="s">
        <v>69</v>
      </c>
      <c r="C105" s="326" t="s">
        <v>142</v>
      </c>
      <c r="D105" s="326"/>
      <c r="E105" s="151"/>
      <c r="F105" s="144" t="s">
        <v>71</v>
      </c>
      <c r="G105" s="203" t="s">
        <v>156</v>
      </c>
      <c r="H105" s="202" t="s">
        <v>156</v>
      </c>
      <c r="I105" s="202" t="s">
        <v>156</v>
      </c>
      <c r="J105" s="202" t="s">
        <v>156</v>
      </c>
      <c r="K105" s="202" t="s">
        <v>156</v>
      </c>
      <c r="L105" s="202" t="s">
        <v>156</v>
      </c>
      <c r="M105" s="93"/>
      <c r="N105" s="219"/>
      <c r="O105" s="195"/>
      <c r="P105" s="104"/>
      <c r="Q105" s="327"/>
      <c r="R105" s="327"/>
      <c r="S105" s="197"/>
      <c r="T105" s="197"/>
      <c r="U105" s="197"/>
      <c r="V105" s="197"/>
      <c r="W105" s="197"/>
      <c r="X105" s="197"/>
      <c r="Y105" s="197"/>
      <c r="Z105" s="197"/>
      <c r="AA105" s="197"/>
      <c r="AB105" s="197"/>
      <c r="AC105" s="197"/>
    </row>
    <row r="106" spans="1:29" ht="20.100000000000001" customHeight="1">
      <c r="A106" s="187">
        <v>19</v>
      </c>
      <c r="B106" s="186" t="s">
        <v>69</v>
      </c>
      <c r="C106" s="326" t="s">
        <v>143</v>
      </c>
      <c r="D106" s="326"/>
      <c r="E106" s="151"/>
      <c r="F106" s="144" t="s">
        <v>71</v>
      </c>
      <c r="G106" s="203" t="s">
        <v>156</v>
      </c>
      <c r="H106" s="202" t="s">
        <v>156</v>
      </c>
      <c r="I106" s="202" t="s">
        <v>156</v>
      </c>
      <c r="J106" s="202" t="s">
        <v>156</v>
      </c>
      <c r="K106" s="202" t="s">
        <v>156</v>
      </c>
      <c r="L106" s="202" t="s">
        <v>156</v>
      </c>
      <c r="M106" s="93"/>
      <c r="N106" s="219"/>
      <c r="O106" s="195"/>
      <c r="P106" s="104"/>
      <c r="Q106" s="327"/>
      <c r="R106" s="327"/>
      <c r="S106" s="197"/>
      <c r="T106" s="197"/>
      <c r="U106" s="197"/>
      <c r="V106" s="197"/>
      <c r="W106" s="197"/>
      <c r="X106" s="197"/>
      <c r="Y106" s="197"/>
      <c r="Z106" s="197"/>
      <c r="AA106" s="197"/>
      <c r="AB106" s="197"/>
      <c r="AC106" s="197"/>
    </row>
    <row r="107" spans="1:29" ht="20.100000000000001" customHeight="1">
      <c r="A107" s="187">
        <v>20</v>
      </c>
      <c r="B107" s="186" t="s">
        <v>69</v>
      </c>
      <c r="C107" s="326" t="s">
        <v>102</v>
      </c>
      <c r="D107" s="326"/>
      <c r="E107" s="150"/>
      <c r="F107" s="154" t="s">
        <v>71</v>
      </c>
      <c r="G107" s="203" t="s">
        <v>156</v>
      </c>
      <c r="H107" s="202" t="s">
        <v>156</v>
      </c>
      <c r="I107" s="202" t="s">
        <v>156</v>
      </c>
      <c r="J107" s="202" t="s">
        <v>156</v>
      </c>
      <c r="K107" s="202" t="s">
        <v>156</v>
      </c>
      <c r="L107" s="202" t="s">
        <v>156</v>
      </c>
      <c r="M107" s="93"/>
      <c r="N107" s="219"/>
      <c r="O107" s="195"/>
      <c r="P107" s="104"/>
      <c r="Q107" s="327"/>
      <c r="R107" s="327"/>
      <c r="S107" s="197"/>
      <c r="T107" s="197"/>
      <c r="U107" s="197"/>
      <c r="V107" s="197"/>
      <c r="W107" s="197"/>
      <c r="X107" s="197"/>
      <c r="Y107" s="197"/>
      <c r="Z107" s="197"/>
      <c r="AA107" s="197"/>
      <c r="AB107" s="197"/>
      <c r="AC107" s="197"/>
    </row>
    <row r="108" spans="1:29" ht="37.5" customHeight="1">
      <c r="A108" s="192" t="s">
        <v>128</v>
      </c>
      <c r="B108" s="104"/>
      <c r="C108" s="328" t="s">
        <v>130</v>
      </c>
      <c r="D108" s="328"/>
      <c r="E108" s="328"/>
      <c r="F108" s="328"/>
      <c r="G108" s="328"/>
      <c r="H108" s="328"/>
      <c r="I108" s="328"/>
      <c r="J108" s="328"/>
      <c r="K108" s="328"/>
      <c r="L108" s="328"/>
      <c r="M108" s="89"/>
      <c r="N108" s="219"/>
      <c r="O108" s="198"/>
      <c r="P108" s="104"/>
      <c r="Q108" s="329"/>
      <c r="R108" s="329"/>
      <c r="S108" s="329"/>
      <c r="T108" s="329"/>
      <c r="U108" s="329"/>
      <c r="V108" s="329"/>
      <c r="W108" s="329"/>
      <c r="X108" s="329"/>
      <c r="Y108" s="329"/>
      <c r="Z108" s="329"/>
      <c r="AA108" s="329"/>
      <c r="AB108" s="329"/>
      <c r="AC108" s="329"/>
    </row>
    <row r="109" spans="1:29" ht="29.1" customHeight="1">
      <c r="A109" s="189">
        <v>21</v>
      </c>
      <c r="B109" s="188" t="s">
        <v>69</v>
      </c>
      <c r="C109" s="307" t="s">
        <v>82</v>
      </c>
      <c r="D109" s="308"/>
      <c r="E109" s="182"/>
      <c r="F109" s="191" t="s">
        <v>71</v>
      </c>
      <c r="G109" s="201">
        <v>58</v>
      </c>
      <c r="H109" s="201">
        <v>40</v>
      </c>
      <c r="I109" s="201">
        <v>21</v>
      </c>
      <c r="J109" s="201">
        <v>58</v>
      </c>
      <c r="K109" s="201">
        <v>40</v>
      </c>
      <c r="L109" s="201">
        <v>21</v>
      </c>
      <c r="M109" s="89"/>
      <c r="N109" s="219"/>
      <c r="O109" s="199"/>
      <c r="P109" s="200"/>
      <c r="Q109" s="309"/>
      <c r="R109" s="309"/>
      <c r="S109" s="86"/>
      <c r="T109" s="86"/>
      <c r="U109" s="86"/>
      <c r="V109" s="86"/>
      <c r="W109" s="86"/>
      <c r="X109" s="86"/>
      <c r="Y109" s="86"/>
      <c r="Z109" s="86"/>
      <c r="AA109" s="86"/>
      <c r="AB109" s="86"/>
      <c r="AC109" s="86"/>
    </row>
    <row r="110" spans="1:29" ht="29.1" customHeight="1">
      <c r="A110" s="189">
        <v>22</v>
      </c>
      <c r="B110" s="188" t="s">
        <v>69</v>
      </c>
      <c r="C110" s="307" t="s">
        <v>103</v>
      </c>
      <c r="D110" s="308"/>
      <c r="E110" s="179"/>
      <c r="F110" s="191" t="s">
        <v>71</v>
      </c>
      <c r="G110" s="201">
        <v>9</v>
      </c>
      <c r="H110" s="201">
        <v>9</v>
      </c>
      <c r="I110" s="201">
        <v>7</v>
      </c>
      <c r="J110" s="201">
        <v>9</v>
      </c>
      <c r="K110" s="201">
        <v>9</v>
      </c>
      <c r="L110" s="201">
        <v>7</v>
      </c>
      <c r="M110" s="89"/>
      <c r="N110" s="219"/>
      <c r="O110" s="199"/>
      <c r="P110" s="200"/>
      <c r="Q110" s="309"/>
      <c r="R110" s="309"/>
      <c r="S110" s="86"/>
      <c r="T110" s="86"/>
      <c r="U110" s="86"/>
      <c r="V110" s="86"/>
      <c r="W110" s="86"/>
      <c r="X110" s="86"/>
      <c r="Y110" s="86"/>
      <c r="Z110" s="86"/>
      <c r="AA110" s="86"/>
      <c r="AB110" s="86"/>
      <c r="AC110" s="86"/>
    </row>
    <row r="111" spans="1:29" ht="29.1" customHeight="1">
      <c r="A111" s="189">
        <v>23</v>
      </c>
      <c r="B111" s="188" t="s">
        <v>69</v>
      </c>
      <c r="C111" s="307" t="s">
        <v>104</v>
      </c>
      <c r="D111" s="308"/>
      <c r="E111" s="179"/>
      <c r="F111" s="191" t="s">
        <v>71</v>
      </c>
      <c r="G111" s="201">
        <v>5</v>
      </c>
      <c r="H111" s="201">
        <v>1</v>
      </c>
      <c r="I111" s="201">
        <v>1</v>
      </c>
      <c r="J111" s="201">
        <v>5</v>
      </c>
      <c r="K111" s="201">
        <v>1</v>
      </c>
      <c r="L111" s="201">
        <v>1</v>
      </c>
      <c r="M111" s="89"/>
      <c r="N111" s="219"/>
      <c r="O111" s="199"/>
      <c r="P111" s="200"/>
      <c r="Q111" s="309"/>
      <c r="R111" s="309"/>
      <c r="S111" s="86"/>
      <c r="T111" s="86"/>
      <c r="U111" s="86"/>
      <c r="V111" s="86"/>
      <c r="W111" s="86"/>
      <c r="X111" s="86"/>
      <c r="Y111" s="86"/>
      <c r="Z111" s="86"/>
      <c r="AA111" s="86"/>
      <c r="AB111" s="86"/>
      <c r="AC111" s="86"/>
    </row>
    <row r="112" spans="1:29" ht="27.75" customHeight="1">
      <c r="A112" s="317" t="s">
        <v>135</v>
      </c>
      <c r="B112" s="318"/>
      <c r="C112" s="317" t="s">
        <v>68</v>
      </c>
      <c r="D112" s="318"/>
      <c r="E112" s="183"/>
      <c r="F112" s="321" t="s">
        <v>136</v>
      </c>
      <c r="G112" s="322" t="s">
        <v>155</v>
      </c>
      <c r="H112" s="323"/>
      <c r="I112" s="323"/>
      <c r="J112" s="322" t="s">
        <v>154</v>
      </c>
      <c r="K112" s="323"/>
      <c r="L112" s="324"/>
      <c r="M112" s="92"/>
      <c r="O112" s="325"/>
      <c r="P112" s="325"/>
      <c r="Q112" s="325"/>
      <c r="R112" s="325"/>
      <c r="S112" s="316"/>
      <c r="T112" s="316"/>
      <c r="U112" s="316"/>
      <c r="V112" s="316"/>
      <c r="W112" s="316"/>
      <c r="X112" s="316"/>
      <c r="Y112" s="316"/>
      <c r="Z112" s="316"/>
      <c r="AA112" s="316"/>
      <c r="AB112" s="316"/>
      <c r="AC112" s="316"/>
    </row>
    <row r="113" spans="1:29" ht="125.25" customHeight="1">
      <c r="A113" s="319"/>
      <c r="B113" s="320"/>
      <c r="C113" s="319"/>
      <c r="D113" s="320"/>
      <c r="E113" s="184"/>
      <c r="F113" s="321"/>
      <c r="G113" s="153" t="s">
        <v>151</v>
      </c>
      <c r="H113" s="153" t="s">
        <v>152</v>
      </c>
      <c r="I113" s="153" t="s">
        <v>153</v>
      </c>
      <c r="J113" s="153" t="s">
        <v>151</v>
      </c>
      <c r="K113" s="153" t="s">
        <v>152</v>
      </c>
      <c r="L113" s="153" t="s">
        <v>153</v>
      </c>
      <c r="O113" s="325"/>
      <c r="P113" s="325"/>
      <c r="Q113" s="325"/>
      <c r="R113" s="325"/>
      <c r="S113" s="193"/>
      <c r="T113" s="193"/>
      <c r="U113" s="193"/>
      <c r="V113" s="193"/>
      <c r="W113" s="193"/>
      <c r="X113" s="193"/>
      <c r="Y113" s="193"/>
      <c r="Z113" s="193"/>
      <c r="AA113" s="193"/>
      <c r="AB113" s="193"/>
      <c r="AC113" s="193"/>
    </row>
    <row r="114" spans="1:29" ht="30" customHeight="1">
      <c r="A114" s="189">
        <v>24</v>
      </c>
      <c r="B114" s="188" t="s">
        <v>69</v>
      </c>
      <c r="C114" s="307" t="s">
        <v>131</v>
      </c>
      <c r="D114" s="308"/>
      <c r="E114" s="179"/>
      <c r="F114" s="191" t="s">
        <v>71</v>
      </c>
      <c r="G114" s="202" t="s">
        <v>156</v>
      </c>
      <c r="H114" s="202" t="s">
        <v>156</v>
      </c>
      <c r="I114" s="202" t="s">
        <v>156</v>
      </c>
      <c r="J114" s="202" t="s">
        <v>156</v>
      </c>
      <c r="K114" s="202" t="s">
        <v>156</v>
      </c>
      <c r="L114" s="202" t="s">
        <v>156</v>
      </c>
      <c r="M114" s="89"/>
      <c r="N114" s="219"/>
      <c r="O114" s="199"/>
      <c r="P114" s="200"/>
      <c r="Q114" s="309"/>
      <c r="R114" s="309"/>
      <c r="S114" s="86"/>
      <c r="T114" s="86"/>
      <c r="U114" s="86"/>
      <c r="V114" s="86"/>
      <c r="W114" s="86"/>
      <c r="X114" s="86"/>
      <c r="Y114" s="86"/>
      <c r="Z114" s="86"/>
      <c r="AA114" s="86"/>
      <c r="AB114" s="86"/>
      <c r="AC114" s="86"/>
    </row>
    <row r="115" spans="1:29" ht="30" customHeight="1">
      <c r="A115" s="189">
        <v>25</v>
      </c>
      <c r="B115" s="188" t="s">
        <v>69</v>
      </c>
      <c r="C115" s="307" t="s">
        <v>83</v>
      </c>
      <c r="D115" s="308"/>
      <c r="E115" s="179"/>
      <c r="F115" s="191" t="s">
        <v>71</v>
      </c>
      <c r="G115" s="201">
        <v>25</v>
      </c>
      <c r="H115" s="201">
        <v>40</v>
      </c>
      <c r="I115" s="201">
        <v>22</v>
      </c>
      <c r="J115" s="201">
        <v>25</v>
      </c>
      <c r="K115" s="201">
        <v>40</v>
      </c>
      <c r="L115" s="201">
        <v>22</v>
      </c>
      <c r="M115" s="89"/>
      <c r="N115" s="219"/>
      <c r="O115" s="199"/>
      <c r="P115" s="200"/>
      <c r="Q115" s="309"/>
      <c r="R115" s="309"/>
      <c r="S115" s="86"/>
      <c r="T115" s="86"/>
      <c r="U115" s="86"/>
      <c r="V115" s="86"/>
      <c r="W115" s="86"/>
      <c r="X115" s="86"/>
      <c r="Y115" s="86"/>
      <c r="Z115" s="86"/>
      <c r="AA115" s="86"/>
      <c r="AB115" s="86"/>
      <c r="AC115" s="86"/>
    </row>
    <row r="116" spans="1:29" ht="30" customHeight="1">
      <c r="A116" s="189">
        <v>26</v>
      </c>
      <c r="B116" s="188" t="s">
        <v>69</v>
      </c>
      <c r="C116" s="307" t="s">
        <v>84</v>
      </c>
      <c r="D116" s="308"/>
      <c r="E116" s="179"/>
      <c r="F116" s="191" t="s">
        <v>71</v>
      </c>
      <c r="G116" s="201">
        <v>5</v>
      </c>
      <c r="H116" s="202" t="s">
        <v>156</v>
      </c>
      <c r="I116" s="202" t="s">
        <v>156</v>
      </c>
      <c r="J116" s="201">
        <v>5</v>
      </c>
      <c r="K116" s="202" t="s">
        <v>156</v>
      </c>
      <c r="L116" s="202" t="s">
        <v>156</v>
      </c>
      <c r="M116" s="89"/>
      <c r="N116" s="219"/>
      <c r="O116" s="199"/>
      <c r="P116" s="200"/>
      <c r="Q116" s="309"/>
      <c r="R116" s="309"/>
      <c r="S116" s="86"/>
      <c r="T116" s="86"/>
      <c r="U116" s="86"/>
      <c r="V116" s="86"/>
      <c r="W116" s="86"/>
      <c r="X116" s="86"/>
      <c r="Y116" s="86"/>
      <c r="Z116" s="86"/>
      <c r="AA116" s="86"/>
      <c r="AB116" s="86"/>
      <c r="AC116" s="86"/>
    </row>
    <row r="117" spans="1:29" ht="30" customHeight="1">
      <c r="A117" s="189">
        <v>27</v>
      </c>
      <c r="B117" s="188" t="s">
        <v>69</v>
      </c>
      <c r="C117" s="307" t="s">
        <v>85</v>
      </c>
      <c r="D117" s="308"/>
      <c r="E117" s="179"/>
      <c r="F117" s="191" t="s">
        <v>71</v>
      </c>
      <c r="G117" s="201">
        <v>3</v>
      </c>
      <c r="H117" s="201">
        <v>1</v>
      </c>
      <c r="I117" s="201">
        <v>8</v>
      </c>
      <c r="J117" s="201">
        <v>3</v>
      </c>
      <c r="K117" s="201">
        <v>1</v>
      </c>
      <c r="L117" s="201">
        <v>8</v>
      </c>
      <c r="M117" s="89"/>
      <c r="N117" s="219"/>
      <c r="O117" s="199"/>
      <c r="P117" s="200"/>
      <c r="Q117" s="309"/>
      <c r="R117" s="309"/>
      <c r="S117" s="86"/>
      <c r="T117" s="86"/>
      <c r="U117" s="86"/>
      <c r="V117" s="86"/>
      <c r="W117" s="86"/>
      <c r="X117" s="86"/>
      <c r="Y117" s="86"/>
      <c r="Z117" s="86"/>
      <c r="AA117" s="86"/>
      <c r="AB117" s="86"/>
      <c r="AC117" s="86"/>
    </row>
    <row r="118" spans="1:29" ht="30" customHeight="1">
      <c r="A118" s="189">
        <v>28</v>
      </c>
      <c r="B118" s="188" t="s">
        <v>69</v>
      </c>
      <c r="C118" s="307" t="s">
        <v>132</v>
      </c>
      <c r="D118" s="308"/>
      <c r="E118" s="179"/>
      <c r="F118" s="191" t="s">
        <v>71</v>
      </c>
      <c r="G118" s="202" t="s">
        <v>156</v>
      </c>
      <c r="H118" s="202" t="s">
        <v>156</v>
      </c>
      <c r="I118" s="202" t="s">
        <v>156</v>
      </c>
      <c r="J118" s="202" t="s">
        <v>156</v>
      </c>
      <c r="K118" s="202" t="s">
        <v>156</v>
      </c>
      <c r="L118" s="202" t="s">
        <v>156</v>
      </c>
      <c r="M118" s="89"/>
      <c r="N118" s="219"/>
      <c r="O118" s="199"/>
      <c r="P118" s="200"/>
      <c r="Q118" s="309"/>
      <c r="R118" s="309"/>
      <c r="S118" s="86"/>
      <c r="T118" s="86"/>
      <c r="U118" s="86"/>
      <c r="V118" s="86"/>
      <c r="W118" s="86"/>
      <c r="X118" s="86"/>
      <c r="Y118" s="86"/>
      <c r="Z118" s="86"/>
      <c r="AA118" s="86"/>
      <c r="AB118" s="86"/>
      <c r="AC118" s="86"/>
    </row>
    <row r="119" spans="1:29" ht="30" customHeight="1">
      <c r="A119" s="189">
        <v>29</v>
      </c>
      <c r="B119" s="188" t="s">
        <v>69</v>
      </c>
      <c r="C119" s="307" t="s">
        <v>86</v>
      </c>
      <c r="D119" s="308"/>
      <c r="E119" s="179"/>
      <c r="F119" s="191" t="s">
        <v>71</v>
      </c>
      <c r="G119" s="201">
        <v>10</v>
      </c>
      <c r="H119" s="201">
        <v>12</v>
      </c>
      <c r="I119" s="201">
        <v>9</v>
      </c>
      <c r="J119" s="201">
        <v>10</v>
      </c>
      <c r="K119" s="201">
        <v>12</v>
      </c>
      <c r="L119" s="201">
        <v>9</v>
      </c>
      <c r="M119" s="89"/>
      <c r="N119" s="219"/>
      <c r="O119" s="199"/>
      <c r="P119" s="200"/>
      <c r="Q119" s="309"/>
      <c r="R119" s="309"/>
      <c r="S119" s="86"/>
      <c r="T119" s="86"/>
      <c r="U119" s="86"/>
      <c r="V119" s="86"/>
      <c r="W119" s="86"/>
      <c r="X119" s="86"/>
      <c r="Y119" s="86"/>
      <c r="Z119" s="86"/>
      <c r="AA119" s="86"/>
      <c r="AB119" s="86"/>
      <c r="AC119" s="86"/>
    </row>
    <row r="120" spans="1:29" ht="30" customHeight="1">
      <c r="A120" s="189">
        <v>30</v>
      </c>
      <c r="B120" s="188" t="s">
        <v>69</v>
      </c>
      <c r="C120" s="307" t="s">
        <v>87</v>
      </c>
      <c r="D120" s="308"/>
      <c r="E120" s="179"/>
      <c r="F120" s="191" t="s">
        <v>71</v>
      </c>
      <c r="G120" s="202" t="s">
        <v>156</v>
      </c>
      <c r="H120" s="202" t="s">
        <v>156</v>
      </c>
      <c r="I120" s="202" t="s">
        <v>156</v>
      </c>
      <c r="J120" s="202" t="s">
        <v>156</v>
      </c>
      <c r="K120" s="202" t="s">
        <v>156</v>
      </c>
      <c r="L120" s="202" t="s">
        <v>156</v>
      </c>
      <c r="M120" s="89"/>
      <c r="N120" s="219"/>
      <c r="O120" s="199"/>
      <c r="P120" s="200"/>
      <c r="Q120" s="309"/>
      <c r="R120" s="309"/>
      <c r="S120" s="86"/>
      <c r="T120" s="86"/>
      <c r="U120" s="86"/>
      <c r="V120" s="86"/>
      <c r="W120" s="86"/>
      <c r="X120" s="86"/>
      <c r="Y120" s="86"/>
      <c r="Z120" s="86"/>
      <c r="AA120" s="86"/>
      <c r="AB120" s="86"/>
      <c r="AC120" s="86"/>
    </row>
    <row r="121" spans="1:29" ht="30" customHeight="1">
      <c r="A121" s="189">
        <v>31</v>
      </c>
      <c r="B121" s="188" t="s">
        <v>69</v>
      </c>
      <c r="C121" s="307" t="s">
        <v>105</v>
      </c>
      <c r="D121" s="308"/>
      <c r="E121" s="179"/>
      <c r="F121" s="191" t="s">
        <v>71</v>
      </c>
      <c r="G121" s="201">
        <v>2</v>
      </c>
      <c r="H121" s="203" t="s">
        <v>156</v>
      </c>
      <c r="I121" s="201">
        <v>8</v>
      </c>
      <c r="J121" s="201">
        <v>2</v>
      </c>
      <c r="K121" s="203" t="s">
        <v>156</v>
      </c>
      <c r="L121" s="201">
        <v>8</v>
      </c>
      <c r="M121" s="89"/>
      <c r="N121" s="219"/>
      <c r="O121" s="199"/>
      <c r="P121" s="200"/>
      <c r="Q121" s="309"/>
      <c r="R121" s="309"/>
      <c r="S121" s="86"/>
      <c r="T121" s="86"/>
      <c r="U121" s="86"/>
      <c r="V121" s="86"/>
      <c r="W121" s="86"/>
      <c r="X121" s="86"/>
      <c r="Y121" s="86"/>
      <c r="Z121" s="86"/>
      <c r="AA121" s="86"/>
      <c r="AB121" s="86"/>
      <c r="AC121" s="86"/>
    </row>
    <row r="122" spans="1:29" ht="30" customHeight="1">
      <c r="A122" s="189">
        <v>32</v>
      </c>
      <c r="B122" s="188" t="s">
        <v>69</v>
      </c>
      <c r="C122" s="307" t="s">
        <v>133</v>
      </c>
      <c r="D122" s="308"/>
      <c r="E122" s="179"/>
      <c r="F122" s="191" t="s">
        <v>71</v>
      </c>
      <c r="G122" s="202" t="s">
        <v>156</v>
      </c>
      <c r="H122" s="202" t="s">
        <v>156</v>
      </c>
      <c r="I122" s="202" t="s">
        <v>156</v>
      </c>
      <c r="J122" s="202" t="s">
        <v>156</v>
      </c>
      <c r="K122" s="202" t="s">
        <v>156</v>
      </c>
      <c r="L122" s="202" t="s">
        <v>156</v>
      </c>
      <c r="M122" s="89"/>
      <c r="N122" s="219"/>
      <c r="O122" s="199"/>
      <c r="P122" s="200"/>
      <c r="Q122" s="309"/>
      <c r="R122" s="309"/>
      <c r="S122" s="86"/>
      <c r="T122" s="86"/>
      <c r="U122" s="86"/>
      <c r="V122" s="86"/>
      <c r="W122" s="86"/>
      <c r="X122" s="86"/>
      <c r="Y122" s="86"/>
      <c r="Z122" s="86"/>
      <c r="AA122" s="86"/>
      <c r="AB122" s="86"/>
      <c r="AC122" s="86"/>
    </row>
    <row r="123" spans="1:29" ht="30" customHeight="1">
      <c r="A123" s="189">
        <v>33</v>
      </c>
      <c r="B123" s="188" t="s">
        <v>69</v>
      </c>
      <c r="C123" s="307" t="s">
        <v>88</v>
      </c>
      <c r="D123" s="308"/>
      <c r="E123" s="179"/>
      <c r="F123" s="191" t="s">
        <v>71</v>
      </c>
      <c r="G123" s="201">
        <v>3</v>
      </c>
      <c r="H123" s="201">
        <v>7</v>
      </c>
      <c r="I123" s="201">
        <v>7</v>
      </c>
      <c r="J123" s="201">
        <v>3</v>
      </c>
      <c r="K123" s="201">
        <v>7</v>
      </c>
      <c r="L123" s="201">
        <v>7</v>
      </c>
      <c r="M123" s="89"/>
      <c r="N123" s="219"/>
      <c r="O123" s="199"/>
      <c r="P123" s="200"/>
      <c r="Q123" s="309"/>
      <c r="R123" s="309"/>
      <c r="S123" s="86"/>
      <c r="T123" s="86"/>
      <c r="U123" s="86"/>
      <c r="V123" s="86"/>
      <c r="W123" s="86"/>
      <c r="X123" s="86"/>
      <c r="Y123" s="86"/>
      <c r="Z123" s="86"/>
      <c r="AA123" s="86"/>
      <c r="AB123" s="86"/>
      <c r="AC123" s="86"/>
    </row>
    <row r="124" spans="1:29" ht="30" customHeight="1">
      <c r="A124" s="189">
        <v>34</v>
      </c>
      <c r="B124" s="188" t="s">
        <v>69</v>
      </c>
      <c r="C124" s="307" t="s">
        <v>89</v>
      </c>
      <c r="D124" s="308"/>
      <c r="E124" s="179"/>
      <c r="F124" s="191" t="s">
        <v>71</v>
      </c>
      <c r="G124" s="202" t="s">
        <v>156</v>
      </c>
      <c r="H124" s="202" t="s">
        <v>156</v>
      </c>
      <c r="I124" s="202" t="s">
        <v>156</v>
      </c>
      <c r="J124" s="202" t="s">
        <v>156</v>
      </c>
      <c r="K124" s="202" t="s">
        <v>156</v>
      </c>
      <c r="L124" s="202" t="s">
        <v>156</v>
      </c>
      <c r="M124" s="89"/>
      <c r="N124" s="219"/>
      <c r="O124" s="199"/>
      <c r="P124" s="200"/>
      <c r="Q124" s="309"/>
      <c r="R124" s="309"/>
      <c r="S124" s="86"/>
      <c r="T124" s="86"/>
      <c r="U124" s="86"/>
      <c r="V124" s="86"/>
      <c r="W124" s="86"/>
      <c r="X124" s="86"/>
      <c r="Y124" s="86"/>
      <c r="Z124" s="86"/>
      <c r="AA124" s="86"/>
      <c r="AB124" s="86"/>
      <c r="AC124" s="86"/>
    </row>
    <row r="125" spans="1:29" ht="30" customHeight="1">
      <c r="A125" s="189">
        <v>35</v>
      </c>
      <c r="B125" s="188" t="s">
        <v>69</v>
      </c>
      <c r="C125" s="307" t="s">
        <v>140</v>
      </c>
      <c r="D125" s="308"/>
      <c r="E125" s="179"/>
      <c r="F125" s="191" t="s">
        <v>71</v>
      </c>
      <c r="G125" s="202" t="s">
        <v>156</v>
      </c>
      <c r="H125" s="202" t="s">
        <v>156</v>
      </c>
      <c r="I125" s="201">
        <v>3</v>
      </c>
      <c r="J125" s="202" t="s">
        <v>156</v>
      </c>
      <c r="K125" s="202" t="s">
        <v>156</v>
      </c>
      <c r="L125" s="201">
        <v>3</v>
      </c>
      <c r="M125" s="89"/>
      <c r="N125" s="220"/>
      <c r="O125" s="199"/>
      <c r="P125" s="200"/>
      <c r="Q125" s="309"/>
      <c r="R125" s="309"/>
      <c r="S125" s="86"/>
      <c r="T125" s="86"/>
      <c r="U125" s="86"/>
      <c r="V125" s="86"/>
      <c r="W125" s="86"/>
      <c r="X125" s="86"/>
      <c r="Y125" s="86"/>
      <c r="Z125" s="86"/>
      <c r="AA125" s="86"/>
      <c r="AB125" s="86"/>
      <c r="AC125" s="86"/>
    </row>
    <row r="126" spans="1:29" ht="30" customHeight="1">
      <c r="A126" s="189">
        <v>36</v>
      </c>
      <c r="B126" s="188" t="s">
        <v>69</v>
      </c>
      <c r="C126" s="307" t="s">
        <v>134</v>
      </c>
      <c r="D126" s="308"/>
      <c r="E126" s="179"/>
      <c r="F126" s="191" t="s">
        <v>71</v>
      </c>
      <c r="G126" s="202" t="s">
        <v>156</v>
      </c>
      <c r="H126" s="202" t="s">
        <v>156</v>
      </c>
      <c r="I126" s="202" t="s">
        <v>156</v>
      </c>
      <c r="J126" s="202" t="s">
        <v>156</v>
      </c>
      <c r="K126" s="202" t="s">
        <v>156</v>
      </c>
      <c r="L126" s="202" t="s">
        <v>156</v>
      </c>
      <c r="M126" s="89"/>
      <c r="N126" s="220"/>
      <c r="O126" s="199"/>
      <c r="P126" s="200"/>
      <c r="Q126" s="309"/>
      <c r="R126" s="309"/>
      <c r="S126" s="86"/>
      <c r="T126" s="86"/>
      <c r="U126" s="86"/>
      <c r="V126" s="86"/>
      <c r="W126" s="86"/>
      <c r="X126" s="86"/>
      <c r="Y126" s="86"/>
      <c r="Z126" s="86"/>
      <c r="AA126" s="86"/>
      <c r="AB126" s="86"/>
      <c r="AC126" s="86"/>
    </row>
    <row r="127" spans="1:29" ht="30" customHeight="1">
      <c r="A127" s="189">
        <v>37</v>
      </c>
      <c r="B127" s="188" t="s">
        <v>69</v>
      </c>
      <c r="C127" s="307" t="s">
        <v>90</v>
      </c>
      <c r="D127" s="308"/>
      <c r="E127" s="179"/>
      <c r="F127" s="191" t="s">
        <v>71</v>
      </c>
      <c r="G127" s="202" t="s">
        <v>156</v>
      </c>
      <c r="H127" s="202" t="s">
        <v>156</v>
      </c>
      <c r="I127" s="202" t="s">
        <v>156</v>
      </c>
      <c r="J127" s="202" t="s">
        <v>156</v>
      </c>
      <c r="K127" s="202" t="s">
        <v>156</v>
      </c>
      <c r="L127" s="202" t="s">
        <v>156</v>
      </c>
      <c r="M127" s="89"/>
      <c r="N127" s="220"/>
      <c r="O127" s="199"/>
      <c r="P127" s="200"/>
      <c r="Q127" s="309"/>
      <c r="R127" s="309"/>
      <c r="S127" s="86"/>
      <c r="T127" s="86"/>
      <c r="U127" s="86"/>
      <c r="V127" s="86"/>
      <c r="W127" s="86"/>
      <c r="X127" s="86"/>
      <c r="Y127" s="86"/>
      <c r="Z127" s="86"/>
      <c r="AA127" s="86"/>
      <c r="AB127" s="86"/>
      <c r="AC127" s="86"/>
    </row>
    <row r="128" spans="1:29" ht="30" customHeight="1">
      <c r="A128" s="189">
        <v>38</v>
      </c>
      <c r="B128" s="188" t="s">
        <v>69</v>
      </c>
      <c r="C128" s="307" t="s">
        <v>106</v>
      </c>
      <c r="D128" s="308"/>
      <c r="E128" s="150"/>
      <c r="F128" s="191" t="s">
        <v>71</v>
      </c>
      <c r="G128" s="202" t="s">
        <v>156</v>
      </c>
      <c r="H128" s="202" t="s">
        <v>156</v>
      </c>
      <c r="I128" s="202" t="s">
        <v>156</v>
      </c>
      <c r="J128" s="202" t="s">
        <v>156</v>
      </c>
      <c r="K128" s="202" t="s">
        <v>156</v>
      </c>
      <c r="L128" s="202" t="s">
        <v>156</v>
      </c>
      <c r="M128" s="89"/>
      <c r="N128" s="220"/>
      <c r="O128" s="199"/>
      <c r="P128" s="200"/>
      <c r="Q128" s="309"/>
      <c r="R128" s="309"/>
      <c r="S128" s="86"/>
      <c r="T128" s="86"/>
      <c r="U128" s="86"/>
      <c r="V128" s="86"/>
      <c r="W128" s="86"/>
      <c r="X128" s="86"/>
      <c r="Y128" s="86"/>
      <c r="Z128" s="86"/>
      <c r="AA128" s="86"/>
      <c r="AB128" s="86"/>
      <c r="AC128" s="86"/>
    </row>
    <row r="129" spans="1:16" ht="25.5" customHeight="1">
      <c r="A129" s="310" t="s">
        <v>92</v>
      </c>
      <c r="B129" s="310"/>
      <c r="C129" s="310"/>
      <c r="D129" s="310"/>
      <c r="E129" s="310"/>
      <c r="F129" s="310"/>
      <c r="G129" s="310"/>
      <c r="H129" s="310"/>
      <c r="I129" s="310"/>
      <c r="J129" s="310"/>
      <c r="K129" s="310"/>
      <c r="L129" s="310"/>
      <c r="M129" s="92"/>
    </row>
    <row r="130" spans="1:16" ht="19.5" customHeight="1">
      <c r="A130" s="139"/>
      <c r="B130" s="139"/>
      <c r="C130" s="140"/>
      <c r="D130" s="140" t="s">
        <v>145</v>
      </c>
      <c r="E130" s="140"/>
      <c r="F130" s="152" t="s">
        <v>54</v>
      </c>
      <c r="G130" s="152"/>
      <c r="H130" s="152"/>
      <c r="I130" s="152"/>
      <c r="J130" s="152" t="s">
        <v>144</v>
      </c>
      <c r="K130" s="152"/>
      <c r="L130" s="140"/>
      <c r="M130" s="94"/>
    </row>
    <row r="131" spans="1:16" ht="28.5" customHeight="1">
      <c r="A131" s="310" t="s">
        <v>93</v>
      </c>
      <c r="B131" s="310"/>
      <c r="C131" s="310"/>
      <c r="D131" s="310"/>
      <c r="E131" s="310"/>
      <c r="F131" s="310"/>
      <c r="G131" s="310"/>
      <c r="H131" s="310"/>
      <c r="I131" s="310"/>
      <c r="J131" s="310"/>
      <c r="K131" s="310"/>
      <c r="L131" s="310"/>
      <c r="M131" s="92"/>
      <c r="N131" s="311"/>
      <c r="O131" s="311"/>
      <c r="P131" s="311"/>
    </row>
    <row r="132" spans="1:16" ht="20.25" customHeight="1">
      <c r="A132" s="139"/>
      <c r="B132" s="139"/>
      <c r="C132" s="139"/>
      <c r="D132" s="140" t="s">
        <v>145</v>
      </c>
      <c r="E132" s="140"/>
      <c r="F132" s="152" t="s">
        <v>54</v>
      </c>
      <c r="G132" s="152"/>
      <c r="H132" s="152"/>
      <c r="I132" s="152"/>
      <c r="J132" s="152" t="s">
        <v>144</v>
      </c>
      <c r="K132" s="152"/>
      <c r="L132" s="139"/>
      <c r="M132" s="94"/>
      <c r="N132" s="221"/>
      <c r="O132" s="95"/>
      <c r="P132" s="95"/>
    </row>
    <row r="133" spans="1:16" ht="26.25" customHeight="1">
      <c r="A133" s="312" t="s">
        <v>94</v>
      </c>
      <c r="B133" s="312"/>
      <c r="C133" s="312"/>
      <c r="D133" s="312"/>
      <c r="E133" s="312"/>
      <c r="F133" s="312"/>
      <c r="G133" s="312"/>
      <c r="H133" s="312"/>
      <c r="I133" s="312"/>
      <c r="J133" s="312"/>
      <c r="K133" s="312"/>
      <c r="L133" s="312"/>
      <c r="M133" s="92"/>
    </row>
    <row r="134" spans="1:16" ht="22.5" customHeight="1">
      <c r="A134" s="120"/>
      <c r="B134" s="120"/>
      <c r="C134" s="120"/>
      <c r="D134" s="120"/>
      <c r="E134" s="120"/>
      <c r="F134" s="120"/>
      <c r="G134" s="120"/>
      <c r="H134" s="120"/>
      <c r="I134" s="120"/>
      <c r="J134" s="120"/>
      <c r="K134" s="120"/>
      <c r="L134" s="120"/>
      <c r="M134" s="94"/>
    </row>
    <row r="135" spans="1:16" ht="22.5" customHeight="1">
      <c r="A135" s="313" t="s">
        <v>95</v>
      </c>
      <c r="B135" s="313"/>
      <c r="C135" s="313"/>
      <c r="D135" s="313"/>
      <c r="E135" s="313"/>
      <c r="F135" s="313"/>
      <c r="G135" s="313"/>
      <c r="H135" s="313"/>
      <c r="I135" s="313"/>
      <c r="J135" s="313"/>
      <c r="K135" s="313"/>
      <c r="L135" s="313"/>
      <c r="M135" s="92"/>
    </row>
    <row r="136" spans="1:16" ht="19.5" customHeight="1">
      <c r="A136" s="97"/>
      <c r="B136" s="97"/>
      <c r="C136" s="145"/>
      <c r="D136" s="97"/>
      <c r="E136" s="97"/>
      <c r="F136" s="97"/>
      <c r="G136" s="97"/>
      <c r="H136" s="97"/>
      <c r="I136" s="97"/>
      <c r="J136" s="97"/>
      <c r="K136" s="97"/>
      <c r="L136" s="97"/>
      <c r="M136" s="94"/>
    </row>
    <row r="137" spans="1:16" ht="5.25" customHeight="1">
      <c r="A137" s="94"/>
      <c r="B137" s="94"/>
      <c r="C137" s="146"/>
      <c r="D137" s="94"/>
      <c r="E137" s="94"/>
      <c r="F137" s="94"/>
      <c r="G137" s="94"/>
      <c r="H137" s="94"/>
      <c r="I137" s="94"/>
      <c r="J137" s="94"/>
      <c r="K137" s="94"/>
      <c r="L137" s="94"/>
      <c r="M137" s="94"/>
    </row>
    <row r="138" spans="1:16" ht="16.5" customHeight="1">
      <c r="A138" s="314" t="s">
        <v>96</v>
      </c>
      <c r="B138" s="314"/>
      <c r="C138" s="314"/>
      <c r="D138" s="314"/>
      <c r="E138" s="98"/>
      <c r="F138" s="98"/>
      <c r="G138" s="98"/>
      <c r="H138" s="315" t="s">
        <v>97</v>
      </c>
      <c r="I138" s="315"/>
      <c r="J138" s="315"/>
      <c r="K138" s="315"/>
      <c r="L138" s="315"/>
      <c r="M138" s="94"/>
    </row>
    <row r="139" spans="1:16" ht="95.1" customHeight="1">
      <c r="A139" s="99"/>
      <c r="B139" s="101" t="str">
        <f>B69</f>
        <v>Ông Huỳnh Phước Hải        ….............</v>
      </c>
      <c r="C139" s="147"/>
      <c r="D139" s="99"/>
      <c r="E139" s="81"/>
      <c r="F139" s="100"/>
      <c r="G139" s="100"/>
      <c r="H139" s="306" t="str">
        <f>H69</f>
        <v>Ông Phạm Tấn Việt          …..................</v>
      </c>
      <c r="I139" s="306"/>
      <c r="J139" s="306"/>
      <c r="K139" s="306"/>
      <c r="L139" s="306"/>
      <c r="M139" s="94"/>
    </row>
    <row r="140" spans="1:16" ht="49.5" customHeight="1">
      <c r="A140" s="99"/>
      <c r="B140" s="99"/>
      <c r="C140" s="147"/>
      <c r="D140" s="99"/>
      <c r="E140" s="81"/>
      <c r="F140" s="100"/>
      <c r="G140" s="100"/>
      <c r="H140" s="100"/>
      <c r="I140" s="100"/>
      <c r="J140" s="99"/>
      <c r="K140" s="99"/>
      <c r="L140" s="99"/>
      <c r="M140" s="94"/>
    </row>
    <row r="141" spans="1:16" ht="21.75" customHeight="1">
      <c r="A141" s="346" t="s">
        <v>165</v>
      </c>
      <c r="B141" s="346"/>
      <c r="C141" s="346"/>
      <c r="D141" s="346"/>
      <c r="E141" s="346"/>
      <c r="F141" s="346"/>
      <c r="G141" s="346"/>
      <c r="H141" s="346"/>
      <c r="I141" s="346"/>
      <c r="J141" s="346"/>
      <c r="K141" s="346"/>
      <c r="L141" s="346"/>
      <c r="M141" s="82"/>
    </row>
    <row r="142" spans="1:16" ht="19.5">
      <c r="A142" s="84" t="str">
        <f>"Ngày "&amp;N143&amp;" tháng "&amp;O3&amp;" năm "&amp;P3&amp;""</f>
        <v>Ngày 03 tháng 07 năm 2026</v>
      </c>
      <c r="B142" s="84"/>
      <c r="C142" s="85"/>
      <c r="N142" s="216"/>
      <c r="O142" s="20"/>
      <c r="P142" s="20"/>
    </row>
    <row r="143" spans="1:16" ht="16.5">
      <c r="A143" s="337" t="s">
        <v>57</v>
      </c>
      <c r="B143" s="337"/>
      <c r="C143" s="337"/>
      <c r="D143" s="311"/>
      <c r="E143" s="311"/>
      <c r="F143" s="311"/>
      <c r="G143" s="95"/>
      <c r="H143" s="95"/>
      <c r="I143" s="95"/>
      <c r="J143" s="95"/>
      <c r="K143" s="95"/>
      <c r="L143" s="95"/>
      <c r="N143" s="217" t="s">
        <v>166</v>
      </c>
      <c r="O143" s="214"/>
      <c r="P143" s="17"/>
    </row>
    <row r="144" spans="1:16" ht="15.75" customHeight="1">
      <c r="A144" s="338"/>
      <c r="B144" s="338"/>
      <c r="C144" s="338"/>
      <c r="D144" s="339" t="s">
        <v>58</v>
      </c>
      <c r="E144" s="340"/>
      <c r="F144" s="340"/>
      <c r="G144" s="340"/>
      <c r="H144" s="341"/>
      <c r="I144" s="339" t="s">
        <v>59</v>
      </c>
      <c r="J144" s="340"/>
      <c r="K144" s="340"/>
      <c r="L144" s="341"/>
    </row>
    <row r="145" spans="1:29" ht="19.5" customHeight="1">
      <c r="A145" s="342" t="s">
        <v>60</v>
      </c>
      <c r="B145" s="342"/>
      <c r="C145" s="342"/>
      <c r="D145" s="343" t="s">
        <v>54</v>
      </c>
      <c r="E145" s="344"/>
      <c r="F145" s="344"/>
      <c r="G145" s="344"/>
      <c r="H145" s="345"/>
      <c r="I145" s="343" t="s">
        <v>54</v>
      </c>
      <c r="J145" s="344"/>
      <c r="K145" s="344"/>
      <c r="L145" s="345"/>
    </row>
    <row r="146" spans="1:29" ht="22.5" customHeight="1">
      <c r="A146" s="342" t="s">
        <v>61</v>
      </c>
      <c r="B146" s="342"/>
      <c r="C146" s="342"/>
      <c r="D146" s="343" t="s">
        <v>163</v>
      </c>
      <c r="E146" s="344"/>
      <c r="F146" s="344"/>
      <c r="G146" s="344"/>
      <c r="H146" s="345"/>
      <c r="I146" s="343" t="str">
        <f>D146</f>
        <v>31° - 34°</v>
      </c>
      <c r="J146" s="344"/>
      <c r="K146" s="344"/>
      <c r="L146" s="345"/>
    </row>
    <row r="147" spans="1:29" s="87" customFormat="1" ht="15.75">
      <c r="A147" s="310" t="s">
        <v>62</v>
      </c>
      <c r="B147" s="310"/>
      <c r="C147" s="310"/>
      <c r="D147" s="310"/>
      <c r="E147" s="310"/>
      <c r="F147" s="310"/>
      <c r="G147" s="310"/>
      <c r="H147" s="310"/>
      <c r="I147" s="310"/>
      <c r="J147" s="310"/>
      <c r="K147" s="310"/>
      <c r="L147" s="310"/>
      <c r="M147" s="85"/>
      <c r="N147" s="218"/>
    </row>
    <row r="148" spans="1:29" s="87" customFormat="1" ht="15.75">
      <c r="A148" s="332" t="s">
        <v>63</v>
      </c>
      <c r="B148" s="332"/>
      <c r="C148" s="332"/>
      <c r="D148" s="332"/>
      <c r="E148" s="332"/>
      <c r="F148" s="332"/>
      <c r="G148" s="332"/>
      <c r="H148" s="332"/>
      <c r="I148" s="332"/>
      <c r="J148" s="332"/>
      <c r="K148" s="332"/>
      <c r="L148" s="332"/>
      <c r="M148" s="85"/>
      <c r="N148" s="218"/>
    </row>
    <row r="149" spans="1:29" s="87" customFormat="1" ht="20.100000000000001" customHeight="1">
      <c r="A149" s="88"/>
      <c r="B149" s="88"/>
      <c r="C149" s="333" t="s">
        <v>64</v>
      </c>
      <c r="D149" s="334"/>
      <c r="E149" s="334"/>
      <c r="F149" s="334"/>
      <c r="G149" s="334"/>
      <c r="H149" s="334"/>
      <c r="I149" s="334"/>
      <c r="J149" s="334"/>
      <c r="K149" s="334"/>
      <c r="L149" s="334"/>
      <c r="M149" s="85"/>
      <c r="N149" s="218"/>
    </row>
    <row r="150" spans="1:29" s="87" customFormat="1" ht="20.100000000000001" customHeight="1">
      <c r="A150" s="88"/>
      <c r="B150" s="88"/>
      <c r="C150" s="333" t="s">
        <v>65</v>
      </c>
      <c r="D150" s="334"/>
      <c r="E150" s="334"/>
      <c r="F150" s="334"/>
      <c r="G150" s="334"/>
      <c r="H150" s="334"/>
      <c r="I150" s="334"/>
      <c r="J150" s="334"/>
      <c r="K150" s="334"/>
      <c r="L150" s="334"/>
      <c r="M150" s="85"/>
      <c r="N150" s="218"/>
    </row>
    <row r="151" spans="1:29" s="87" customFormat="1" ht="17.25" customHeight="1">
      <c r="A151" s="335" t="s">
        <v>66</v>
      </c>
      <c r="B151" s="335"/>
      <c r="C151" s="335"/>
      <c r="D151" s="335"/>
      <c r="E151" s="335"/>
      <c r="F151" s="335"/>
      <c r="G151" s="335"/>
      <c r="H151" s="335"/>
      <c r="I151" s="335"/>
      <c r="J151" s="335"/>
      <c r="K151" s="335"/>
      <c r="L151" s="335"/>
      <c r="M151" s="85"/>
      <c r="N151" s="218"/>
    </row>
    <row r="152" spans="1:29" s="87" customFormat="1" ht="7.5" customHeight="1">
      <c r="A152" s="119"/>
      <c r="B152" s="119"/>
      <c r="C152" s="119"/>
      <c r="D152" s="119"/>
      <c r="E152" s="119"/>
      <c r="F152" s="119"/>
      <c r="G152" s="119"/>
      <c r="H152" s="119"/>
      <c r="I152" s="119"/>
      <c r="J152" s="119"/>
      <c r="K152" s="119"/>
      <c r="L152" s="119"/>
      <c r="M152" s="85"/>
      <c r="N152" s="218"/>
    </row>
    <row r="153" spans="1:29" ht="15.75">
      <c r="A153" s="336" t="s">
        <v>67</v>
      </c>
      <c r="B153" s="336"/>
      <c r="C153" s="336"/>
      <c r="D153" s="336"/>
      <c r="E153" s="336"/>
      <c r="F153" s="336"/>
      <c r="G153" s="336"/>
      <c r="H153" s="336"/>
      <c r="I153" s="336"/>
      <c r="J153" s="336"/>
      <c r="K153" s="336"/>
      <c r="L153" s="336"/>
    </row>
    <row r="154" spans="1:29" ht="2.25" customHeight="1">
      <c r="A154" s="141"/>
      <c r="B154" s="141"/>
      <c r="C154" s="141"/>
      <c r="D154" s="141"/>
      <c r="E154" s="141"/>
      <c r="F154" s="141"/>
      <c r="G154" s="155"/>
      <c r="H154" s="155"/>
      <c r="I154" s="155"/>
      <c r="J154" s="155"/>
      <c r="K154" s="155"/>
      <c r="L154" s="155"/>
    </row>
    <row r="155" spans="1:29" ht="27.75" customHeight="1">
      <c r="A155" s="317" t="s">
        <v>135</v>
      </c>
      <c r="B155" s="318"/>
      <c r="C155" s="317" t="s">
        <v>68</v>
      </c>
      <c r="D155" s="318"/>
      <c r="E155" s="183"/>
      <c r="F155" s="321" t="s">
        <v>136</v>
      </c>
      <c r="G155" s="322" t="s">
        <v>155</v>
      </c>
      <c r="H155" s="323"/>
      <c r="I155" s="323"/>
      <c r="J155" s="322" t="s">
        <v>154</v>
      </c>
      <c r="K155" s="323"/>
      <c r="L155" s="324"/>
      <c r="M155" s="92"/>
      <c r="O155" s="325"/>
      <c r="P155" s="325"/>
      <c r="Q155" s="325"/>
      <c r="R155" s="325"/>
      <c r="S155" s="316"/>
      <c r="T155" s="316"/>
      <c r="U155" s="316"/>
      <c r="V155" s="316"/>
      <c r="W155" s="316"/>
      <c r="X155" s="316"/>
      <c r="Y155" s="316"/>
      <c r="Z155" s="316"/>
      <c r="AA155" s="316"/>
      <c r="AB155" s="316"/>
      <c r="AC155" s="316"/>
    </row>
    <row r="156" spans="1:29" ht="125.25" customHeight="1">
      <c r="A156" s="319"/>
      <c r="B156" s="320"/>
      <c r="C156" s="319"/>
      <c r="D156" s="320"/>
      <c r="E156" s="184"/>
      <c r="F156" s="321"/>
      <c r="G156" s="153" t="s">
        <v>151</v>
      </c>
      <c r="H156" s="153" t="s">
        <v>152</v>
      </c>
      <c r="I156" s="153" t="s">
        <v>153</v>
      </c>
      <c r="J156" s="153" t="s">
        <v>151</v>
      </c>
      <c r="K156" s="153" t="s">
        <v>152</v>
      </c>
      <c r="L156" s="153" t="s">
        <v>153</v>
      </c>
      <c r="O156" s="325"/>
      <c r="P156" s="325"/>
      <c r="Q156" s="325"/>
      <c r="R156" s="325"/>
      <c r="S156" s="193"/>
      <c r="T156" s="193"/>
      <c r="U156" s="193"/>
      <c r="V156" s="193"/>
      <c r="W156" s="193"/>
      <c r="X156" s="193"/>
      <c r="Y156" s="193"/>
      <c r="Z156" s="193"/>
      <c r="AA156" s="193"/>
      <c r="AB156" s="193"/>
      <c r="AC156" s="193"/>
    </row>
    <row r="157" spans="1:29" ht="24.75" customHeight="1">
      <c r="A157" s="190" t="s">
        <v>128</v>
      </c>
      <c r="B157" s="142"/>
      <c r="C157" s="330" t="s">
        <v>129</v>
      </c>
      <c r="D157" s="330"/>
      <c r="E157" s="330"/>
      <c r="F157" s="330"/>
      <c r="G157" s="330"/>
      <c r="H157" s="330"/>
      <c r="I157" s="330"/>
      <c r="J157" s="330"/>
      <c r="K157" s="330"/>
      <c r="L157" s="330"/>
      <c r="M157" s="93"/>
      <c r="O157" s="156"/>
      <c r="P157" s="142"/>
      <c r="Q157" s="331"/>
      <c r="R157" s="331"/>
      <c r="S157" s="331"/>
      <c r="T157" s="331"/>
      <c r="U157" s="331"/>
      <c r="V157" s="331"/>
      <c r="W157" s="331"/>
      <c r="X157" s="331"/>
      <c r="Y157" s="331"/>
      <c r="Z157" s="331"/>
      <c r="AA157" s="331"/>
      <c r="AB157" s="331"/>
      <c r="AC157" s="331"/>
    </row>
    <row r="158" spans="1:29" ht="20.100000000000001" customHeight="1">
      <c r="A158" s="187">
        <v>1</v>
      </c>
      <c r="B158" s="185" t="s">
        <v>69</v>
      </c>
      <c r="C158" s="326" t="s">
        <v>70</v>
      </c>
      <c r="D158" s="326"/>
      <c r="E158" s="176"/>
      <c r="F158" s="144" t="s">
        <v>71</v>
      </c>
      <c r="G158" s="203" t="s">
        <v>156</v>
      </c>
      <c r="H158" s="202" t="s">
        <v>156</v>
      </c>
      <c r="I158" s="201">
        <v>1</v>
      </c>
      <c r="J158" s="202" t="s">
        <v>156</v>
      </c>
      <c r="K158" s="202" t="s">
        <v>156</v>
      </c>
      <c r="L158" s="201">
        <v>1</v>
      </c>
      <c r="M158" s="93"/>
      <c r="O158" s="195"/>
      <c r="P158" s="196"/>
      <c r="Q158" s="327"/>
      <c r="R158" s="327"/>
      <c r="S158" s="86"/>
      <c r="T158" s="86"/>
      <c r="U158" s="86"/>
      <c r="V158" s="86"/>
      <c r="W158" s="194"/>
      <c r="X158" s="194"/>
      <c r="Y158" s="194"/>
      <c r="Z158" s="194"/>
      <c r="AA158" s="194"/>
      <c r="AB158" s="194"/>
      <c r="AC158" s="194"/>
    </row>
    <row r="159" spans="1:29" ht="20.100000000000001" customHeight="1">
      <c r="A159" s="187">
        <v>2</v>
      </c>
      <c r="B159" s="185" t="s">
        <v>69</v>
      </c>
      <c r="C159" s="326" t="s">
        <v>72</v>
      </c>
      <c r="D159" s="326"/>
      <c r="E159" s="176"/>
      <c r="F159" s="144" t="s">
        <v>71</v>
      </c>
      <c r="G159" s="203" t="s">
        <v>156</v>
      </c>
      <c r="H159" s="202" t="s">
        <v>156</v>
      </c>
      <c r="I159" s="202" t="s">
        <v>156</v>
      </c>
      <c r="J159" s="202" t="s">
        <v>156</v>
      </c>
      <c r="K159" s="202" t="s">
        <v>156</v>
      </c>
      <c r="L159" s="202" t="s">
        <v>156</v>
      </c>
      <c r="M159" s="93"/>
      <c r="O159" s="195"/>
      <c r="P159" s="196"/>
      <c r="Q159" s="327"/>
      <c r="R159" s="327"/>
      <c r="S159" s="194"/>
      <c r="T159" s="194"/>
      <c r="U159" s="194"/>
      <c r="V159" s="86"/>
      <c r="W159" s="86"/>
      <c r="X159" s="86"/>
      <c r="Y159" s="86"/>
      <c r="Z159" s="194"/>
      <c r="AA159" s="194"/>
      <c r="AB159" s="194"/>
      <c r="AC159" s="194"/>
    </row>
    <row r="160" spans="1:29" ht="20.100000000000001" customHeight="1">
      <c r="A160" s="187">
        <v>3</v>
      </c>
      <c r="B160" s="185" t="s">
        <v>69</v>
      </c>
      <c r="C160" s="326" t="s">
        <v>73</v>
      </c>
      <c r="D160" s="326"/>
      <c r="E160" s="176"/>
      <c r="F160" s="144" t="s">
        <v>71</v>
      </c>
      <c r="G160" s="203" t="s">
        <v>156</v>
      </c>
      <c r="H160" s="202" t="s">
        <v>156</v>
      </c>
      <c r="I160" s="202" t="s">
        <v>156</v>
      </c>
      <c r="J160" s="202" t="s">
        <v>156</v>
      </c>
      <c r="K160" s="202" t="s">
        <v>156</v>
      </c>
      <c r="L160" s="202" t="s">
        <v>156</v>
      </c>
      <c r="M160" s="93"/>
      <c r="O160" s="195"/>
      <c r="P160" s="196"/>
      <c r="Q160" s="327"/>
      <c r="R160" s="327"/>
      <c r="S160" s="194"/>
      <c r="T160" s="86"/>
      <c r="U160" s="86"/>
      <c r="V160" s="86"/>
      <c r="W160" s="86"/>
      <c r="X160" s="194"/>
      <c r="Y160" s="194"/>
      <c r="Z160" s="194"/>
      <c r="AA160" s="194"/>
      <c r="AB160" s="194"/>
      <c r="AC160" s="194"/>
    </row>
    <row r="161" spans="1:29" ht="20.100000000000001" customHeight="1">
      <c r="A161" s="187">
        <v>4</v>
      </c>
      <c r="B161" s="185" t="s">
        <v>69</v>
      </c>
      <c r="C161" s="326" t="s">
        <v>98</v>
      </c>
      <c r="D161" s="326"/>
      <c r="E161" s="176"/>
      <c r="F161" s="144" t="s">
        <v>71</v>
      </c>
      <c r="G161" s="203" t="s">
        <v>156</v>
      </c>
      <c r="H161" s="202" t="s">
        <v>156</v>
      </c>
      <c r="I161" s="202" t="s">
        <v>156</v>
      </c>
      <c r="J161" s="202" t="s">
        <v>156</v>
      </c>
      <c r="K161" s="202" t="s">
        <v>156</v>
      </c>
      <c r="L161" s="202" t="s">
        <v>156</v>
      </c>
      <c r="M161" s="93"/>
      <c r="O161" s="195"/>
      <c r="P161" s="196"/>
      <c r="Q161" s="327"/>
      <c r="R161" s="327"/>
      <c r="S161" s="194"/>
      <c r="T161" s="194"/>
      <c r="U161" s="194"/>
      <c r="V161" s="194"/>
      <c r="W161" s="194"/>
      <c r="X161" s="194"/>
      <c r="Y161" s="194"/>
      <c r="Z161" s="86"/>
      <c r="AA161" s="86"/>
      <c r="AB161" s="86"/>
      <c r="AC161" s="86"/>
    </row>
    <row r="162" spans="1:29" ht="20.100000000000001" customHeight="1">
      <c r="A162" s="187">
        <v>5</v>
      </c>
      <c r="B162" s="185" t="s">
        <v>69</v>
      </c>
      <c r="C162" s="326" t="s">
        <v>74</v>
      </c>
      <c r="D162" s="326"/>
      <c r="E162" s="176"/>
      <c r="F162" s="144" t="s">
        <v>71</v>
      </c>
      <c r="G162" s="203" t="s">
        <v>156</v>
      </c>
      <c r="H162" s="202" t="s">
        <v>156</v>
      </c>
      <c r="I162" s="202" t="s">
        <v>156</v>
      </c>
      <c r="J162" s="202" t="s">
        <v>156</v>
      </c>
      <c r="K162" s="202" t="s">
        <v>156</v>
      </c>
      <c r="L162" s="202" t="s">
        <v>156</v>
      </c>
      <c r="M162" s="93"/>
      <c r="O162" s="195"/>
      <c r="P162" s="196"/>
      <c r="Q162" s="327"/>
      <c r="R162" s="327"/>
      <c r="S162" s="194"/>
      <c r="T162" s="194"/>
      <c r="U162" s="194"/>
      <c r="V162" s="194"/>
      <c r="W162" s="194"/>
      <c r="X162" s="194"/>
      <c r="Y162" s="194"/>
      <c r="Z162" s="194"/>
      <c r="AA162" s="194"/>
      <c r="AB162" s="194"/>
      <c r="AC162" s="194"/>
    </row>
    <row r="163" spans="1:29" ht="20.100000000000001" customHeight="1">
      <c r="A163" s="187">
        <v>6</v>
      </c>
      <c r="B163" s="185" t="s">
        <v>69</v>
      </c>
      <c r="C163" s="326" t="s">
        <v>75</v>
      </c>
      <c r="D163" s="326"/>
      <c r="E163" s="176"/>
      <c r="F163" s="144" t="s">
        <v>71</v>
      </c>
      <c r="G163" s="203" t="s">
        <v>156</v>
      </c>
      <c r="H163" s="202" t="s">
        <v>156</v>
      </c>
      <c r="I163" s="202" t="s">
        <v>156</v>
      </c>
      <c r="J163" s="202" t="s">
        <v>156</v>
      </c>
      <c r="K163" s="202" t="s">
        <v>156</v>
      </c>
      <c r="L163" s="202" t="s">
        <v>156</v>
      </c>
      <c r="M163" s="93"/>
      <c r="O163" s="195"/>
      <c r="P163" s="196"/>
      <c r="Q163" s="327"/>
      <c r="R163" s="327"/>
      <c r="S163" s="194"/>
      <c r="T163" s="194"/>
      <c r="U163" s="194"/>
      <c r="V163" s="194"/>
      <c r="W163" s="194"/>
      <c r="X163" s="194"/>
      <c r="Y163" s="194"/>
      <c r="Z163" s="194"/>
      <c r="AA163" s="194"/>
      <c r="AB163" s="194"/>
      <c r="AC163" s="194"/>
    </row>
    <row r="164" spans="1:29" ht="20.100000000000001" customHeight="1">
      <c r="A164" s="187">
        <v>7</v>
      </c>
      <c r="B164" s="185" t="s">
        <v>69</v>
      </c>
      <c r="C164" s="326" t="s">
        <v>76</v>
      </c>
      <c r="D164" s="326"/>
      <c r="E164" s="176"/>
      <c r="F164" s="144" t="s">
        <v>71</v>
      </c>
      <c r="G164" s="203" t="s">
        <v>156</v>
      </c>
      <c r="H164" s="202" t="s">
        <v>156</v>
      </c>
      <c r="I164" s="202" t="s">
        <v>156</v>
      </c>
      <c r="J164" s="202" t="s">
        <v>156</v>
      </c>
      <c r="K164" s="202" t="s">
        <v>156</v>
      </c>
      <c r="L164" s="202" t="s">
        <v>156</v>
      </c>
      <c r="M164" s="93"/>
      <c r="O164" s="195"/>
      <c r="P164" s="196"/>
      <c r="Q164" s="327"/>
      <c r="R164" s="327"/>
      <c r="S164" s="194"/>
      <c r="T164" s="194"/>
      <c r="U164" s="194"/>
      <c r="V164" s="194"/>
      <c r="W164" s="194"/>
      <c r="X164" s="194"/>
      <c r="Y164" s="194"/>
      <c r="Z164" s="194"/>
      <c r="AA164" s="194"/>
      <c r="AB164" s="194"/>
      <c r="AC164" s="194"/>
    </row>
    <row r="165" spans="1:29" ht="20.100000000000001" customHeight="1">
      <c r="A165" s="187">
        <v>8</v>
      </c>
      <c r="B165" s="185" t="s">
        <v>69</v>
      </c>
      <c r="C165" s="326" t="s">
        <v>99</v>
      </c>
      <c r="D165" s="326"/>
      <c r="E165" s="176"/>
      <c r="F165" s="144" t="s">
        <v>71</v>
      </c>
      <c r="G165" s="203" t="s">
        <v>156</v>
      </c>
      <c r="H165" s="202" t="s">
        <v>156</v>
      </c>
      <c r="I165" s="202" t="s">
        <v>156</v>
      </c>
      <c r="J165" s="202" t="s">
        <v>156</v>
      </c>
      <c r="K165" s="202" t="s">
        <v>156</v>
      </c>
      <c r="L165" s="202" t="s">
        <v>156</v>
      </c>
      <c r="M165" s="93"/>
      <c r="O165" s="195"/>
      <c r="P165" s="196"/>
      <c r="Q165" s="327"/>
      <c r="R165" s="327"/>
      <c r="S165" s="194"/>
      <c r="T165" s="194"/>
      <c r="U165" s="194"/>
      <c r="V165" s="194"/>
      <c r="W165" s="194"/>
      <c r="X165" s="194"/>
      <c r="Y165" s="194"/>
      <c r="Z165" s="194"/>
      <c r="AA165" s="194"/>
      <c r="AB165" s="194"/>
      <c r="AC165" s="194"/>
    </row>
    <row r="166" spans="1:29" ht="20.100000000000001" customHeight="1">
      <c r="A166" s="187">
        <v>9</v>
      </c>
      <c r="B166" s="185" t="s">
        <v>69</v>
      </c>
      <c r="C166" s="326" t="s">
        <v>77</v>
      </c>
      <c r="D166" s="326"/>
      <c r="E166" s="176"/>
      <c r="F166" s="144" t="s">
        <v>71</v>
      </c>
      <c r="G166" s="203" t="s">
        <v>156</v>
      </c>
      <c r="H166" s="202" t="s">
        <v>156</v>
      </c>
      <c r="I166" s="202" t="s">
        <v>156</v>
      </c>
      <c r="J166" s="202" t="s">
        <v>156</v>
      </c>
      <c r="K166" s="202" t="s">
        <v>156</v>
      </c>
      <c r="L166" s="202" t="s">
        <v>156</v>
      </c>
      <c r="M166" s="93"/>
      <c r="O166" s="195"/>
      <c r="P166" s="196"/>
      <c r="Q166" s="327"/>
      <c r="R166" s="327"/>
      <c r="S166" s="194"/>
      <c r="T166" s="194"/>
      <c r="U166" s="194"/>
      <c r="V166" s="194"/>
      <c r="W166" s="194"/>
      <c r="X166" s="194"/>
      <c r="Y166" s="194"/>
      <c r="Z166" s="194"/>
      <c r="AA166" s="194"/>
      <c r="AB166" s="194"/>
      <c r="AC166" s="194"/>
    </row>
    <row r="167" spans="1:29" ht="20.100000000000001" customHeight="1">
      <c r="A167" s="187">
        <v>10</v>
      </c>
      <c r="B167" s="185" t="s">
        <v>69</v>
      </c>
      <c r="C167" s="326" t="s">
        <v>78</v>
      </c>
      <c r="D167" s="326"/>
      <c r="E167" s="176"/>
      <c r="F167" s="144" t="s">
        <v>71</v>
      </c>
      <c r="G167" s="203" t="s">
        <v>156</v>
      </c>
      <c r="H167" s="202" t="s">
        <v>156</v>
      </c>
      <c r="I167" s="202" t="s">
        <v>156</v>
      </c>
      <c r="J167" s="202" t="s">
        <v>156</v>
      </c>
      <c r="K167" s="202" t="s">
        <v>156</v>
      </c>
      <c r="L167" s="202" t="s">
        <v>156</v>
      </c>
      <c r="M167" s="93"/>
      <c r="O167" s="195"/>
      <c r="P167" s="196"/>
      <c r="Q167" s="327"/>
      <c r="R167" s="327"/>
      <c r="S167" s="194"/>
      <c r="T167" s="194"/>
      <c r="U167" s="194"/>
      <c r="V167" s="194"/>
      <c r="W167" s="194"/>
      <c r="X167" s="194"/>
      <c r="Y167" s="194"/>
      <c r="Z167" s="194"/>
      <c r="AA167" s="194"/>
      <c r="AB167" s="194"/>
      <c r="AC167" s="194"/>
    </row>
    <row r="168" spans="1:29" ht="20.100000000000001" customHeight="1">
      <c r="A168" s="187">
        <v>11</v>
      </c>
      <c r="B168" s="185" t="s">
        <v>69</v>
      </c>
      <c r="C168" s="326" t="s">
        <v>79</v>
      </c>
      <c r="D168" s="326"/>
      <c r="E168" s="176"/>
      <c r="F168" s="144" t="s">
        <v>71</v>
      </c>
      <c r="G168" s="203" t="s">
        <v>156</v>
      </c>
      <c r="H168" s="202" t="s">
        <v>156</v>
      </c>
      <c r="I168" s="202" t="s">
        <v>156</v>
      </c>
      <c r="J168" s="202" t="s">
        <v>156</v>
      </c>
      <c r="K168" s="202" t="s">
        <v>156</v>
      </c>
      <c r="L168" s="202" t="s">
        <v>156</v>
      </c>
      <c r="M168" s="93"/>
      <c r="O168" s="195"/>
      <c r="P168" s="196"/>
      <c r="Q168" s="327"/>
      <c r="R168" s="327"/>
      <c r="S168" s="194"/>
      <c r="T168" s="194"/>
      <c r="U168" s="194"/>
      <c r="V168" s="194"/>
      <c r="W168" s="194"/>
      <c r="X168" s="194"/>
      <c r="Y168" s="194"/>
      <c r="Z168" s="194"/>
      <c r="AA168" s="194"/>
      <c r="AB168" s="194"/>
      <c r="AC168" s="194"/>
    </row>
    <row r="169" spans="1:29" ht="20.100000000000001" customHeight="1">
      <c r="A169" s="187">
        <v>12</v>
      </c>
      <c r="B169" s="185" t="s">
        <v>69</v>
      </c>
      <c r="C169" s="326" t="s">
        <v>100</v>
      </c>
      <c r="D169" s="326"/>
      <c r="E169" s="176"/>
      <c r="F169" s="144" t="s">
        <v>71</v>
      </c>
      <c r="G169" s="203" t="s">
        <v>156</v>
      </c>
      <c r="H169" s="202" t="s">
        <v>156</v>
      </c>
      <c r="I169" s="202" t="s">
        <v>156</v>
      </c>
      <c r="J169" s="202" t="s">
        <v>156</v>
      </c>
      <c r="K169" s="202" t="s">
        <v>156</v>
      </c>
      <c r="L169" s="202" t="s">
        <v>156</v>
      </c>
      <c r="M169" s="93"/>
      <c r="O169" s="195"/>
      <c r="P169" s="196"/>
      <c r="Q169" s="327"/>
      <c r="R169" s="327"/>
      <c r="S169" s="194"/>
      <c r="T169" s="194"/>
      <c r="U169" s="194"/>
      <c r="V169" s="194"/>
      <c r="W169" s="194"/>
      <c r="X169" s="194"/>
      <c r="Y169" s="194"/>
      <c r="Z169" s="194"/>
      <c r="AA169" s="194"/>
      <c r="AB169" s="194"/>
      <c r="AC169" s="194"/>
    </row>
    <row r="170" spans="1:29" ht="20.100000000000001" customHeight="1">
      <c r="A170" s="187">
        <v>13</v>
      </c>
      <c r="B170" s="185" t="s">
        <v>69</v>
      </c>
      <c r="C170" s="326" t="s">
        <v>80</v>
      </c>
      <c r="D170" s="326"/>
      <c r="E170" s="176"/>
      <c r="F170" s="144" t="s">
        <v>71</v>
      </c>
      <c r="G170" s="203" t="s">
        <v>156</v>
      </c>
      <c r="H170" s="202" t="s">
        <v>156</v>
      </c>
      <c r="I170" s="202" t="s">
        <v>156</v>
      </c>
      <c r="J170" s="202" t="s">
        <v>156</v>
      </c>
      <c r="K170" s="202" t="s">
        <v>156</v>
      </c>
      <c r="L170" s="202" t="s">
        <v>156</v>
      </c>
      <c r="M170" s="93"/>
      <c r="O170" s="195"/>
      <c r="P170" s="196"/>
      <c r="Q170" s="327"/>
      <c r="R170" s="327"/>
      <c r="S170" s="194"/>
      <c r="T170" s="194"/>
      <c r="U170" s="194"/>
      <c r="V170" s="194"/>
      <c r="W170" s="194"/>
      <c r="X170" s="194"/>
      <c r="Y170" s="194"/>
      <c r="Z170" s="194"/>
      <c r="AA170" s="194"/>
      <c r="AB170" s="194"/>
      <c r="AC170" s="194"/>
    </row>
    <row r="171" spans="1:29" ht="20.100000000000001" customHeight="1">
      <c r="A171" s="187">
        <v>14</v>
      </c>
      <c r="B171" s="185" t="s">
        <v>69</v>
      </c>
      <c r="C171" s="326" t="s">
        <v>91</v>
      </c>
      <c r="D171" s="326"/>
      <c r="E171" s="176"/>
      <c r="F171" s="144" t="s">
        <v>71</v>
      </c>
      <c r="G171" s="203" t="s">
        <v>156</v>
      </c>
      <c r="H171" s="202" t="s">
        <v>156</v>
      </c>
      <c r="I171" s="202" t="s">
        <v>156</v>
      </c>
      <c r="J171" s="202" t="s">
        <v>156</v>
      </c>
      <c r="K171" s="202" t="s">
        <v>156</v>
      </c>
      <c r="L171" s="202" t="s">
        <v>156</v>
      </c>
      <c r="M171" s="93"/>
      <c r="O171" s="195"/>
      <c r="P171" s="196"/>
      <c r="Q171" s="327"/>
      <c r="R171" s="327"/>
      <c r="S171" s="194"/>
      <c r="T171" s="194"/>
      <c r="U171" s="194"/>
      <c r="V171" s="194"/>
      <c r="W171" s="194"/>
      <c r="X171" s="194"/>
      <c r="Y171" s="194"/>
      <c r="Z171" s="194"/>
      <c r="AA171" s="194"/>
      <c r="AB171" s="194"/>
      <c r="AC171" s="194"/>
    </row>
    <row r="172" spans="1:29" ht="20.100000000000001" customHeight="1">
      <c r="A172" s="187">
        <v>15</v>
      </c>
      <c r="B172" s="185" t="s">
        <v>69</v>
      </c>
      <c r="C172" s="326" t="s">
        <v>81</v>
      </c>
      <c r="D172" s="326"/>
      <c r="E172" s="176"/>
      <c r="F172" s="144" t="s">
        <v>71</v>
      </c>
      <c r="G172" s="203" t="s">
        <v>156</v>
      </c>
      <c r="H172" s="202" t="s">
        <v>156</v>
      </c>
      <c r="I172" s="202" t="s">
        <v>156</v>
      </c>
      <c r="J172" s="202" t="s">
        <v>156</v>
      </c>
      <c r="K172" s="202" t="s">
        <v>156</v>
      </c>
      <c r="L172" s="202" t="s">
        <v>156</v>
      </c>
      <c r="M172" s="93"/>
      <c r="O172" s="195"/>
      <c r="P172" s="196"/>
      <c r="Q172" s="327"/>
      <c r="R172" s="327"/>
      <c r="S172" s="194"/>
      <c r="T172" s="194"/>
      <c r="U172" s="194"/>
      <c r="V172" s="194"/>
      <c r="W172" s="194"/>
      <c r="X172" s="194"/>
      <c r="Y172" s="194"/>
      <c r="Z172" s="194"/>
      <c r="AA172" s="194"/>
      <c r="AB172" s="194"/>
      <c r="AC172" s="194"/>
    </row>
    <row r="173" spans="1:29" ht="20.100000000000001" customHeight="1">
      <c r="A173" s="187">
        <v>16</v>
      </c>
      <c r="B173" s="185" t="s">
        <v>69</v>
      </c>
      <c r="C173" s="326" t="s">
        <v>101</v>
      </c>
      <c r="D173" s="326"/>
      <c r="E173" s="151"/>
      <c r="F173" s="144" t="s">
        <v>71</v>
      </c>
      <c r="G173" s="203" t="s">
        <v>156</v>
      </c>
      <c r="H173" s="202" t="s">
        <v>156</v>
      </c>
      <c r="I173" s="202" t="s">
        <v>156</v>
      </c>
      <c r="J173" s="202" t="s">
        <v>156</v>
      </c>
      <c r="K173" s="202" t="s">
        <v>156</v>
      </c>
      <c r="L173" s="202" t="s">
        <v>156</v>
      </c>
      <c r="M173" s="93"/>
      <c r="N173" s="219"/>
      <c r="O173" s="195"/>
      <c r="P173" s="196"/>
      <c r="Q173" s="327"/>
      <c r="R173" s="327"/>
      <c r="S173" s="197"/>
      <c r="T173" s="197"/>
      <c r="U173" s="197"/>
      <c r="V173" s="197"/>
      <c r="W173" s="197"/>
      <c r="X173" s="197"/>
      <c r="Y173" s="197"/>
      <c r="Z173" s="197"/>
      <c r="AA173" s="197"/>
      <c r="AB173" s="197"/>
      <c r="AC173" s="197"/>
    </row>
    <row r="174" spans="1:29" ht="20.100000000000001" customHeight="1">
      <c r="A174" s="187">
        <v>17</v>
      </c>
      <c r="B174" s="186" t="s">
        <v>69</v>
      </c>
      <c r="C174" s="326" t="s">
        <v>141</v>
      </c>
      <c r="D174" s="326"/>
      <c r="E174" s="151"/>
      <c r="F174" s="144" t="s">
        <v>71</v>
      </c>
      <c r="G174" s="203" t="s">
        <v>156</v>
      </c>
      <c r="H174" s="202" t="s">
        <v>156</v>
      </c>
      <c r="I174" s="202" t="s">
        <v>156</v>
      </c>
      <c r="J174" s="202" t="s">
        <v>156</v>
      </c>
      <c r="K174" s="202" t="s">
        <v>156</v>
      </c>
      <c r="L174" s="202" t="s">
        <v>156</v>
      </c>
      <c r="M174" s="93"/>
      <c r="N174" s="219"/>
      <c r="O174" s="195"/>
      <c r="P174" s="104"/>
      <c r="Q174" s="327"/>
      <c r="R174" s="327"/>
      <c r="S174" s="197"/>
      <c r="T174" s="197"/>
      <c r="U174" s="197"/>
      <c r="V174" s="197"/>
      <c r="W174" s="197"/>
      <c r="X174" s="197"/>
      <c r="Y174" s="197"/>
      <c r="Z174" s="197"/>
      <c r="AA174" s="197"/>
      <c r="AB174" s="197"/>
      <c r="AC174" s="197"/>
    </row>
    <row r="175" spans="1:29" ht="20.100000000000001" customHeight="1">
      <c r="A175" s="187">
        <v>18</v>
      </c>
      <c r="B175" s="186" t="s">
        <v>69</v>
      </c>
      <c r="C175" s="326" t="s">
        <v>142</v>
      </c>
      <c r="D175" s="326"/>
      <c r="E175" s="151"/>
      <c r="F175" s="144" t="s">
        <v>71</v>
      </c>
      <c r="G175" s="203" t="s">
        <v>156</v>
      </c>
      <c r="H175" s="202" t="s">
        <v>156</v>
      </c>
      <c r="I175" s="202" t="s">
        <v>156</v>
      </c>
      <c r="J175" s="202" t="s">
        <v>156</v>
      </c>
      <c r="K175" s="202" t="s">
        <v>156</v>
      </c>
      <c r="L175" s="202" t="s">
        <v>156</v>
      </c>
      <c r="M175" s="93"/>
      <c r="N175" s="219"/>
      <c r="O175" s="195"/>
      <c r="P175" s="104"/>
      <c r="Q175" s="327"/>
      <c r="R175" s="327"/>
      <c r="S175" s="197"/>
      <c r="T175" s="197"/>
      <c r="U175" s="197"/>
      <c r="V175" s="197"/>
      <c r="W175" s="197"/>
      <c r="X175" s="197"/>
      <c r="Y175" s="197"/>
      <c r="Z175" s="197"/>
      <c r="AA175" s="197"/>
      <c r="AB175" s="197"/>
      <c r="AC175" s="197"/>
    </row>
    <row r="176" spans="1:29" ht="20.100000000000001" customHeight="1">
      <c r="A176" s="187">
        <v>19</v>
      </c>
      <c r="B176" s="186" t="s">
        <v>69</v>
      </c>
      <c r="C176" s="326" t="s">
        <v>143</v>
      </c>
      <c r="D176" s="326"/>
      <c r="E176" s="151"/>
      <c r="F176" s="144" t="s">
        <v>71</v>
      </c>
      <c r="G176" s="203" t="s">
        <v>156</v>
      </c>
      <c r="H176" s="202" t="s">
        <v>156</v>
      </c>
      <c r="I176" s="202" t="s">
        <v>156</v>
      </c>
      <c r="J176" s="202" t="s">
        <v>156</v>
      </c>
      <c r="K176" s="202" t="s">
        <v>156</v>
      </c>
      <c r="L176" s="202" t="s">
        <v>156</v>
      </c>
      <c r="M176" s="93"/>
      <c r="N176" s="219"/>
      <c r="O176" s="195"/>
      <c r="P176" s="104"/>
      <c r="Q176" s="327"/>
      <c r="R176" s="327"/>
      <c r="S176" s="197"/>
      <c r="T176" s="197"/>
      <c r="U176" s="197"/>
      <c r="V176" s="197"/>
      <c r="W176" s="197"/>
      <c r="X176" s="197"/>
      <c r="Y176" s="197"/>
      <c r="Z176" s="197"/>
      <c r="AA176" s="197"/>
      <c r="AB176" s="197"/>
      <c r="AC176" s="197"/>
    </row>
    <row r="177" spans="1:29" ht="20.100000000000001" customHeight="1">
      <c r="A177" s="187">
        <v>20</v>
      </c>
      <c r="B177" s="186" t="s">
        <v>69</v>
      </c>
      <c r="C177" s="326" t="s">
        <v>102</v>
      </c>
      <c r="D177" s="326"/>
      <c r="E177" s="150"/>
      <c r="F177" s="154" t="s">
        <v>71</v>
      </c>
      <c r="G177" s="203" t="s">
        <v>156</v>
      </c>
      <c r="H177" s="202" t="s">
        <v>156</v>
      </c>
      <c r="I177" s="202" t="s">
        <v>156</v>
      </c>
      <c r="J177" s="202" t="s">
        <v>156</v>
      </c>
      <c r="K177" s="202" t="s">
        <v>156</v>
      </c>
      <c r="L177" s="202" t="s">
        <v>156</v>
      </c>
      <c r="M177" s="93"/>
      <c r="N177" s="219"/>
      <c r="O177" s="195"/>
      <c r="P177" s="104"/>
      <c r="Q177" s="327"/>
      <c r="R177" s="327"/>
      <c r="S177" s="197"/>
      <c r="T177" s="197"/>
      <c r="U177" s="197"/>
      <c r="V177" s="197"/>
      <c r="W177" s="197"/>
      <c r="X177" s="197"/>
      <c r="Y177" s="197"/>
      <c r="Z177" s="197"/>
      <c r="AA177" s="197"/>
      <c r="AB177" s="197"/>
      <c r="AC177" s="197"/>
    </row>
    <row r="178" spans="1:29" ht="24.75" customHeight="1">
      <c r="A178" s="192" t="s">
        <v>128</v>
      </c>
      <c r="B178" s="104"/>
      <c r="C178" s="328" t="s">
        <v>130</v>
      </c>
      <c r="D178" s="328"/>
      <c r="E178" s="328"/>
      <c r="F178" s="328"/>
      <c r="G178" s="328"/>
      <c r="H178" s="328"/>
      <c r="I178" s="328"/>
      <c r="J178" s="328"/>
      <c r="K178" s="328"/>
      <c r="L178" s="328"/>
      <c r="M178" s="89"/>
      <c r="N178" s="219"/>
      <c r="O178" s="198"/>
      <c r="P178" s="104"/>
      <c r="Q178" s="329"/>
      <c r="R178" s="329"/>
      <c r="S178" s="329"/>
      <c r="T178" s="329"/>
      <c r="U178" s="329"/>
      <c r="V178" s="329"/>
      <c r="W178" s="329"/>
      <c r="X178" s="329"/>
      <c r="Y178" s="329"/>
      <c r="Z178" s="329"/>
      <c r="AA178" s="329"/>
      <c r="AB178" s="329"/>
      <c r="AC178" s="329"/>
    </row>
    <row r="179" spans="1:29" ht="33" customHeight="1">
      <c r="A179" s="189">
        <v>21</v>
      </c>
      <c r="B179" s="188" t="s">
        <v>69</v>
      </c>
      <c r="C179" s="307" t="s">
        <v>82</v>
      </c>
      <c r="D179" s="308"/>
      <c r="E179" s="182"/>
      <c r="F179" s="191" t="s">
        <v>71</v>
      </c>
      <c r="G179" s="201">
        <v>58</v>
      </c>
      <c r="H179" s="201">
        <v>40</v>
      </c>
      <c r="I179" s="201">
        <v>21</v>
      </c>
      <c r="J179" s="201">
        <v>58</v>
      </c>
      <c r="K179" s="201">
        <v>40</v>
      </c>
      <c r="L179" s="201">
        <v>21</v>
      </c>
      <c r="M179" s="89"/>
      <c r="N179" s="219"/>
      <c r="O179" s="199"/>
      <c r="P179" s="200"/>
      <c r="Q179" s="309"/>
      <c r="R179" s="309"/>
      <c r="S179" s="86"/>
      <c r="T179" s="86"/>
      <c r="U179" s="86"/>
      <c r="V179" s="86"/>
      <c r="W179" s="86"/>
      <c r="X179" s="86"/>
      <c r="Y179" s="86"/>
      <c r="Z179" s="86"/>
      <c r="AA179" s="86"/>
      <c r="AB179" s="86"/>
      <c r="AC179" s="86"/>
    </row>
    <row r="180" spans="1:29" ht="33" customHeight="1">
      <c r="A180" s="189">
        <v>22</v>
      </c>
      <c r="B180" s="188" t="s">
        <v>69</v>
      </c>
      <c r="C180" s="307" t="s">
        <v>103</v>
      </c>
      <c r="D180" s="308"/>
      <c r="E180" s="179"/>
      <c r="F180" s="191" t="s">
        <v>71</v>
      </c>
      <c r="G180" s="201">
        <v>9</v>
      </c>
      <c r="H180" s="201">
        <v>9</v>
      </c>
      <c r="I180" s="201">
        <v>7</v>
      </c>
      <c r="J180" s="201">
        <v>9</v>
      </c>
      <c r="K180" s="201">
        <v>9</v>
      </c>
      <c r="L180" s="201">
        <v>7</v>
      </c>
      <c r="M180" s="89"/>
      <c r="N180" s="219"/>
      <c r="O180" s="199"/>
      <c r="P180" s="200"/>
      <c r="Q180" s="309"/>
      <c r="R180" s="309"/>
      <c r="S180" s="86"/>
      <c r="T180" s="86"/>
      <c r="U180" s="86"/>
      <c r="V180" s="86"/>
      <c r="W180" s="86"/>
      <c r="X180" s="86"/>
      <c r="Y180" s="86"/>
      <c r="Z180" s="86"/>
      <c r="AA180" s="86"/>
      <c r="AB180" s="86"/>
      <c r="AC180" s="86"/>
    </row>
    <row r="181" spans="1:29" ht="33" customHeight="1">
      <c r="A181" s="189">
        <v>23</v>
      </c>
      <c r="B181" s="188" t="s">
        <v>69</v>
      </c>
      <c r="C181" s="307" t="s">
        <v>104</v>
      </c>
      <c r="D181" s="308"/>
      <c r="E181" s="179"/>
      <c r="F181" s="191" t="s">
        <v>71</v>
      </c>
      <c r="G181" s="201">
        <v>5</v>
      </c>
      <c r="H181" s="201">
        <v>1</v>
      </c>
      <c r="I181" s="201">
        <v>1</v>
      </c>
      <c r="J181" s="201">
        <v>5</v>
      </c>
      <c r="K181" s="201">
        <v>1</v>
      </c>
      <c r="L181" s="201">
        <v>1</v>
      </c>
      <c r="M181" s="89"/>
      <c r="N181" s="219"/>
      <c r="O181" s="199"/>
      <c r="P181" s="200"/>
      <c r="Q181" s="309"/>
      <c r="R181" s="309"/>
      <c r="S181" s="86"/>
      <c r="T181" s="86"/>
      <c r="U181" s="86"/>
      <c r="V181" s="86"/>
      <c r="W181" s="86"/>
      <c r="X181" s="86"/>
      <c r="Y181" s="86"/>
      <c r="Z181" s="86"/>
      <c r="AA181" s="86"/>
      <c r="AB181" s="86"/>
      <c r="AC181" s="86"/>
    </row>
    <row r="182" spans="1:29" ht="49.5" customHeight="1">
      <c r="A182" s="317" t="s">
        <v>135</v>
      </c>
      <c r="B182" s="318"/>
      <c r="C182" s="317" t="s">
        <v>68</v>
      </c>
      <c r="D182" s="318"/>
      <c r="E182" s="183"/>
      <c r="F182" s="321" t="s">
        <v>136</v>
      </c>
      <c r="G182" s="322" t="s">
        <v>155</v>
      </c>
      <c r="H182" s="323"/>
      <c r="I182" s="323"/>
      <c r="J182" s="322" t="s">
        <v>154</v>
      </c>
      <c r="K182" s="323"/>
      <c r="L182" s="324"/>
      <c r="M182" s="92"/>
      <c r="O182" s="325"/>
      <c r="P182" s="325"/>
      <c r="Q182" s="325"/>
      <c r="R182" s="325"/>
      <c r="S182" s="316"/>
      <c r="T182" s="316"/>
      <c r="U182" s="316"/>
      <c r="V182" s="316"/>
      <c r="W182" s="316"/>
      <c r="X182" s="316"/>
      <c r="Y182" s="316"/>
      <c r="Z182" s="316"/>
      <c r="AA182" s="316"/>
      <c r="AB182" s="316"/>
      <c r="AC182" s="316"/>
    </row>
    <row r="183" spans="1:29" ht="125.25" customHeight="1">
      <c r="A183" s="319"/>
      <c r="B183" s="320"/>
      <c r="C183" s="319"/>
      <c r="D183" s="320"/>
      <c r="E183" s="184"/>
      <c r="F183" s="321"/>
      <c r="G183" s="153" t="s">
        <v>151</v>
      </c>
      <c r="H183" s="153" t="s">
        <v>152</v>
      </c>
      <c r="I183" s="153" t="s">
        <v>153</v>
      </c>
      <c r="J183" s="153" t="s">
        <v>151</v>
      </c>
      <c r="K183" s="153" t="s">
        <v>152</v>
      </c>
      <c r="L183" s="153" t="s">
        <v>153</v>
      </c>
      <c r="O183" s="325"/>
      <c r="P183" s="325"/>
      <c r="Q183" s="325"/>
      <c r="R183" s="325"/>
      <c r="S183" s="193"/>
      <c r="T183" s="193"/>
      <c r="U183" s="193"/>
      <c r="V183" s="193"/>
      <c r="W183" s="193"/>
      <c r="X183" s="193"/>
      <c r="Y183" s="193"/>
      <c r="Z183" s="193"/>
      <c r="AA183" s="193"/>
      <c r="AB183" s="193"/>
      <c r="AC183" s="193"/>
    </row>
    <row r="184" spans="1:29" ht="30" customHeight="1">
      <c r="A184" s="189">
        <v>24</v>
      </c>
      <c r="B184" s="188" t="s">
        <v>69</v>
      </c>
      <c r="C184" s="307" t="s">
        <v>131</v>
      </c>
      <c r="D184" s="308"/>
      <c r="E184" s="179"/>
      <c r="F184" s="191" t="s">
        <v>71</v>
      </c>
      <c r="G184" s="202" t="s">
        <v>156</v>
      </c>
      <c r="H184" s="202" t="s">
        <v>156</v>
      </c>
      <c r="I184" s="202" t="s">
        <v>156</v>
      </c>
      <c r="J184" s="202" t="s">
        <v>156</v>
      </c>
      <c r="K184" s="202" t="s">
        <v>156</v>
      </c>
      <c r="L184" s="202" t="s">
        <v>156</v>
      </c>
      <c r="M184" s="89"/>
      <c r="N184" s="219"/>
      <c r="O184" s="199"/>
      <c r="P184" s="200"/>
      <c r="Q184" s="309"/>
      <c r="R184" s="309"/>
      <c r="S184" s="86"/>
      <c r="T184" s="86"/>
      <c r="U184" s="86"/>
      <c r="V184" s="86"/>
      <c r="W184" s="86"/>
      <c r="X184" s="86"/>
      <c r="Y184" s="86"/>
      <c r="Z184" s="86"/>
      <c r="AA184" s="86"/>
      <c r="AB184" s="86"/>
      <c r="AC184" s="86"/>
    </row>
    <row r="185" spans="1:29" ht="30" customHeight="1">
      <c r="A185" s="189">
        <v>25</v>
      </c>
      <c r="B185" s="188" t="s">
        <v>69</v>
      </c>
      <c r="C185" s="307" t="s">
        <v>83</v>
      </c>
      <c r="D185" s="308"/>
      <c r="E185" s="179"/>
      <c r="F185" s="191" t="s">
        <v>71</v>
      </c>
      <c r="G185" s="201">
        <v>25</v>
      </c>
      <c r="H185" s="201">
        <v>40</v>
      </c>
      <c r="I185" s="201">
        <v>22</v>
      </c>
      <c r="J185" s="201">
        <v>25</v>
      </c>
      <c r="K185" s="201">
        <v>40</v>
      </c>
      <c r="L185" s="201">
        <v>22</v>
      </c>
      <c r="M185" s="89"/>
      <c r="N185" s="219"/>
      <c r="O185" s="199"/>
      <c r="P185" s="200"/>
      <c r="Q185" s="309"/>
      <c r="R185" s="309"/>
      <c r="S185" s="86"/>
      <c r="T185" s="86"/>
      <c r="U185" s="86"/>
      <c r="V185" s="86"/>
      <c r="W185" s="86"/>
      <c r="X185" s="86"/>
      <c r="Y185" s="86"/>
      <c r="Z185" s="86"/>
      <c r="AA185" s="86"/>
      <c r="AB185" s="86"/>
      <c r="AC185" s="86"/>
    </row>
    <row r="186" spans="1:29" ht="30" customHeight="1">
      <c r="A186" s="189">
        <v>26</v>
      </c>
      <c r="B186" s="188" t="s">
        <v>69</v>
      </c>
      <c r="C186" s="307" t="s">
        <v>84</v>
      </c>
      <c r="D186" s="308"/>
      <c r="E186" s="179"/>
      <c r="F186" s="191" t="s">
        <v>71</v>
      </c>
      <c r="G186" s="201">
        <v>5</v>
      </c>
      <c r="H186" s="202" t="s">
        <v>156</v>
      </c>
      <c r="I186" s="202" t="s">
        <v>156</v>
      </c>
      <c r="J186" s="201">
        <v>5</v>
      </c>
      <c r="K186" s="202" t="s">
        <v>156</v>
      </c>
      <c r="L186" s="202" t="s">
        <v>156</v>
      </c>
      <c r="M186" s="89"/>
      <c r="N186" s="219"/>
      <c r="O186" s="199"/>
      <c r="P186" s="200"/>
      <c r="Q186" s="309"/>
      <c r="R186" s="309"/>
      <c r="S186" s="86"/>
      <c r="T186" s="86"/>
      <c r="U186" s="86"/>
      <c r="V186" s="86"/>
      <c r="W186" s="86"/>
      <c r="X186" s="86"/>
      <c r="Y186" s="86"/>
      <c r="Z186" s="86"/>
      <c r="AA186" s="86"/>
      <c r="AB186" s="86"/>
      <c r="AC186" s="86"/>
    </row>
    <row r="187" spans="1:29" ht="30" customHeight="1">
      <c r="A187" s="189">
        <v>27</v>
      </c>
      <c r="B187" s="188" t="s">
        <v>69</v>
      </c>
      <c r="C187" s="307" t="s">
        <v>85</v>
      </c>
      <c r="D187" s="308"/>
      <c r="E187" s="179"/>
      <c r="F187" s="191" t="s">
        <v>71</v>
      </c>
      <c r="G187" s="201">
        <v>3</v>
      </c>
      <c r="H187" s="201">
        <v>1</v>
      </c>
      <c r="I187" s="201">
        <v>8</v>
      </c>
      <c r="J187" s="201">
        <v>3</v>
      </c>
      <c r="K187" s="201">
        <v>1</v>
      </c>
      <c r="L187" s="201">
        <v>8</v>
      </c>
      <c r="M187" s="89"/>
      <c r="N187" s="219"/>
      <c r="O187" s="199"/>
      <c r="P187" s="200"/>
      <c r="Q187" s="309"/>
      <c r="R187" s="309"/>
      <c r="S187" s="86"/>
      <c r="T187" s="86"/>
      <c r="U187" s="86"/>
      <c r="V187" s="86"/>
      <c r="W187" s="86"/>
      <c r="X187" s="86"/>
      <c r="Y187" s="86"/>
      <c r="Z187" s="86"/>
      <c r="AA187" s="86"/>
      <c r="AB187" s="86"/>
      <c r="AC187" s="86"/>
    </row>
    <row r="188" spans="1:29" ht="30" customHeight="1">
      <c r="A188" s="189">
        <v>28</v>
      </c>
      <c r="B188" s="188" t="s">
        <v>69</v>
      </c>
      <c r="C188" s="307" t="s">
        <v>132</v>
      </c>
      <c r="D188" s="308"/>
      <c r="E188" s="179"/>
      <c r="F188" s="191" t="s">
        <v>71</v>
      </c>
      <c r="G188" s="202" t="s">
        <v>156</v>
      </c>
      <c r="H188" s="202" t="s">
        <v>156</v>
      </c>
      <c r="I188" s="202" t="s">
        <v>156</v>
      </c>
      <c r="J188" s="202" t="s">
        <v>156</v>
      </c>
      <c r="K188" s="202" t="s">
        <v>156</v>
      </c>
      <c r="L188" s="202" t="s">
        <v>156</v>
      </c>
      <c r="M188" s="89"/>
      <c r="N188" s="219"/>
      <c r="O188" s="199"/>
      <c r="P188" s="200"/>
      <c r="Q188" s="309"/>
      <c r="R188" s="309"/>
      <c r="S188" s="86"/>
      <c r="T188" s="86"/>
      <c r="U188" s="86"/>
      <c r="V188" s="86"/>
      <c r="W188" s="86"/>
      <c r="X188" s="86"/>
      <c r="Y188" s="86"/>
      <c r="Z188" s="86"/>
      <c r="AA188" s="86"/>
      <c r="AB188" s="86"/>
      <c r="AC188" s="86"/>
    </row>
    <row r="189" spans="1:29" ht="30" customHeight="1">
      <c r="A189" s="189">
        <v>29</v>
      </c>
      <c r="B189" s="188" t="s">
        <v>69</v>
      </c>
      <c r="C189" s="307" t="s">
        <v>86</v>
      </c>
      <c r="D189" s="308"/>
      <c r="E189" s="179"/>
      <c r="F189" s="191" t="s">
        <v>71</v>
      </c>
      <c r="G189" s="201">
        <v>10</v>
      </c>
      <c r="H189" s="201">
        <v>12</v>
      </c>
      <c r="I189" s="201">
        <v>9</v>
      </c>
      <c r="J189" s="201">
        <v>10</v>
      </c>
      <c r="K189" s="201">
        <v>12</v>
      </c>
      <c r="L189" s="201">
        <v>9</v>
      </c>
      <c r="M189" s="89"/>
      <c r="N189" s="219"/>
      <c r="O189" s="199"/>
      <c r="P189" s="200"/>
      <c r="Q189" s="309"/>
      <c r="R189" s="309"/>
      <c r="S189" s="86"/>
      <c r="T189" s="86"/>
      <c r="U189" s="86"/>
      <c r="V189" s="86"/>
      <c r="W189" s="86"/>
      <c r="X189" s="86"/>
      <c r="Y189" s="86"/>
      <c r="Z189" s="86"/>
      <c r="AA189" s="86"/>
      <c r="AB189" s="86"/>
      <c r="AC189" s="86"/>
    </row>
    <row r="190" spans="1:29" ht="30" customHeight="1">
      <c r="A190" s="189">
        <v>30</v>
      </c>
      <c r="B190" s="188" t="s">
        <v>69</v>
      </c>
      <c r="C190" s="307" t="s">
        <v>87</v>
      </c>
      <c r="D190" s="308"/>
      <c r="E190" s="179"/>
      <c r="F190" s="191" t="s">
        <v>71</v>
      </c>
      <c r="G190" s="202" t="s">
        <v>156</v>
      </c>
      <c r="H190" s="202" t="s">
        <v>156</v>
      </c>
      <c r="I190" s="202" t="s">
        <v>156</v>
      </c>
      <c r="J190" s="202" t="s">
        <v>156</v>
      </c>
      <c r="K190" s="202" t="s">
        <v>156</v>
      </c>
      <c r="L190" s="202" t="s">
        <v>156</v>
      </c>
      <c r="M190" s="89"/>
      <c r="N190" s="219"/>
      <c r="O190" s="199"/>
      <c r="P190" s="200"/>
      <c r="Q190" s="309"/>
      <c r="R190" s="309"/>
      <c r="S190" s="86"/>
      <c r="T190" s="86"/>
      <c r="U190" s="86"/>
      <c r="V190" s="86"/>
      <c r="W190" s="86"/>
      <c r="X190" s="86"/>
      <c r="Y190" s="86"/>
      <c r="Z190" s="86"/>
      <c r="AA190" s="86"/>
      <c r="AB190" s="86"/>
      <c r="AC190" s="86"/>
    </row>
    <row r="191" spans="1:29" ht="30" customHeight="1">
      <c r="A191" s="189">
        <v>31</v>
      </c>
      <c r="B191" s="188" t="s">
        <v>69</v>
      </c>
      <c r="C191" s="307" t="s">
        <v>105</v>
      </c>
      <c r="D191" s="308"/>
      <c r="E191" s="179"/>
      <c r="F191" s="191" t="s">
        <v>71</v>
      </c>
      <c r="G191" s="201">
        <v>2</v>
      </c>
      <c r="H191" s="203" t="s">
        <v>156</v>
      </c>
      <c r="I191" s="201">
        <v>8</v>
      </c>
      <c r="J191" s="201">
        <v>2</v>
      </c>
      <c r="K191" s="203" t="s">
        <v>156</v>
      </c>
      <c r="L191" s="201">
        <v>8</v>
      </c>
      <c r="M191" s="89"/>
      <c r="N191" s="219"/>
      <c r="O191" s="199"/>
      <c r="P191" s="200"/>
      <c r="Q191" s="309"/>
      <c r="R191" s="309"/>
      <c r="S191" s="86"/>
      <c r="T191" s="86"/>
      <c r="U191" s="86"/>
      <c r="V191" s="86"/>
      <c r="W191" s="86"/>
      <c r="X191" s="86"/>
      <c r="Y191" s="86"/>
      <c r="Z191" s="86"/>
      <c r="AA191" s="86"/>
      <c r="AB191" s="86"/>
      <c r="AC191" s="86"/>
    </row>
    <row r="192" spans="1:29" ht="30" customHeight="1">
      <c r="A192" s="189">
        <v>32</v>
      </c>
      <c r="B192" s="188" t="s">
        <v>69</v>
      </c>
      <c r="C192" s="307" t="s">
        <v>133</v>
      </c>
      <c r="D192" s="308"/>
      <c r="E192" s="179"/>
      <c r="F192" s="191" t="s">
        <v>71</v>
      </c>
      <c r="G192" s="202" t="s">
        <v>156</v>
      </c>
      <c r="H192" s="202" t="s">
        <v>156</v>
      </c>
      <c r="I192" s="202" t="s">
        <v>156</v>
      </c>
      <c r="J192" s="202" t="s">
        <v>156</v>
      </c>
      <c r="K192" s="202" t="s">
        <v>156</v>
      </c>
      <c r="L192" s="202" t="s">
        <v>156</v>
      </c>
      <c r="M192" s="89"/>
      <c r="N192" s="219"/>
      <c r="O192" s="199"/>
      <c r="P192" s="200"/>
      <c r="Q192" s="309"/>
      <c r="R192" s="309"/>
      <c r="S192" s="86"/>
      <c r="T192" s="86"/>
      <c r="U192" s="86"/>
      <c r="V192" s="86"/>
      <c r="W192" s="86"/>
      <c r="X192" s="86"/>
      <c r="Y192" s="86"/>
      <c r="Z192" s="86"/>
      <c r="AA192" s="86"/>
      <c r="AB192" s="86"/>
      <c r="AC192" s="86"/>
    </row>
    <row r="193" spans="1:29" ht="30" customHeight="1">
      <c r="A193" s="189">
        <v>33</v>
      </c>
      <c r="B193" s="188" t="s">
        <v>69</v>
      </c>
      <c r="C193" s="307" t="s">
        <v>88</v>
      </c>
      <c r="D193" s="308"/>
      <c r="E193" s="179"/>
      <c r="F193" s="191" t="s">
        <v>71</v>
      </c>
      <c r="G193" s="201">
        <v>3</v>
      </c>
      <c r="H193" s="201">
        <v>7</v>
      </c>
      <c r="I193" s="201">
        <v>7</v>
      </c>
      <c r="J193" s="201">
        <v>3</v>
      </c>
      <c r="K193" s="201">
        <v>7</v>
      </c>
      <c r="L193" s="201">
        <v>7</v>
      </c>
      <c r="M193" s="89"/>
      <c r="N193" s="219"/>
      <c r="O193" s="199"/>
      <c r="P193" s="200"/>
      <c r="Q193" s="309"/>
      <c r="R193" s="309"/>
      <c r="S193" s="86"/>
      <c r="T193" s="86"/>
      <c r="U193" s="86"/>
      <c r="V193" s="86"/>
      <c r="W193" s="86"/>
      <c r="X193" s="86"/>
      <c r="Y193" s="86"/>
      <c r="Z193" s="86"/>
      <c r="AA193" s="86"/>
      <c r="AB193" s="86"/>
      <c r="AC193" s="86"/>
    </row>
    <row r="194" spans="1:29" ht="30" customHeight="1">
      <c r="A194" s="189">
        <v>34</v>
      </c>
      <c r="B194" s="188" t="s">
        <v>69</v>
      </c>
      <c r="C194" s="307" t="s">
        <v>89</v>
      </c>
      <c r="D194" s="308"/>
      <c r="E194" s="179"/>
      <c r="F194" s="191" t="s">
        <v>71</v>
      </c>
      <c r="G194" s="202" t="s">
        <v>156</v>
      </c>
      <c r="H194" s="202" t="s">
        <v>156</v>
      </c>
      <c r="I194" s="202" t="s">
        <v>156</v>
      </c>
      <c r="J194" s="202" t="s">
        <v>156</v>
      </c>
      <c r="K194" s="202" t="s">
        <v>156</v>
      </c>
      <c r="L194" s="202" t="s">
        <v>156</v>
      </c>
      <c r="M194" s="89"/>
      <c r="N194" s="219"/>
      <c r="O194" s="199"/>
      <c r="P194" s="200"/>
      <c r="Q194" s="309"/>
      <c r="R194" s="309"/>
      <c r="S194" s="86"/>
      <c r="T194" s="86"/>
      <c r="U194" s="86"/>
      <c r="V194" s="86"/>
      <c r="W194" s="86"/>
      <c r="X194" s="86"/>
      <c r="Y194" s="86"/>
      <c r="Z194" s="86"/>
      <c r="AA194" s="86"/>
      <c r="AB194" s="86"/>
      <c r="AC194" s="86"/>
    </row>
    <row r="195" spans="1:29" ht="30" customHeight="1">
      <c r="A195" s="189">
        <v>35</v>
      </c>
      <c r="B195" s="188" t="s">
        <v>69</v>
      </c>
      <c r="C195" s="307" t="s">
        <v>140</v>
      </c>
      <c r="D195" s="308"/>
      <c r="E195" s="179"/>
      <c r="F195" s="191" t="s">
        <v>71</v>
      </c>
      <c r="G195" s="202" t="s">
        <v>156</v>
      </c>
      <c r="H195" s="202" t="s">
        <v>156</v>
      </c>
      <c r="I195" s="201">
        <v>3</v>
      </c>
      <c r="J195" s="202" t="s">
        <v>156</v>
      </c>
      <c r="K195" s="202" t="s">
        <v>156</v>
      </c>
      <c r="L195" s="201">
        <v>3</v>
      </c>
      <c r="M195" s="89"/>
      <c r="N195" s="220"/>
      <c r="O195" s="199"/>
      <c r="P195" s="200"/>
      <c r="Q195" s="309"/>
      <c r="R195" s="309"/>
      <c r="S195" s="86"/>
      <c r="T195" s="86"/>
      <c r="U195" s="86"/>
      <c r="V195" s="86"/>
      <c r="W195" s="86"/>
      <c r="X195" s="86"/>
      <c r="Y195" s="86"/>
      <c r="Z195" s="86"/>
      <c r="AA195" s="86"/>
      <c r="AB195" s="86"/>
      <c r="AC195" s="86"/>
    </row>
    <row r="196" spans="1:29" ht="30" customHeight="1">
      <c r="A196" s="189">
        <v>36</v>
      </c>
      <c r="B196" s="188" t="s">
        <v>69</v>
      </c>
      <c r="C196" s="307" t="s">
        <v>134</v>
      </c>
      <c r="D196" s="308"/>
      <c r="E196" s="179"/>
      <c r="F196" s="191" t="s">
        <v>71</v>
      </c>
      <c r="G196" s="202" t="s">
        <v>156</v>
      </c>
      <c r="H196" s="202" t="s">
        <v>156</v>
      </c>
      <c r="I196" s="202" t="s">
        <v>156</v>
      </c>
      <c r="J196" s="202" t="s">
        <v>156</v>
      </c>
      <c r="K196" s="202" t="s">
        <v>156</v>
      </c>
      <c r="L196" s="202" t="s">
        <v>156</v>
      </c>
      <c r="M196" s="89"/>
      <c r="N196" s="220"/>
      <c r="O196" s="199"/>
      <c r="P196" s="200"/>
      <c r="Q196" s="309"/>
      <c r="R196" s="309"/>
      <c r="S196" s="86"/>
      <c r="T196" s="86"/>
      <c r="U196" s="86"/>
      <c r="V196" s="86"/>
      <c r="W196" s="86"/>
      <c r="X196" s="86"/>
      <c r="Y196" s="86"/>
      <c r="Z196" s="86"/>
      <c r="AA196" s="86"/>
      <c r="AB196" s="86"/>
      <c r="AC196" s="86"/>
    </row>
    <row r="197" spans="1:29" ht="30" customHeight="1">
      <c r="A197" s="189">
        <v>37</v>
      </c>
      <c r="B197" s="188" t="s">
        <v>69</v>
      </c>
      <c r="C197" s="307" t="s">
        <v>90</v>
      </c>
      <c r="D197" s="308"/>
      <c r="E197" s="179"/>
      <c r="F197" s="191" t="s">
        <v>71</v>
      </c>
      <c r="G197" s="202" t="s">
        <v>156</v>
      </c>
      <c r="H197" s="202" t="s">
        <v>156</v>
      </c>
      <c r="I197" s="202" t="s">
        <v>156</v>
      </c>
      <c r="J197" s="202" t="s">
        <v>156</v>
      </c>
      <c r="K197" s="202" t="s">
        <v>156</v>
      </c>
      <c r="L197" s="202" t="s">
        <v>156</v>
      </c>
      <c r="M197" s="89"/>
      <c r="N197" s="220"/>
      <c r="O197" s="199"/>
      <c r="P197" s="200"/>
      <c r="Q197" s="309"/>
      <c r="R197" s="309"/>
      <c r="S197" s="86"/>
      <c r="T197" s="86"/>
      <c r="U197" s="86"/>
      <c r="V197" s="86"/>
      <c r="W197" s="86"/>
      <c r="X197" s="86"/>
      <c r="Y197" s="86"/>
      <c r="Z197" s="86"/>
      <c r="AA197" s="86"/>
      <c r="AB197" s="86"/>
      <c r="AC197" s="86"/>
    </row>
    <row r="198" spans="1:29" ht="30" customHeight="1">
      <c r="A198" s="189">
        <v>38</v>
      </c>
      <c r="B198" s="188" t="s">
        <v>69</v>
      </c>
      <c r="C198" s="307" t="s">
        <v>106</v>
      </c>
      <c r="D198" s="308"/>
      <c r="E198" s="150"/>
      <c r="F198" s="191" t="s">
        <v>71</v>
      </c>
      <c r="G198" s="202" t="s">
        <v>156</v>
      </c>
      <c r="H198" s="202" t="s">
        <v>156</v>
      </c>
      <c r="I198" s="202" t="s">
        <v>156</v>
      </c>
      <c r="J198" s="202" t="s">
        <v>156</v>
      </c>
      <c r="K198" s="202" t="s">
        <v>156</v>
      </c>
      <c r="L198" s="202" t="s">
        <v>156</v>
      </c>
      <c r="M198" s="89"/>
      <c r="N198" s="220"/>
      <c r="O198" s="199"/>
      <c r="P198" s="200"/>
      <c r="Q198" s="309"/>
      <c r="R198" s="309"/>
      <c r="S198" s="86"/>
      <c r="T198" s="86"/>
      <c r="U198" s="86"/>
      <c r="V198" s="86"/>
      <c r="W198" s="86"/>
      <c r="X198" s="86"/>
      <c r="Y198" s="86"/>
      <c r="Z198" s="86"/>
      <c r="AA198" s="86"/>
      <c r="AB198" s="86"/>
      <c r="AC198" s="86"/>
    </row>
    <row r="199" spans="1:29" ht="25.5" customHeight="1">
      <c r="A199" s="310" t="s">
        <v>92</v>
      </c>
      <c r="B199" s="310"/>
      <c r="C199" s="310"/>
      <c r="D199" s="310"/>
      <c r="E199" s="310"/>
      <c r="F199" s="310"/>
      <c r="G199" s="310"/>
      <c r="H199" s="310"/>
      <c r="I199" s="310"/>
      <c r="J199" s="310"/>
      <c r="K199" s="310"/>
      <c r="L199" s="310"/>
      <c r="M199" s="92"/>
    </row>
    <row r="200" spans="1:29" ht="19.5" customHeight="1">
      <c r="A200" s="139"/>
      <c r="B200" s="139"/>
      <c r="C200" s="140"/>
      <c r="D200" s="140" t="s">
        <v>145</v>
      </c>
      <c r="E200" s="140"/>
      <c r="F200" s="152" t="s">
        <v>54</v>
      </c>
      <c r="G200" s="152"/>
      <c r="H200" s="152"/>
      <c r="I200" s="152"/>
      <c r="J200" s="152" t="s">
        <v>144</v>
      </c>
      <c r="K200" s="152"/>
      <c r="L200" s="140"/>
      <c r="M200" s="94"/>
    </row>
    <row r="201" spans="1:29" ht="28.5" customHeight="1">
      <c r="A201" s="310" t="s">
        <v>93</v>
      </c>
      <c r="B201" s="310"/>
      <c r="C201" s="310"/>
      <c r="D201" s="310"/>
      <c r="E201" s="310"/>
      <c r="F201" s="310"/>
      <c r="G201" s="310"/>
      <c r="H201" s="310"/>
      <c r="I201" s="310"/>
      <c r="J201" s="310"/>
      <c r="K201" s="310"/>
      <c r="L201" s="310"/>
      <c r="M201" s="92"/>
      <c r="N201" s="311"/>
      <c r="O201" s="311"/>
      <c r="P201" s="311"/>
    </row>
    <row r="202" spans="1:29" ht="20.25" customHeight="1">
      <c r="A202" s="139"/>
      <c r="B202" s="139"/>
      <c r="C202" s="139"/>
      <c r="D202" s="140" t="s">
        <v>145</v>
      </c>
      <c r="E202" s="140"/>
      <c r="F202" s="152" t="s">
        <v>54</v>
      </c>
      <c r="G202" s="152"/>
      <c r="H202" s="152"/>
      <c r="I202" s="152"/>
      <c r="J202" s="152" t="s">
        <v>144</v>
      </c>
      <c r="K202" s="152"/>
      <c r="L202" s="139"/>
      <c r="M202" s="94"/>
      <c r="N202" s="221"/>
      <c r="O202" s="95"/>
      <c r="P202" s="95"/>
    </row>
    <row r="203" spans="1:29" ht="26.25" customHeight="1">
      <c r="A203" s="312" t="s">
        <v>94</v>
      </c>
      <c r="B203" s="312"/>
      <c r="C203" s="312"/>
      <c r="D203" s="312"/>
      <c r="E203" s="312"/>
      <c r="F203" s="312"/>
      <c r="G203" s="312"/>
      <c r="H203" s="312"/>
      <c r="I203" s="312"/>
      <c r="J203" s="312"/>
      <c r="K203" s="312"/>
      <c r="L203" s="312"/>
      <c r="M203" s="92"/>
    </row>
    <row r="204" spans="1:29" ht="22.5" customHeight="1">
      <c r="A204" s="120"/>
      <c r="B204" s="120"/>
      <c r="C204" s="120"/>
      <c r="D204" s="120"/>
      <c r="E204" s="120"/>
      <c r="F204" s="120"/>
      <c r="G204" s="120"/>
      <c r="H204" s="120"/>
      <c r="I204" s="120"/>
      <c r="J204" s="120"/>
      <c r="K204" s="120"/>
      <c r="L204" s="120"/>
      <c r="M204" s="94"/>
    </row>
    <row r="205" spans="1:29" ht="22.5" customHeight="1">
      <c r="A205" s="313" t="s">
        <v>95</v>
      </c>
      <c r="B205" s="313"/>
      <c r="C205" s="313"/>
      <c r="D205" s="313"/>
      <c r="E205" s="313"/>
      <c r="F205" s="313"/>
      <c r="G205" s="313"/>
      <c r="H205" s="313"/>
      <c r="I205" s="313"/>
      <c r="J205" s="313"/>
      <c r="K205" s="313"/>
      <c r="L205" s="313"/>
      <c r="M205" s="92"/>
    </row>
    <row r="206" spans="1:29" ht="19.5" customHeight="1">
      <c r="A206" s="97"/>
      <c r="B206" s="97"/>
      <c r="C206" s="145"/>
      <c r="D206" s="97"/>
      <c r="E206" s="97"/>
      <c r="F206" s="97"/>
      <c r="G206" s="97"/>
      <c r="H206" s="97"/>
      <c r="I206" s="97"/>
      <c r="J206" s="97"/>
      <c r="K206" s="97"/>
      <c r="L206" s="97"/>
      <c r="M206" s="94"/>
    </row>
    <row r="207" spans="1:29" ht="15.75">
      <c r="A207" s="94"/>
      <c r="B207" s="94"/>
      <c r="C207" s="146"/>
      <c r="D207" s="94"/>
      <c r="E207" s="94"/>
      <c r="F207" s="94"/>
      <c r="G207" s="94"/>
      <c r="H207" s="94"/>
      <c r="I207" s="94"/>
      <c r="J207" s="94"/>
      <c r="K207" s="94"/>
      <c r="L207" s="94"/>
      <c r="M207" s="94"/>
    </row>
    <row r="208" spans="1:29" ht="31.5" customHeight="1">
      <c r="A208" s="314" t="s">
        <v>96</v>
      </c>
      <c r="B208" s="314"/>
      <c r="C208" s="314"/>
      <c r="D208" s="314"/>
      <c r="E208" s="98"/>
      <c r="F208" s="98"/>
      <c r="G208" s="98"/>
      <c r="H208" s="315" t="s">
        <v>97</v>
      </c>
      <c r="I208" s="315"/>
      <c r="J208" s="315"/>
      <c r="K208" s="315"/>
      <c r="L208" s="315"/>
      <c r="M208" s="94"/>
    </row>
    <row r="209" spans="1:29" ht="95.1" customHeight="1">
      <c r="A209" s="99"/>
      <c r="B209" s="101" t="str">
        <f>B139</f>
        <v>Ông Huỳnh Phước Hải        ….............</v>
      </c>
      <c r="C209" s="147"/>
      <c r="D209" s="99"/>
      <c r="E209" s="81"/>
      <c r="F209" s="100"/>
      <c r="G209" s="100"/>
      <c r="H209" s="306" t="str">
        <f>H139</f>
        <v>Ông Phạm Tấn Việt          …..................</v>
      </c>
      <c r="I209" s="306"/>
      <c r="J209" s="306"/>
      <c r="K209" s="306"/>
      <c r="L209" s="306"/>
      <c r="M209" s="94"/>
    </row>
    <row r="210" spans="1:29" ht="21.75" customHeight="1">
      <c r="A210" s="348" t="s">
        <v>165</v>
      </c>
      <c r="B210" s="348"/>
      <c r="C210" s="348"/>
      <c r="D210" s="348"/>
      <c r="E210" s="348"/>
      <c r="F210" s="348"/>
      <c r="G210" s="348"/>
      <c r="H210" s="348"/>
      <c r="I210" s="348"/>
      <c r="J210" s="348"/>
      <c r="K210" s="348"/>
      <c r="L210" s="348"/>
      <c r="M210" s="82"/>
    </row>
    <row r="211" spans="1:29" ht="19.5">
      <c r="A211" s="84" t="str">
        <f>"Ngày "&amp;N212&amp;" tháng "&amp;O3&amp;" năm "&amp;P3&amp;""</f>
        <v>Ngày 04 tháng 07 năm 2026</v>
      </c>
      <c r="B211" s="84"/>
      <c r="C211" s="85"/>
      <c r="N211" s="216"/>
      <c r="O211" s="20"/>
      <c r="P211" s="20"/>
    </row>
    <row r="212" spans="1:29" ht="16.5">
      <c r="A212" s="337" t="s">
        <v>57</v>
      </c>
      <c r="B212" s="337"/>
      <c r="C212" s="337"/>
      <c r="D212" s="311"/>
      <c r="E212" s="311"/>
      <c r="F212" s="311"/>
      <c r="G212" s="95"/>
      <c r="H212" s="95"/>
      <c r="I212" s="95"/>
      <c r="J212" s="95"/>
      <c r="K212" s="95"/>
      <c r="L212" s="95"/>
      <c r="N212" s="217" t="s">
        <v>167</v>
      </c>
      <c r="O212" s="214"/>
      <c r="P212" s="17"/>
    </row>
    <row r="213" spans="1:29" ht="15.75" customHeight="1">
      <c r="A213" s="338"/>
      <c r="B213" s="338"/>
      <c r="C213" s="338"/>
      <c r="D213" s="339" t="s">
        <v>58</v>
      </c>
      <c r="E213" s="340"/>
      <c r="F213" s="340"/>
      <c r="G213" s="340"/>
      <c r="H213" s="341"/>
      <c r="I213" s="339" t="s">
        <v>59</v>
      </c>
      <c r="J213" s="340"/>
      <c r="K213" s="340"/>
      <c r="L213" s="341"/>
    </row>
    <row r="214" spans="1:29" ht="19.5" customHeight="1">
      <c r="A214" s="342" t="s">
        <v>60</v>
      </c>
      <c r="B214" s="342"/>
      <c r="C214" s="342"/>
      <c r="D214" s="343" t="s">
        <v>54</v>
      </c>
      <c r="E214" s="344"/>
      <c r="F214" s="344"/>
      <c r="G214" s="344"/>
      <c r="H214" s="345"/>
      <c r="I214" s="343" t="s">
        <v>54</v>
      </c>
      <c r="J214" s="344"/>
      <c r="K214" s="344"/>
      <c r="L214" s="345"/>
    </row>
    <row r="215" spans="1:29" ht="22.5" customHeight="1">
      <c r="A215" s="342" t="s">
        <v>61</v>
      </c>
      <c r="B215" s="342"/>
      <c r="C215" s="342"/>
      <c r="D215" s="343" t="s">
        <v>163</v>
      </c>
      <c r="E215" s="344"/>
      <c r="F215" s="344"/>
      <c r="G215" s="344"/>
      <c r="H215" s="345"/>
      <c r="I215" s="343" t="str">
        <f>D215</f>
        <v>31° - 34°</v>
      </c>
      <c r="J215" s="344"/>
      <c r="K215" s="344"/>
      <c r="L215" s="345"/>
    </row>
    <row r="216" spans="1:29" s="87" customFormat="1" ht="19.5" customHeight="1">
      <c r="A216" s="310" t="s">
        <v>62</v>
      </c>
      <c r="B216" s="310"/>
      <c r="C216" s="310"/>
      <c r="D216" s="310"/>
      <c r="E216" s="310"/>
      <c r="F216" s="310"/>
      <c r="G216" s="310"/>
      <c r="H216" s="310"/>
      <c r="I216" s="310"/>
      <c r="J216" s="310"/>
      <c r="K216" s="310"/>
      <c r="L216" s="310"/>
      <c r="M216" s="85"/>
      <c r="N216" s="218"/>
    </row>
    <row r="217" spans="1:29" s="87" customFormat="1" ht="15.75">
      <c r="A217" s="332" t="s">
        <v>63</v>
      </c>
      <c r="B217" s="332"/>
      <c r="C217" s="332"/>
      <c r="D217" s="332"/>
      <c r="E217" s="332"/>
      <c r="F217" s="332"/>
      <c r="G217" s="332"/>
      <c r="H217" s="332"/>
      <c r="I217" s="332"/>
      <c r="J217" s="332"/>
      <c r="K217" s="332"/>
      <c r="L217" s="332"/>
      <c r="M217" s="85"/>
      <c r="N217" s="218"/>
    </row>
    <row r="218" spans="1:29" s="87" customFormat="1" ht="20.100000000000001" customHeight="1">
      <c r="A218" s="88"/>
      <c r="B218" s="88"/>
      <c r="C218" s="333" t="s">
        <v>64</v>
      </c>
      <c r="D218" s="334"/>
      <c r="E218" s="334"/>
      <c r="F218" s="334"/>
      <c r="G218" s="334"/>
      <c r="H218" s="334"/>
      <c r="I218" s="334"/>
      <c r="J218" s="334"/>
      <c r="K218" s="334"/>
      <c r="L218" s="334"/>
      <c r="M218" s="85"/>
      <c r="N218" s="218"/>
    </row>
    <row r="219" spans="1:29" s="87" customFormat="1" ht="20.100000000000001" customHeight="1">
      <c r="A219" s="88"/>
      <c r="B219" s="88"/>
      <c r="C219" s="333" t="s">
        <v>65</v>
      </c>
      <c r="D219" s="334"/>
      <c r="E219" s="334"/>
      <c r="F219" s="334"/>
      <c r="G219" s="334"/>
      <c r="H219" s="334"/>
      <c r="I219" s="334"/>
      <c r="J219" s="334"/>
      <c r="K219" s="334"/>
      <c r="L219" s="334"/>
      <c r="M219" s="85"/>
      <c r="N219" s="218"/>
    </row>
    <row r="220" spans="1:29" s="87" customFormat="1" ht="17.25" customHeight="1">
      <c r="A220" s="335" t="s">
        <v>66</v>
      </c>
      <c r="B220" s="335"/>
      <c r="C220" s="335"/>
      <c r="D220" s="335"/>
      <c r="E220" s="335"/>
      <c r="F220" s="335"/>
      <c r="G220" s="335"/>
      <c r="H220" s="335"/>
      <c r="I220" s="335"/>
      <c r="J220" s="335"/>
      <c r="K220" s="335"/>
      <c r="L220" s="335"/>
      <c r="M220" s="85"/>
      <c r="N220" s="218"/>
    </row>
    <row r="221" spans="1:29" s="87" customFormat="1" ht="7.5" customHeight="1">
      <c r="A221" s="119"/>
      <c r="B221" s="119"/>
      <c r="C221" s="119"/>
      <c r="D221" s="119"/>
      <c r="E221" s="119"/>
      <c r="F221" s="119"/>
      <c r="G221" s="119"/>
      <c r="H221" s="119"/>
      <c r="I221" s="119"/>
      <c r="J221" s="119"/>
      <c r="K221" s="119"/>
      <c r="L221" s="119"/>
      <c r="M221" s="85"/>
      <c r="N221" s="218"/>
    </row>
    <row r="222" spans="1:29" ht="15.75">
      <c r="A222" s="336" t="s">
        <v>67</v>
      </c>
      <c r="B222" s="336"/>
      <c r="C222" s="336"/>
      <c r="D222" s="336"/>
      <c r="E222" s="336"/>
      <c r="F222" s="336"/>
      <c r="G222" s="336"/>
      <c r="H222" s="336"/>
      <c r="I222" s="336"/>
      <c r="J222" s="336"/>
      <c r="K222" s="336"/>
      <c r="L222" s="336"/>
    </row>
    <row r="223" spans="1:29" ht="2.25" customHeight="1">
      <c r="A223" s="141"/>
      <c r="B223" s="141"/>
      <c r="C223" s="141"/>
      <c r="D223" s="141"/>
      <c r="E223" s="141"/>
      <c r="F223" s="141"/>
      <c r="G223" s="155"/>
      <c r="H223" s="155"/>
      <c r="I223" s="155"/>
      <c r="J223" s="155"/>
      <c r="K223" s="155"/>
      <c r="L223" s="155"/>
    </row>
    <row r="224" spans="1:29" ht="27.75" customHeight="1">
      <c r="A224" s="317" t="s">
        <v>135</v>
      </c>
      <c r="B224" s="318"/>
      <c r="C224" s="317" t="s">
        <v>68</v>
      </c>
      <c r="D224" s="318"/>
      <c r="E224" s="183"/>
      <c r="F224" s="321" t="s">
        <v>136</v>
      </c>
      <c r="G224" s="322" t="s">
        <v>155</v>
      </c>
      <c r="H224" s="323"/>
      <c r="I224" s="323"/>
      <c r="J224" s="322" t="s">
        <v>154</v>
      </c>
      <c r="K224" s="323"/>
      <c r="L224" s="324"/>
      <c r="M224" s="92"/>
      <c r="O224" s="325"/>
      <c r="P224" s="325"/>
      <c r="Q224" s="325"/>
      <c r="R224" s="325"/>
      <c r="S224" s="316"/>
      <c r="T224" s="316"/>
      <c r="U224" s="316"/>
      <c r="V224" s="316"/>
      <c r="W224" s="316"/>
      <c r="X224" s="316"/>
      <c r="Y224" s="316"/>
      <c r="Z224" s="316"/>
      <c r="AA224" s="316"/>
      <c r="AB224" s="316"/>
      <c r="AC224" s="316"/>
    </row>
    <row r="225" spans="1:29" ht="125.25" customHeight="1">
      <c r="A225" s="319"/>
      <c r="B225" s="320"/>
      <c r="C225" s="319"/>
      <c r="D225" s="320"/>
      <c r="E225" s="184"/>
      <c r="F225" s="321"/>
      <c r="G225" s="153" t="s">
        <v>151</v>
      </c>
      <c r="H225" s="153" t="s">
        <v>152</v>
      </c>
      <c r="I225" s="153" t="s">
        <v>153</v>
      </c>
      <c r="J225" s="153" t="s">
        <v>151</v>
      </c>
      <c r="K225" s="153" t="s">
        <v>152</v>
      </c>
      <c r="L225" s="153" t="s">
        <v>153</v>
      </c>
      <c r="O225" s="325"/>
      <c r="P225" s="325"/>
      <c r="Q225" s="325"/>
      <c r="R225" s="325"/>
      <c r="S225" s="193"/>
      <c r="T225" s="193"/>
      <c r="U225" s="193"/>
      <c r="V225" s="193"/>
      <c r="W225" s="193"/>
      <c r="X225" s="193"/>
      <c r="Y225" s="193"/>
      <c r="Z225" s="193"/>
      <c r="AA225" s="193"/>
      <c r="AB225" s="193"/>
      <c r="AC225" s="193"/>
    </row>
    <row r="226" spans="1:29" ht="24.75" customHeight="1">
      <c r="A226" s="190" t="s">
        <v>128</v>
      </c>
      <c r="B226" s="142"/>
      <c r="C226" s="330" t="s">
        <v>129</v>
      </c>
      <c r="D226" s="330"/>
      <c r="E226" s="330"/>
      <c r="F226" s="330"/>
      <c r="G226" s="330"/>
      <c r="H226" s="330"/>
      <c r="I226" s="330"/>
      <c r="J226" s="330"/>
      <c r="K226" s="330"/>
      <c r="L226" s="330"/>
      <c r="M226" s="93"/>
      <c r="O226" s="156"/>
      <c r="P226" s="142"/>
      <c r="Q226" s="331"/>
      <c r="R226" s="331"/>
      <c r="S226" s="331"/>
      <c r="T226" s="331"/>
      <c r="U226" s="331"/>
      <c r="V226" s="331"/>
      <c r="W226" s="331"/>
      <c r="X226" s="331"/>
      <c r="Y226" s="331"/>
      <c r="Z226" s="331"/>
      <c r="AA226" s="331"/>
      <c r="AB226" s="331"/>
      <c r="AC226" s="331"/>
    </row>
    <row r="227" spans="1:29" ht="20.100000000000001" customHeight="1">
      <c r="A227" s="187">
        <v>1</v>
      </c>
      <c r="B227" s="185" t="s">
        <v>69</v>
      </c>
      <c r="C227" s="326" t="s">
        <v>70</v>
      </c>
      <c r="D227" s="326"/>
      <c r="E227" s="176"/>
      <c r="F227" s="144" t="s">
        <v>71</v>
      </c>
      <c r="G227" s="203" t="s">
        <v>156</v>
      </c>
      <c r="H227" s="202" t="s">
        <v>156</v>
      </c>
      <c r="I227" s="201">
        <v>1</v>
      </c>
      <c r="J227" s="202" t="s">
        <v>156</v>
      </c>
      <c r="K227" s="202" t="s">
        <v>156</v>
      </c>
      <c r="L227" s="201">
        <v>1</v>
      </c>
      <c r="M227" s="93"/>
      <c r="O227" s="195"/>
      <c r="P227" s="196"/>
      <c r="Q227" s="327"/>
      <c r="R227" s="327"/>
      <c r="S227" s="86"/>
      <c r="T227" s="86"/>
      <c r="U227" s="86"/>
      <c r="V227" s="86"/>
      <c r="W227" s="194"/>
      <c r="X227" s="194"/>
      <c r="Y227" s="194"/>
      <c r="Z227" s="194"/>
      <c r="AA227" s="194"/>
      <c r="AB227" s="194"/>
      <c r="AC227" s="194"/>
    </row>
    <row r="228" spans="1:29" ht="20.100000000000001" customHeight="1">
      <c r="A228" s="187">
        <v>2</v>
      </c>
      <c r="B228" s="185" t="s">
        <v>69</v>
      </c>
      <c r="C228" s="326" t="s">
        <v>72</v>
      </c>
      <c r="D228" s="326"/>
      <c r="E228" s="176"/>
      <c r="F228" s="144" t="s">
        <v>71</v>
      </c>
      <c r="G228" s="203" t="s">
        <v>156</v>
      </c>
      <c r="H228" s="202" t="s">
        <v>156</v>
      </c>
      <c r="I228" s="202" t="s">
        <v>156</v>
      </c>
      <c r="J228" s="202" t="s">
        <v>156</v>
      </c>
      <c r="K228" s="202" t="s">
        <v>156</v>
      </c>
      <c r="L228" s="202" t="s">
        <v>156</v>
      </c>
      <c r="M228" s="93"/>
      <c r="O228" s="195"/>
      <c r="P228" s="196"/>
      <c r="Q228" s="327"/>
      <c r="R228" s="327"/>
      <c r="S228" s="194"/>
      <c r="T228" s="194"/>
      <c r="U228" s="194"/>
      <c r="V228" s="86"/>
      <c r="W228" s="86"/>
      <c r="X228" s="86"/>
      <c r="Y228" s="86"/>
      <c r="Z228" s="194"/>
      <c r="AA228" s="194"/>
      <c r="AB228" s="194"/>
      <c r="AC228" s="194"/>
    </row>
    <row r="229" spans="1:29" ht="20.100000000000001" customHeight="1">
      <c r="A229" s="187">
        <v>3</v>
      </c>
      <c r="B229" s="185" t="s">
        <v>69</v>
      </c>
      <c r="C229" s="326" t="s">
        <v>73</v>
      </c>
      <c r="D229" s="326"/>
      <c r="E229" s="176"/>
      <c r="F229" s="144" t="s">
        <v>71</v>
      </c>
      <c r="G229" s="203" t="s">
        <v>156</v>
      </c>
      <c r="H229" s="202" t="s">
        <v>156</v>
      </c>
      <c r="I229" s="202" t="s">
        <v>156</v>
      </c>
      <c r="J229" s="202" t="s">
        <v>156</v>
      </c>
      <c r="K229" s="202" t="s">
        <v>156</v>
      </c>
      <c r="L229" s="202" t="s">
        <v>156</v>
      </c>
      <c r="M229" s="93"/>
      <c r="O229" s="195"/>
      <c r="P229" s="196"/>
      <c r="Q229" s="327"/>
      <c r="R229" s="327"/>
      <c r="S229" s="194"/>
      <c r="T229" s="86"/>
      <c r="U229" s="86"/>
      <c r="V229" s="86"/>
      <c r="W229" s="86"/>
      <c r="X229" s="194"/>
      <c r="Y229" s="194"/>
      <c r="Z229" s="194"/>
      <c r="AA229" s="194"/>
      <c r="AB229" s="194"/>
      <c r="AC229" s="194"/>
    </row>
    <row r="230" spans="1:29" ht="20.100000000000001" customHeight="1">
      <c r="A230" s="187">
        <v>4</v>
      </c>
      <c r="B230" s="185" t="s">
        <v>69</v>
      </c>
      <c r="C230" s="326" t="s">
        <v>98</v>
      </c>
      <c r="D230" s="326"/>
      <c r="E230" s="176"/>
      <c r="F230" s="144" t="s">
        <v>71</v>
      </c>
      <c r="G230" s="203" t="s">
        <v>156</v>
      </c>
      <c r="H230" s="202" t="s">
        <v>156</v>
      </c>
      <c r="I230" s="202" t="s">
        <v>156</v>
      </c>
      <c r="J230" s="202" t="s">
        <v>156</v>
      </c>
      <c r="K230" s="202" t="s">
        <v>156</v>
      </c>
      <c r="L230" s="202" t="s">
        <v>156</v>
      </c>
      <c r="M230" s="93"/>
      <c r="O230" s="195"/>
      <c r="P230" s="196"/>
      <c r="Q230" s="327"/>
      <c r="R230" s="327"/>
      <c r="S230" s="194"/>
      <c r="T230" s="194"/>
      <c r="U230" s="194"/>
      <c r="V230" s="194"/>
      <c r="W230" s="194"/>
      <c r="X230" s="194"/>
      <c r="Y230" s="194"/>
      <c r="Z230" s="86"/>
      <c r="AA230" s="86"/>
      <c r="AB230" s="86"/>
      <c r="AC230" s="86"/>
    </row>
    <row r="231" spans="1:29" ht="20.100000000000001" customHeight="1">
      <c r="A231" s="187">
        <v>5</v>
      </c>
      <c r="B231" s="185" t="s">
        <v>69</v>
      </c>
      <c r="C231" s="326" t="s">
        <v>74</v>
      </c>
      <c r="D231" s="326"/>
      <c r="E231" s="176"/>
      <c r="F231" s="144" t="s">
        <v>71</v>
      </c>
      <c r="G231" s="203" t="s">
        <v>156</v>
      </c>
      <c r="H231" s="202" t="s">
        <v>156</v>
      </c>
      <c r="I231" s="202" t="s">
        <v>156</v>
      </c>
      <c r="J231" s="202" t="s">
        <v>156</v>
      </c>
      <c r="K231" s="202" t="s">
        <v>156</v>
      </c>
      <c r="L231" s="202" t="s">
        <v>156</v>
      </c>
      <c r="M231" s="93"/>
      <c r="O231" s="195"/>
      <c r="P231" s="196"/>
      <c r="Q231" s="327"/>
      <c r="R231" s="327"/>
      <c r="S231" s="194"/>
      <c r="T231" s="194"/>
      <c r="U231" s="194"/>
      <c r="V231" s="194"/>
      <c r="W231" s="194"/>
      <c r="X231" s="194"/>
      <c r="Y231" s="194"/>
      <c r="Z231" s="194"/>
      <c r="AA231" s="194"/>
      <c r="AB231" s="194"/>
      <c r="AC231" s="194"/>
    </row>
    <row r="232" spans="1:29" ht="20.100000000000001" customHeight="1">
      <c r="A232" s="187">
        <v>6</v>
      </c>
      <c r="B232" s="185" t="s">
        <v>69</v>
      </c>
      <c r="C232" s="326" t="s">
        <v>75</v>
      </c>
      <c r="D232" s="326"/>
      <c r="E232" s="176"/>
      <c r="F232" s="144" t="s">
        <v>71</v>
      </c>
      <c r="G232" s="203" t="s">
        <v>156</v>
      </c>
      <c r="H232" s="202" t="s">
        <v>156</v>
      </c>
      <c r="I232" s="202" t="s">
        <v>156</v>
      </c>
      <c r="J232" s="202" t="s">
        <v>156</v>
      </c>
      <c r="K232" s="202" t="s">
        <v>156</v>
      </c>
      <c r="L232" s="202" t="s">
        <v>156</v>
      </c>
      <c r="M232" s="93"/>
      <c r="O232" s="195"/>
      <c r="P232" s="196"/>
      <c r="Q232" s="327"/>
      <c r="R232" s="327"/>
      <c r="S232" s="194"/>
      <c r="T232" s="194"/>
      <c r="U232" s="194"/>
      <c r="V232" s="194"/>
      <c r="W232" s="194"/>
      <c r="X232" s="194"/>
      <c r="Y232" s="194"/>
      <c r="Z232" s="194"/>
      <c r="AA232" s="194"/>
      <c r="AB232" s="194"/>
      <c r="AC232" s="194"/>
    </row>
    <row r="233" spans="1:29" ht="20.100000000000001" customHeight="1">
      <c r="A233" s="187">
        <v>7</v>
      </c>
      <c r="B233" s="185" t="s">
        <v>69</v>
      </c>
      <c r="C233" s="326" t="s">
        <v>76</v>
      </c>
      <c r="D233" s="326"/>
      <c r="E233" s="176"/>
      <c r="F233" s="144" t="s">
        <v>71</v>
      </c>
      <c r="G233" s="203" t="s">
        <v>156</v>
      </c>
      <c r="H233" s="202" t="s">
        <v>156</v>
      </c>
      <c r="I233" s="202" t="s">
        <v>156</v>
      </c>
      <c r="J233" s="202" t="s">
        <v>156</v>
      </c>
      <c r="K233" s="202" t="s">
        <v>156</v>
      </c>
      <c r="L233" s="202" t="s">
        <v>156</v>
      </c>
      <c r="M233" s="93"/>
      <c r="O233" s="195"/>
      <c r="P233" s="196"/>
      <c r="Q233" s="327"/>
      <c r="R233" s="327"/>
      <c r="S233" s="194"/>
      <c r="T233" s="194"/>
      <c r="U233" s="194"/>
      <c r="V233" s="194"/>
      <c r="W233" s="194"/>
      <c r="X233" s="194"/>
      <c r="Y233" s="194"/>
      <c r="Z233" s="194"/>
      <c r="AA233" s="194"/>
      <c r="AB233" s="194"/>
      <c r="AC233" s="194"/>
    </row>
    <row r="234" spans="1:29" ht="20.100000000000001" customHeight="1">
      <c r="A234" s="187">
        <v>8</v>
      </c>
      <c r="B234" s="185" t="s">
        <v>69</v>
      </c>
      <c r="C234" s="326" t="s">
        <v>99</v>
      </c>
      <c r="D234" s="326"/>
      <c r="E234" s="176"/>
      <c r="F234" s="144" t="s">
        <v>71</v>
      </c>
      <c r="G234" s="203" t="s">
        <v>156</v>
      </c>
      <c r="H234" s="202" t="s">
        <v>156</v>
      </c>
      <c r="I234" s="202" t="s">
        <v>156</v>
      </c>
      <c r="J234" s="202" t="s">
        <v>156</v>
      </c>
      <c r="K234" s="202" t="s">
        <v>156</v>
      </c>
      <c r="L234" s="202" t="s">
        <v>156</v>
      </c>
      <c r="M234" s="93"/>
      <c r="O234" s="195"/>
      <c r="P234" s="196"/>
      <c r="Q234" s="327"/>
      <c r="R234" s="327"/>
      <c r="S234" s="194"/>
      <c r="T234" s="194"/>
      <c r="U234" s="194"/>
      <c r="V234" s="194"/>
      <c r="W234" s="194"/>
      <c r="X234" s="194"/>
      <c r="Y234" s="194"/>
      <c r="Z234" s="194"/>
      <c r="AA234" s="194"/>
      <c r="AB234" s="194"/>
      <c r="AC234" s="194"/>
    </row>
    <row r="235" spans="1:29" ht="20.100000000000001" customHeight="1">
      <c r="A235" s="187">
        <v>9</v>
      </c>
      <c r="B235" s="185" t="s">
        <v>69</v>
      </c>
      <c r="C235" s="326" t="s">
        <v>77</v>
      </c>
      <c r="D235" s="326"/>
      <c r="E235" s="176"/>
      <c r="F235" s="144" t="s">
        <v>71</v>
      </c>
      <c r="G235" s="203" t="s">
        <v>156</v>
      </c>
      <c r="H235" s="202" t="s">
        <v>156</v>
      </c>
      <c r="I235" s="202" t="s">
        <v>156</v>
      </c>
      <c r="J235" s="202" t="s">
        <v>156</v>
      </c>
      <c r="K235" s="202" t="s">
        <v>156</v>
      </c>
      <c r="L235" s="202" t="s">
        <v>156</v>
      </c>
      <c r="M235" s="93"/>
      <c r="O235" s="195"/>
      <c r="P235" s="196"/>
      <c r="Q235" s="327"/>
      <c r="R235" s="327"/>
      <c r="S235" s="194"/>
      <c r="T235" s="194"/>
      <c r="U235" s="194"/>
      <c r="V235" s="194"/>
      <c r="W235" s="194"/>
      <c r="X235" s="194"/>
      <c r="Y235" s="194"/>
      <c r="Z235" s="194"/>
      <c r="AA235" s="194"/>
      <c r="AB235" s="194"/>
      <c r="AC235" s="194"/>
    </row>
    <row r="236" spans="1:29" ht="20.100000000000001" customHeight="1">
      <c r="A236" s="187">
        <v>10</v>
      </c>
      <c r="B236" s="185" t="s">
        <v>69</v>
      </c>
      <c r="C236" s="326" t="s">
        <v>78</v>
      </c>
      <c r="D236" s="326"/>
      <c r="E236" s="176"/>
      <c r="F236" s="144" t="s">
        <v>71</v>
      </c>
      <c r="G236" s="203" t="s">
        <v>156</v>
      </c>
      <c r="H236" s="202" t="s">
        <v>156</v>
      </c>
      <c r="I236" s="202" t="s">
        <v>156</v>
      </c>
      <c r="J236" s="202" t="s">
        <v>156</v>
      </c>
      <c r="K236" s="202" t="s">
        <v>156</v>
      </c>
      <c r="L236" s="202" t="s">
        <v>156</v>
      </c>
      <c r="M236" s="93"/>
      <c r="O236" s="195"/>
      <c r="P236" s="196"/>
      <c r="Q236" s="327"/>
      <c r="R236" s="327"/>
      <c r="S236" s="194"/>
      <c r="T236" s="194"/>
      <c r="U236" s="194"/>
      <c r="V236" s="194"/>
      <c r="W236" s="194"/>
      <c r="X236" s="194"/>
      <c r="Y236" s="194"/>
      <c r="Z236" s="194"/>
      <c r="AA236" s="194"/>
      <c r="AB236" s="194"/>
      <c r="AC236" s="194"/>
    </row>
    <row r="237" spans="1:29" ht="20.100000000000001" customHeight="1">
      <c r="A237" s="187">
        <v>11</v>
      </c>
      <c r="B237" s="185" t="s">
        <v>69</v>
      </c>
      <c r="C237" s="326" t="s">
        <v>79</v>
      </c>
      <c r="D237" s="326"/>
      <c r="E237" s="176"/>
      <c r="F237" s="144" t="s">
        <v>71</v>
      </c>
      <c r="G237" s="203" t="s">
        <v>156</v>
      </c>
      <c r="H237" s="202" t="s">
        <v>156</v>
      </c>
      <c r="I237" s="202" t="s">
        <v>156</v>
      </c>
      <c r="J237" s="202" t="s">
        <v>156</v>
      </c>
      <c r="K237" s="202" t="s">
        <v>156</v>
      </c>
      <c r="L237" s="202" t="s">
        <v>156</v>
      </c>
      <c r="M237" s="93"/>
      <c r="O237" s="195"/>
      <c r="P237" s="196"/>
      <c r="Q237" s="327"/>
      <c r="R237" s="327"/>
      <c r="S237" s="194"/>
      <c r="T237" s="194"/>
      <c r="U237" s="194"/>
      <c r="V237" s="194"/>
      <c r="W237" s="194"/>
      <c r="X237" s="194"/>
      <c r="Y237" s="194"/>
      <c r="Z237" s="194"/>
      <c r="AA237" s="194"/>
      <c r="AB237" s="194"/>
      <c r="AC237" s="194"/>
    </row>
    <row r="238" spans="1:29" ht="20.100000000000001" customHeight="1">
      <c r="A238" s="187">
        <v>12</v>
      </c>
      <c r="B238" s="185" t="s">
        <v>69</v>
      </c>
      <c r="C238" s="326" t="s">
        <v>100</v>
      </c>
      <c r="D238" s="326"/>
      <c r="E238" s="176"/>
      <c r="F238" s="144" t="s">
        <v>71</v>
      </c>
      <c r="G238" s="203" t="s">
        <v>156</v>
      </c>
      <c r="H238" s="202" t="s">
        <v>156</v>
      </c>
      <c r="I238" s="202" t="s">
        <v>156</v>
      </c>
      <c r="J238" s="202" t="s">
        <v>156</v>
      </c>
      <c r="K238" s="202" t="s">
        <v>156</v>
      </c>
      <c r="L238" s="202" t="s">
        <v>156</v>
      </c>
      <c r="M238" s="93"/>
      <c r="O238" s="195"/>
      <c r="P238" s="196"/>
      <c r="Q238" s="327"/>
      <c r="R238" s="327"/>
      <c r="S238" s="194"/>
      <c r="T238" s="194"/>
      <c r="U238" s="194"/>
      <c r="V238" s="194"/>
      <c r="W238" s="194"/>
      <c r="X238" s="194"/>
      <c r="Y238" s="194"/>
      <c r="Z238" s="194"/>
      <c r="AA238" s="194"/>
      <c r="AB238" s="194"/>
      <c r="AC238" s="194"/>
    </row>
    <row r="239" spans="1:29" ht="20.100000000000001" customHeight="1">
      <c r="A239" s="187">
        <v>13</v>
      </c>
      <c r="B239" s="185" t="s">
        <v>69</v>
      </c>
      <c r="C239" s="326" t="s">
        <v>80</v>
      </c>
      <c r="D239" s="326"/>
      <c r="E239" s="176"/>
      <c r="F239" s="144" t="s">
        <v>71</v>
      </c>
      <c r="G239" s="203" t="s">
        <v>156</v>
      </c>
      <c r="H239" s="202" t="s">
        <v>156</v>
      </c>
      <c r="I239" s="202" t="s">
        <v>156</v>
      </c>
      <c r="J239" s="202" t="s">
        <v>156</v>
      </c>
      <c r="K239" s="202" t="s">
        <v>156</v>
      </c>
      <c r="L239" s="202" t="s">
        <v>156</v>
      </c>
      <c r="M239" s="93"/>
      <c r="O239" s="195"/>
      <c r="P239" s="196"/>
      <c r="Q239" s="327"/>
      <c r="R239" s="327"/>
      <c r="S239" s="194"/>
      <c r="T239" s="194"/>
      <c r="U239" s="194"/>
      <c r="V239" s="194"/>
      <c r="W239" s="194"/>
      <c r="X239" s="194"/>
      <c r="Y239" s="194"/>
      <c r="Z239" s="194"/>
      <c r="AA239" s="194"/>
      <c r="AB239" s="194"/>
      <c r="AC239" s="194"/>
    </row>
    <row r="240" spans="1:29" ht="20.100000000000001" customHeight="1">
      <c r="A240" s="187">
        <v>14</v>
      </c>
      <c r="B240" s="185" t="s">
        <v>69</v>
      </c>
      <c r="C240" s="326" t="s">
        <v>91</v>
      </c>
      <c r="D240" s="326"/>
      <c r="E240" s="176"/>
      <c r="F240" s="144" t="s">
        <v>71</v>
      </c>
      <c r="G240" s="203" t="s">
        <v>156</v>
      </c>
      <c r="H240" s="202" t="s">
        <v>156</v>
      </c>
      <c r="I240" s="202" t="s">
        <v>156</v>
      </c>
      <c r="J240" s="202" t="s">
        <v>156</v>
      </c>
      <c r="K240" s="202" t="s">
        <v>156</v>
      </c>
      <c r="L240" s="202" t="s">
        <v>156</v>
      </c>
      <c r="M240" s="93"/>
      <c r="O240" s="195"/>
      <c r="P240" s="196"/>
      <c r="Q240" s="327"/>
      <c r="R240" s="327"/>
      <c r="S240" s="194"/>
      <c r="T240" s="194"/>
      <c r="U240" s="194"/>
      <c r="V240" s="194"/>
      <c r="W240" s="194"/>
      <c r="X240" s="194"/>
      <c r="Y240" s="194"/>
      <c r="Z240" s="194"/>
      <c r="AA240" s="194"/>
      <c r="AB240" s="194"/>
      <c r="AC240" s="194"/>
    </row>
    <row r="241" spans="1:29" ht="20.100000000000001" customHeight="1">
      <c r="A241" s="187">
        <v>15</v>
      </c>
      <c r="B241" s="185" t="s">
        <v>69</v>
      </c>
      <c r="C241" s="326" t="s">
        <v>81</v>
      </c>
      <c r="D241" s="326"/>
      <c r="E241" s="176"/>
      <c r="F241" s="144" t="s">
        <v>71</v>
      </c>
      <c r="G241" s="203" t="s">
        <v>156</v>
      </c>
      <c r="H241" s="202" t="s">
        <v>156</v>
      </c>
      <c r="I241" s="202" t="s">
        <v>156</v>
      </c>
      <c r="J241" s="202" t="s">
        <v>156</v>
      </c>
      <c r="K241" s="202" t="s">
        <v>156</v>
      </c>
      <c r="L241" s="202" t="s">
        <v>156</v>
      </c>
      <c r="M241" s="93"/>
      <c r="O241" s="195"/>
      <c r="P241" s="196"/>
      <c r="Q241" s="327"/>
      <c r="R241" s="327"/>
      <c r="S241" s="194"/>
      <c r="T241" s="194"/>
      <c r="U241" s="194"/>
      <c r="V241" s="194"/>
      <c r="W241" s="194"/>
      <c r="X241" s="194"/>
      <c r="Y241" s="194"/>
      <c r="Z241" s="194"/>
      <c r="AA241" s="194"/>
      <c r="AB241" s="194"/>
      <c r="AC241" s="194"/>
    </row>
    <row r="242" spans="1:29" ht="20.100000000000001" customHeight="1">
      <c r="A242" s="187">
        <v>16</v>
      </c>
      <c r="B242" s="185" t="s">
        <v>69</v>
      </c>
      <c r="C242" s="326" t="s">
        <v>101</v>
      </c>
      <c r="D242" s="326"/>
      <c r="E242" s="151"/>
      <c r="F242" s="144" t="s">
        <v>71</v>
      </c>
      <c r="G242" s="203" t="s">
        <v>156</v>
      </c>
      <c r="H242" s="202" t="s">
        <v>156</v>
      </c>
      <c r="I242" s="202" t="s">
        <v>156</v>
      </c>
      <c r="J242" s="202" t="s">
        <v>156</v>
      </c>
      <c r="K242" s="202" t="s">
        <v>156</v>
      </c>
      <c r="L242" s="202" t="s">
        <v>156</v>
      </c>
      <c r="M242" s="93"/>
      <c r="N242" s="219"/>
      <c r="O242" s="195"/>
      <c r="P242" s="196"/>
      <c r="Q242" s="327"/>
      <c r="R242" s="327"/>
      <c r="S242" s="197"/>
      <c r="T242" s="197"/>
      <c r="U242" s="197"/>
      <c r="V242" s="197"/>
      <c r="W242" s="197"/>
      <c r="X242" s="197"/>
      <c r="Y242" s="197"/>
      <c r="Z242" s="197"/>
      <c r="AA242" s="197"/>
      <c r="AB242" s="197"/>
      <c r="AC242" s="197"/>
    </row>
    <row r="243" spans="1:29" ht="20.100000000000001" customHeight="1">
      <c r="A243" s="187">
        <v>17</v>
      </c>
      <c r="B243" s="186" t="s">
        <v>69</v>
      </c>
      <c r="C243" s="326" t="s">
        <v>141</v>
      </c>
      <c r="D243" s="326"/>
      <c r="E243" s="151"/>
      <c r="F243" s="144" t="s">
        <v>71</v>
      </c>
      <c r="G243" s="203" t="s">
        <v>156</v>
      </c>
      <c r="H243" s="202" t="s">
        <v>156</v>
      </c>
      <c r="I243" s="202" t="s">
        <v>156</v>
      </c>
      <c r="J243" s="202" t="s">
        <v>156</v>
      </c>
      <c r="K243" s="202" t="s">
        <v>156</v>
      </c>
      <c r="L243" s="202" t="s">
        <v>156</v>
      </c>
      <c r="M243" s="93"/>
      <c r="N243" s="219"/>
      <c r="O243" s="195"/>
      <c r="P243" s="104"/>
      <c r="Q243" s="327"/>
      <c r="R243" s="327"/>
      <c r="S243" s="197"/>
      <c r="T243" s="197"/>
      <c r="U243" s="197"/>
      <c r="V243" s="197"/>
      <c r="W243" s="197"/>
      <c r="X243" s="197"/>
      <c r="Y243" s="197"/>
      <c r="Z243" s="197"/>
      <c r="AA243" s="197"/>
      <c r="AB243" s="197"/>
      <c r="AC243" s="197"/>
    </row>
    <row r="244" spans="1:29" ht="20.100000000000001" customHeight="1">
      <c r="A244" s="187">
        <v>18</v>
      </c>
      <c r="B244" s="186" t="s">
        <v>69</v>
      </c>
      <c r="C244" s="326" t="s">
        <v>142</v>
      </c>
      <c r="D244" s="326"/>
      <c r="E244" s="151"/>
      <c r="F244" s="144" t="s">
        <v>71</v>
      </c>
      <c r="G244" s="203" t="s">
        <v>156</v>
      </c>
      <c r="H244" s="202" t="s">
        <v>156</v>
      </c>
      <c r="I244" s="202" t="s">
        <v>156</v>
      </c>
      <c r="J244" s="202" t="s">
        <v>156</v>
      </c>
      <c r="K244" s="202" t="s">
        <v>156</v>
      </c>
      <c r="L244" s="202" t="s">
        <v>156</v>
      </c>
      <c r="M244" s="93"/>
      <c r="N244" s="219"/>
      <c r="O244" s="195"/>
      <c r="P244" s="104"/>
      <c r="Q244" s="327"/>
      <c r="R244" s="327"/>
      <c r="S244" s="197"/>
      <c r="T244" s="197"/>
      <c r="U244" s="197"/>
      <c r="V244" s="197"/>
      <c r="W244" s="197"/>
      <c r="X244" s="197"/>
      <c r="Y244" s="197"/>
      <c r="Z244" s="197"/>
      <c r="AA244" s="197"/>
      <c r="AB244" s="197"/>
      <c r="AC244" s="197"/>
    </row>
    <row r="245" spans="1:29" ht="20.100000000000001" customHeight="1">
      <c r="A245" s="187">
        <v>19</v>
      </c>
      <c r="B245" s="186" t="s">
        <v>69</v>
      </c>
      <c r="C245" s="326" t="s">
        <v>143</v>
      </c>
      <c r="D245" s="326"/>
      <c r="E245" s="151"/>
      <c r="F245" s="144" t="s">
        <v>71</v>
      </c>
      <c r="G245" s="203" t="s">
        <v>156</v>
      </c>
      <c r="H245" s="202" t="s">
        <v>156</v>
      </c>
      <c r="I245" s="202" t="s">
        <v>156</v>
      </c>
      <c r="J245" s="202" t="s">
        <v>156</v>
      </c>
      <c r="K245" s="202" t="s">
        <v>156</v>
      </c>
      <c r="L245" s="202" t="s">
        <v>156</v>
      </c>
      <c r="M245" s="93"/>
      <c r="N245" s="219"/>
      <c r="O245" s="195"/>
      <c r="P245" s="104"/>
      <c r="Q245" s="327"/>
      <c r="R245" s="327"/>
      <c r="S245" s="197"/>
      <c r="T245" s="197"/>
      <c r="U245" s="197"/>
      <c r="V245" s="197"/>
      <c r="W245" s="197"/>
      <c r="X245" s="197"/>
      <c r="Y245" s="197"/>
      <c r="Z245" s="197"/>
      <c r="AA245" s="197"/>
      <c r="AB245" s="197"/>
      <c r="AC245" s="197"/>
    </row>
    <row r="246" spans="1:29" ht="20.100000000000001" customHeight="1">
      <c r="A246" s="187">
        <v>20</v>
      </c>
      <c r="B246" s="186" t="s">
        <v>69</v>
      </c>
      <c r="C246" s="326" t="s">
        <v>102</v>
      </c>
      <c r="D246" s="326"/>
      <c r="E246" s="150"/>
      <c r="F246" s="154" t="s">
        <v>71</v>
      </c>
      <c r="G246" s="203" t="s">
        <v>156</v>
      </c>
      <c r="H246" s="202" t="s">
        <v>156</v>
      </c>
      <c r="I246" s="202" t="s">
        <v>156</v>
      </c>
      <c r="J246" s="202" t="s">
        <v>156</v>
      </c>
      <c r="K246" s="202" t="s">
        <v>156</v>
      </c>
      <c r="L246" s="202" t="s">
        <v>156</v>
      </c>
      <c r="M246" s="93"/>
      <c r="N246" s="219"/>
      <c r="O246" s="195"/>
      <c r="P246" s="104"/>
      <c r="Q246" s="327"/>
      <c r="R246" s="327"/>
      <c r="S246" s="197"/>
      <c r="T246" s="197"/>
      <c r="U246" s="197"/>
      <c r="V246" s="197"/>
      <c r="W246" s="197"/>
      <c r="X246" s="197"/>
      <c r="Y246" s="197"/>
      <c r="Z246" s="197"/>
      <c r="AA246" s="197"/>
      <c r="AB246" s="197"/>
      <c r="AC246" s="197"/>
    </row>
    <row r="247" spans="1:29" ht="24.75" customHeight="1">
      <c r="A247" s="190" t="s">
        <v>128</v>
      </c>
      <c r="B247" s="142"/>
      <c r="C247" s="330" t="s">
        <v>130</v>
      </c>
      <c r="D247" s="330"/>
      <c r="E247" s="330"/>
      <c r="F247" s="330"/>
      <c r="G247" s="330"/>
      <c r="H247" s="330"/>
      <c r="I247" s="330"/>
      <c r="J247" s="330"/>
      <c r="K247" s="330"/>
      <c r="L247" s="330"/>
      <c r="M247" s="93"/>
      <c r="O247" s="156"/>
      <c r="P247" s="142"/>
      <c r="Q247" s="331"/>
      <c r="R247" s="331"/>
      <c r="S247" s="331"/>
      <c r="T247" s="331"/>
      <c r="U247" s="331"/>
      <c r="V247" s="331"/>
      <c r="W247" s="331"/>
      <c r="X247" s="331"/>
      <c r="Y247" s="331"/>
      <c r="Z247" s="331"/>
      <c r="AA247" s="331"/>
      <c r="AB247" s="331"/>
      <c r="AC247" s="331"/>
    </row>
    <row r="248" spans="1:29" ht="33" customHeight="1">
      <c r="A248" s="189">
        <v>21</v>
      </c>
      <c r="B248" s="188" t="s">
        <v>69</v>
      </c>
      <c r="C248" s="307" t="s">
        <v>82</v>
      </c>
      <c r="D248" s="308"/>
      <c r="E248" s="182"/>
      <c r="F248" s="191" t="s">
        <v>71</v>
      </c>
      <c r="G248" s="201">
        <v>58</v>
      </c>
      <c r="H248" s="201">
        <v>40</v>
      </c>
      <c r="I248" s="201">
        <v>21</v>
      </c>
      <c r="J248" s="201">
        <v>58</v>
      </c>
      <c r="K248" s="201">
        <v>40</v>
      </c>
      <c r="L248" s="201">
        <v>21</v>
      </c>
      <c r="M248" s="89"/>
      <c r="N248" s="219"/>
      <c r="O248" s="199"/>
      <c r="P248" s="200"/>
      <c r="Q248" s="309"/>
      <c r="R248" s="309"/>
      <c r="S248" s="86"/>
      <c r="T248" s="86"/>
      <c r="U248" s="86"/>
      <c r="V248" s="86"/>
      <c r="W248" s="86"/>
      <c r="X248" s="86"/>
      <c r="Y248" s="86"/>
      <c r="Z248" s="86"/>
      <c r="AA248" s="86"/>
      <c r="AB248" s="86"/>
      <c r="AC248" s="86"/>
    </row>
    <row r="249" spans="1:29" ht="33" customHeight="1">
      <c r="A249" s="189">
        <v>22</v>
      </c>
      <c r="B249" s="188" t="s">
        <v>69</v>
      </c>
      <c r="C249" s="307" t="s">
        <v>103</v>
      </c>
      <c r="D249" s="308"/>
      <c r="E249" s="179"/>
      <c r="F249" s="191" t="s">
        <v>71</v>
      </c>
      <c r="G249" s="201">
        <v>9</v>
      </c>
      <c r="H249" s="201">
        <v>9</v>
      </c>
      <c r="I249" s="201">
        <v>7</v>
      </c>
      <c r="J249" s="201">
        <v>9</v>
      </c>
      <c r="K249" s="201">
        <v>9</v>
      </c>
      <c r="L249" s="201">
        <v>7</v>
      </c>
      <c r="M249" s="89"/>
      <c r="N249" s="219"/>
      <c r="O249" s="199"/>
      <c r="P249" s="200"/>
      <c r="Q249" s="309"/>
      <c r="R249" s="309"/>
      <c r="S249" s="86"/>
      <c r="T249" s="86"/>
      <c r="U249" s="86"/>
      <c r="V249" s="86"/>
      <c r="W249" s="86"/>
      <c r="X249" s="86"/>
      <c r="Y249" s="86"/>
      <c r="Z249" s="86"/>
      <c r="AA249" s="86"/>
      <c r="AB249" s="86"/>
      <c r="AC249" s="86"/>
    </row>
    <row r="250" spans="1:29" ht="33" customHeight="1">
      <c r="A250" s="189">
        <v>23</v>
      </c>
      <c r="B250" s="188" t="s">
        <v>69</v>
      </c>
      <c r="C250" s="307" t="s">
        <v>104</v>
      </c>
      <c r="D250" s="308"/>
      <c r="E250" s="179"/>
      <c r="F250" s="191" t="s">
        <v>71</v>
      </c>
      <c r="G250" s="201">
        <v>5</v>
      </c>
      <c r="H250" s="201">
        <v>1</v>
      </c>
      <c r="I250" s="201">
        <v>1</v>
      </c>
      <c r="J250" s="201">
        <v>5</v>
      </c>
      <c r="K250" s="201">
        <v>1</v>
      </c>
      <c r="L250" s="201">
        <v>1</v>
      </c>
      <c r="M250" s="89"/>
      <c r="N250" s="219"/>
      <c r="O250" s="199"/>
      <c r="P250" s="200"/>
      <c r="Q250" s="309"/>
      <c r="R250" s="309"/>
      <c r="S250" s="86"/>
      <c r="T250" s="86"/>
      <c r="U250" s="86"/>
      <c r="V250" s="86"/>
      <c r="W250" s="86"/>
      <c r="X250" s="86"/>
      <c r="Y250" s="86"/>
      <c r="Z250" s="86"/>
      <c r="AA250" s="86"/>
      <c r="AB250" s="86"/>
      <c r="AC250" s="86"/>
    </row>
    <row r="251" spans="1:29" ht="27.75" customHeight="1">
      <c r="A251" s="317" t="s">
        <v>135</v>
      </c>
      <c r="B251" s="318"/>
      <c r="C251" s="317" t="s">
        <v>68</v>
      </c>
      <c r="D251" s="318"/>
      <c r="E251" s="183"/>
      <c r="F251" s="321" t="s">
        <v>136</v>
      </c>
      <c r="G251" s="322" t="s">
        <v>155</v>
      </c>
      <c r="H251" s="323"/>
      <c r="I251" s="323"/>
      <c r="J251" s="322" t="s">
        <v>154</v>
      </c>
      <c r="K251" s="323"/>
      <c r="L251" s="324"/>
      <c r="M251" s="92"/>
      <c r="O251" s="325"/>
      <c r="P251" s="325"/>
      <c r="Q251" s="325"/>
      <c r="R251" s="325"/>
      <c r="S251" s="316"/>
      <c r="T251" s="316"/>
      <c r="U251" s="316"/>
      <c r="V251" s="316"/>
      <c r="W251" s="316"/>
      <c r="X251" s="316"/>
      <c r="Y251" s="316"/>
      <c r="Z251" s="316"/>
      <c r="AA251" s="316"/>
      <c r="AB251" s="316"/>
      <c r="AC251" s="316"/>
    </row>
    <row r="252" spans="1:29" ht="125.25" customHeight="1">
      <c r="A252" s="319"/>
      <c r="B252" s="320"/>
      <c r="C252" s="319"/>
      <c r="D252" s="320"/>
      <c r="E252" s="184"/>
      <c r="F252" s="321"/>
      <c r="G252" s="153" t="s">
        <v>151</v>
      </c>
      <c r="H252" s="153" t="s">
        <v>152</v>
      </c>
      <c r="I252" s="153" t="s">
        <v>153</v>
      </c>
      <c r="J252" s="153" t="s">
        <v>151</v>
      </c>
      <c r="K252" s="153" t="s">
        <v>152</v>
      </c>
      <c r="L252" s="153" t="s">
        <v>153</v>
      </c>
      <c r="O252" s="325"/>
      <c r="P252" s="325"/>
      <c r="Q252" s="325"/>
      <c r="R252" s="325"/>
      <c r="S252" s="193"/>
      <c r="T252" s="193"/>
      <c r="U252" s="193"/>
      <c r="V252" s="193"/>
      <c r="W252" s="193"/>
      <c r="X252" s="193"/>
      <c r="Y252" s="193"/>
      <c r="Z252" s="193"/>
      <c r="AA252" s="193"/>
      <c r="AB252" s="193"/>
      <c r="AC252" s="193"/>
    </row>
    <row r="253" spans="1:29" ht="30" customHeight="1">
      <c r="A253" s="189">
        <v>24</v>
      </c>
      <c r="B253" s="188" t="s">
        <v>69</v>
      </c>
      <c r="C253" s="307" t="s">
        <v>131</v>
      </c>
      <c r="D253" s="308"/>
      <c r="E253" s="179"/>
      <c r="F253" s="191" t="s">
        <v>71</v>
      </c>
      <c r="G253" s="202" t="s">
        <v>156</v>
      </c>
      <c r="H253" s="202" t="s">
        <v>156</v>
      </c>
      <c r="I253" s="202" t="s">
        <v>156</v>
      </c>
      <c r="J253" s="202" t="s">
        <v>156</v>
      </c>
      <c r="K253" s="202" t="s">
        <v>156</v>
      </c>
      <c r="L253" s="202" t="s">
        <v>156</v>
      </c>
      <c r="M253" s="89"/>
      <c r="N253" s="219"/>
      <c r="O253" s="199"/>
      <c r="P253" s="200"/>
      <c r="Q253" s="309"/>
      <c r="R253" s="309"/>
      <c r="S253" s="86"/>
      <c r="T253" s="86"/>
      <c r="U253" s="86"/>
      <c r="V253" s="86"/>
      <c r="W253" s="86"/>
      <c r="X253" s="86"/>
      <c r="Y253" s="86"/>
      <c r="Z253" s="86"/>
      <c r="AA253" s="86"/>
      <c r="AB253" s="86"/>
      <c r="AC253" s="86"/>
    </row>
    <row r="254" spans="1:29" ht="30" customHeight="1">
      <c r="A254" s="189">
        <v>25</v>
      </c>
      <c r="B254" s="188" t="s">
        <v>69</v>
      </c>
      <c r="C254" s="307" t="s">
        <v>83</v>
      </c>
      <c r="D254" s="308"/>
      <c r="E254" s="179"/>
      <c r="F254" s="191" t="s">
        <v>71</v>
      </c>
      <c r="G254" s="201">
        <v>25</v>
      </c>
      <c r="H254" s="201">
        <v>40</v>
      </c>
      <c r="I254" s="201">
        <v>22</v>
      </c>
      <c r="J254" s="201">
        <v>25</v>
      </c>
      <c r="K254" s="201">
        <v>40</v>
      </c>
      <c r="L254" s="201">
        <v>22</v>
      </c>
      <c r="M254" s="89"/>
      <c r="N254" s="219"/>
      <c r="O254" s="199"/>
      <c r="P254" s="200"/>
      <c r="Q254" s="309"/>
      <c r="R254" s="309"/>
      <c r="S254" s="86"/>
      <c r="T254" s="86"/>
      <c r="U254" s="86"/>
      <c r="V254" s="86"/>
      <c r="W254" s="86"/>
      <c r="X254" s="86"/>
      <c r="Y254" s="86"/>
      <c r="Z254" s="86"/>
      <c r="AA254" s="86"/>
      <c r="AB254" s="86"/>
      <c r="AC254" s="86"/>
    </row>
    <row r="255" spans="1:29" ht="30" customHeight="1">
      <c r="A255" s="189">
        <v>26</v>
      </c>
      <c r="B255" s="188" t="s">
        <v>69</v>
      </c>
      <c r="C255" s="307" t="s">
        <v>84</v>
      </c>
      <c r="D255" s="308"/>
      <c r="E255" s="179"/>
      <c r="F255" s="191" t="s">
        <v>71</v>
      </c>
      <c r="G255" s="201">
        <v>5</v>
      </c>
      <c r="H255" s="202" t="s">
        <v>156</v>
      </c>
      <c r="I255" s="202" t="s">
        <v>156</v>
      </c>
      <c r="J255" s="201">
        <v>5</v>
      </c>
      <c r="K255" s="202" t="s">
        <v>156</v>
      </c>
      <c r="L255" s="202" t="s">
        <v>156</v>
      </c>
      <c r="M255" s="89"/>
      <c r="N255" s="219"/>
      <c r="O255" s="199"/>
      <c r="P255" s="200"/>
      <c r="Q255" s="309"/>
      <c r="R255" s="309"/>
      <c r="S255" s="86"/>
      <c r="T255" s="86"/>
      <c r="U255" s="86"/>
      <c r="V255" s="86"/>
      <c r="W255" s="86"/>
      <c r="X255" s="86"/>
      <c r="Y255" s="86"/>
      <c r="Z255" s="86"/>
      <c r="AA255" s="86"/>
      <c r="AB255" s="86"/>
      <c r="AC255" s="86"/>
    </row>
    <row r="256" spans="1:29" ht="30" customHeight="1">
      <c r="A256" s="189">
        <v>27</v>
      </c>
      <c r="B256" s="188" t="s">
        <v>69</v>
      </c>
      <c r="C256" s="307" t="s">
        <v>85</v>
      </c>
      <c r="D256" s="308"/>
      <c r="E256" s="179"/>
      <c r="F256" s="191" t="s">
        <v>71</v>
      </c>
      <c r="G256" s="201">
        <v>3</v>
      </c>
      <c r="H256" s="201">
        <v>1</v>
      </c>
      <c r="I256" s="201">
        <v>8</v>
      </c>
      <c r="J256" s="201">
        <v>3</v>
      </c>
      <c r="K256" s="201">
        <v>1</v>
      </c>
      <c r="L256" s="201">
        <v>8</v>
      </c>
      <c r="M256" s="89"/>
      <c r="N256" s="219"/>
      <c r="O256" s="199"/>
      <c r="P256" s="200"/>
      <c r="Q256" s="309"/>
      <c r="R256" s="309"/>
      <c r="S256" s="86"/>
      <c r="T256" s="86"/>
      <c r="U256" s="86"/>
      <c r="V256" s="86"/>
      <c r="W256" s="86"/>
      <c r="X256" s="86"/>
      <c r="Y256" s="86"/>
      <c r="Z256" s="86"/>
      <c r="AA256" s="86"/>
      <c r="AB256" s="86"/>
      <c r="AC256" s="86"/>
    </row>
    <row r="257" spans="1:29" ht="30" customHeight="1">
      <c r="A257" s="189">
        <v>28</v>
      </c>
      <c r="B257" s="188" t="s">
        <v>69</v>
      </c>
      <c r="C257" s="307" t="s">
        <v>132</v>
      </c>
      <c r="D257" s="308"/>
      <c r="E257" s="179"/>
      <c r="F257" s="191" t="s">
        <v>71</v>
      </c>
      <c r="G257" s="202" t="s">
        <v>156</v>
      </c>
      <c r="H257" s="202" t="s">
        <v>156</v>
      </c>
      <c r="I257" s="202" t="s">
        <v>156</v>
      </c>
      <c r="J257" s="202" t="s">
        <v>156</v>
      </c>
      <c r="K257" s="202" t="s">
        <v>156</v>
      </c>
      <c r="L257" s="202" t="s">
        <v>156</v>
      </c>
      <c r="M257" s="89"/>
      <c r="N257" s="219"/>
      <c r="O257" s="199"/>
      <c r="P257" s="200"/>
      <c r="Q257" s="309"/>
      <c r="R257" s="309"/>
      <c r="S257" s="86"/>
      <c r="T257" s="86"/>
      <c r="U257" s="86"/>
      <c r="V257" s="86"/>
      <c r="W257" s="86"/>
      <c r="X257" s="86"/>
      <c r="Y257" s="86"/>
      <c r="Z257" s="86"/>
      <c r="AA257" s="86"/>
      <c r="AB257" s="86"/>
      <c r="AC257" s="86"/>
    </row>
    <row r="258" spans="1:29" ht="30" customHeight="1">
      <c r="A258" s="189">
        <v>29</v>
      </c>
      <c r="B258" s="188" t="s">
        <v>69</v>
      </c>
      <c r="C258" s="307" t="s">
        <v>86</v>
      </c>
      <c r="D258" s="308"/>
      <c r="E258" s="179"/>
      <c r="F258" s="191" t="s">
        <v>71</v>
      </c>
      <c r="G258" s="201">
        <v>10</v>
      </c>
      <c r="H258" s="201">
        <v>12</v>
      </c>
      <c r="I258" s="201">
        <v>9</v>
      </c>
      <c r="J258" s="201">
        <v>10</v>
      </c>
      <c r="K258" s="201">
        <v>12</v>
      </c>
      <c r="L258" s="201">
        <v>9</v>
      </c>
      <c r="M258" s="89"/>
      <c r="N258" s="219"/>
      <c r="O258" s="199"/>
      <c r="P258" s="200"/>
      <c r="Q258" s="309"/>
      <c r="R258" s="309"/>
      <c r="S258" s="86"/>
      <c r="T258" s="86"/>
      <c r="U258" s="86"/>
      <c r="V258" s="86"/>
      <c r="W258" s="86"/>
      <c r="X258" s="86"/>
      <c r="Y258" s="86"/>
      <c r="Z258" s="86"/>
      <c r="AA258" s="86"/>
      <c r="AB258" s="86"/>
      <c r="AC258" s="86"/>
    </row>
    <row r="259" spans="1:29" ht="30" customHeight="1">
      <c r="A259" s="189">
        <v>30</v>
      </c>
      <c r="B259" s="188" t="s">
        <v>69</v>
      </c>
      <c r="C259" s="307" t="s">
        <v>87</v>
      </c>
      <c r="D259" s="308"/>
      <c r="E259" s="179"/>
      <c r="F259" s="191" t="s">
        <v>71</v>
      </c>
      <c r="G259" s="202" t="s">
        <v>156</v>
      </c>
      <c r="H259" s="202" t="s">
        <v>156</v>
      </c>
      <c r="I259" s="202" t="s">
        <v>156</v>
      </c>
      <c r="J259" s="202" t="s">
        <v>156</v>
      </c>
      <c r="K259" s="202" t="s">
        <v>156</v>
      </c>
      <c r="L259" s="202" t="s">
        <v>156</v>
      </c>
      <c r="M259" s="89"/>
      <c r="N259" s="219"/>
      <c r="O259" s="199"/>
      <c r="P259" s="200"/>
      <c r="Q259" s="309"/>
      <c r="R259" s="309"/>
      <c r="S259" s="86"/>
      <c r="T259" s="86"/>
      <c r="U259" s="86"/>
      <c r="V259" s="86"/>
      <c r="W259" s="86"/>
      <c r="X259" s="86"/>
      <c r="Y259" s="86"/>
      <c r="Z259" s="86"/>
      <c r="AA259" s="86"/>
      <c r="AB259" s="86"/>
      <c r="AC259" s="86"/>
    </row>
    <row r="260" spans="1:29" ht="30" customHeight="1">
      <c r="A260" s="189">
        <v>31</v>
      </c>
      <c r="B260" s="188" t="s">
        <v>69</v>
      </c>
      <c r="C260" s="307" t="s">
        <v>105</v>
      </c>
      <c r="D260" s="308"/>
      <c r="E260" s="179"/>
      <c r="F260" s="191" t="s">
        <v>71</v>
      </c>
      <c r="G260" s="201">
        <v>2</v>
      </c>
      <c r="H260" s="203" t="s">
        <v>156</v>
      </c>
      <c r="I260" s="201">
        <v>8</v>
      </c>
      <c r="J260" s="201">
        <v>2</v>
      </c>
      <c r="K260" s="203" t="s">
        <v>156</v>
      </c>
      <c r="L260" s="201">
        <v>8</v>
      </c>
      <c r="M260" s="89"/>
      <c r="N260" s="219"/>
      <c r="O260" s="199"/>
      <c r="P260" s="200"/>
      <c r="Q260" s="309"/>
      <c r="R260" s="309"/>
      <c r="S260" s="86"/>
      <c r="T260" s="86"/>
      <c r="U260" s="86"/>
      <c r="V260" s="86"/>
      <c r="W260" s="86"/>
      <c r="X260" s="86"/>
      <c r="Y260" s="86"/>
      <c r="Z260" s="86"/>
      <c r="AA260" s="86"/>
      <c r="AB260" s="86"/>
      <c r="AC260" s="86"/>
    </row>
    <row r="261" spans="1:29" ht="30" customHeight="1">
      <c r="A261" s="189">
        <v>32</v>
      </c>
      <c r="B261" s="188" t="s">
        <v>69</v>
      </c>
      <c r="C261" s="307" t="s">
        <v>133</v>
      </c>
      <c r="D261" s="308"/>
      <c r="E261" s="179"/>
      <c r="F261" s="191" t="s">
        <v>71</v>
      </c>
      <c r="G261" s="202" t="s">
        <v>156</v>
      </c>
      <c r="H261" s="202" t="s">
        <v>156</v>
      </c>
      <c r="I261" s="202" t="s">
        <v>156</v>
      </c>
      <c r="J261" s="202" t="s">
        <v>156</v>
      </c>
      <c r="K261" s="202" t="s">
        <v>156</v>
      </c>
      <c r="L261" s="202" t="s">
        <v>156</v>
      </c>
      <c r="M261" s="89"/>
      <c r="N261" s="219"/>
      <c r="O261" s="199"/>
      <c r="P261" s="200"/>
      <c r="Q261" s="309"/>
      <c r="R261" s="309"/>
      <c r="S261" s="86"/>
      <c r="T261" s="86"/>
      <c r="U261" s="86"/>
      <c r="V261" s="86"/>
      <c r="W261" s="86"/>
      <c r="X261" s="86"/>
      <c r="Y261" s="86"/>
      <c r="Z261" s="86"/>
      <c r="AA261" s="86"/>
      <c r="AB261" s="86"/>
      <c r="AC261" s="86"/>
    </row>
    <row r="262" spans="1:29" ht="30" customHeight="1">
      <c r="A262" s="189">
        <v>33</v>
      </c>
      <c r="B262" s="188" t="s">
        <v>69</v>
      </c>
      <c r="C262" s="307" t="s">
        <v>88</v>
      </c>
      <c r="D262" s="308"/>
      <c r="E262" s="179"/>
      <c r="F262" s="191" t="s">
        <v>71</v>
      </c>
      <c r="G262" s="201">
        <v>3</v>
      </c>
      <c r="H262" s="201">
        <v>7</v>
      </c>
      <c r="I262" s="201">
        <v>7</v>
      </c>
      <c r="J262" s="201">
        <v>3</v>
      </c>
      <c r="K262" s="201">
        <v>7</v>
      </c>
      <c r="L262" s="201">
        <v>7</v>
      </c>
      <c r="M262" s="89"/>
      <c r="N262" s="219"/>
      <c r="O262" s="199"/>
      <c r="P262" s="200"/>
      <c r="Q262" s="309"/>
      <c r="R262" s="309"/>
      <c r="S262" s="86"/>
      <c r="T262" s="86"/>
      <c r="U262" s="86"/>
      <c r="V262" s="86"/>
      <c r="W262" s="86"/>
      <c r="X262" s="86"/>
      <c r="Y262" s="86"/>
      <c r="Z262" s="86"/>
      <c r="AA262" s="86"/>
      <c r="AB262" s="86"/>
      <c r="AC262" s="86"/>
    </row>
    <row r="263" spans="1:29" ht="30" customHeight="1">
      <c r="A263" s="189">
        <v>34</v>
      </c>
      <c r="B263" s="188" t="s">
        <v>69</v>
      </c>
      <c r="C263" s="307" t="s">
        <v>89</v>
      </c>
      <c r="D263" s="308"/>
      <c r="E263" s="179"/>
      <c r="F263" s="191" t="s">
        <v>71</v>
      </c>
      <c r="G263" s="202" t="s">
        <v>156</v>
      </c>
      <c r="H263" s="202" t="s">
        <v>156</v>
      </c>
      <c r="I263" s="202" t="s">
        <v>156</v>
      </c>
      <c r="J263" s="202" t="s">
        <v>156</v>
      </c>
      <c r="K263" s="202" t="s">
        <v>156</v>
      </c>
      <c r="L263" s="202" t="s">
        <v>156</v>
      </c>
      <c r="M263" s="89"/>
      <c r="N263" s="219"/>
      <c r="O263" s="199"/>
      <c r="P263" s="200"/>
      <c r="Q263" s="309"/>
      <c r="R263" s="309"/>
      <c r="S263" s="86"/>
      <c r="T263" s="86"/>
      <c r="U263" s="86"/>
      <c r="V263" s="86"/>
      <c r="W263" s="86"/>
      <c r="X263" s="86"/>
      <c r="Y263" s="86"/>
      <c r="Z263" s="86"/>
      <c r="AA263" s="86"/>
      <c r="AB263" s="86"/>
      <c r="AC263" s="86"/>
    </row>
    <row r="264" spans="1:29" ht="30" customHeight="1">
      <c r="A264" s="189">
        <v>35</v>
      </c>
      <c r="B264" s="188" t="s">
        <v>69</v>
      </c>
      <c r="C264" s="307" t="s">
        <v>140</v>
      </c>
      <c r="D264" s="308"/>
      <c r="E264" s="179"/>
      <c r="F264" s="191" t="s">
        <v>71</v>
      </c>
      <c r="G264" s="202" t="s">
        <v>156</v>
      </c>
      <c r="H264" s="202" t="s">
        <v>156</v>
      </c>
      <c r="I264" s="201">
        <v>3</v>
      </c>
      <c r="J264" s="202" t="s">
        <v>156</v>
      </c>
      <c r="K264" s="202" t="s">
        <v>156</v>
      </c>
      <c r="L264" s="201">
        <v>3</v>
      </c>
      <c r="M264" s="89"/>
      <c r="N264" s="220"/>
      <c r="O264" s="199"/>
      <c r="P264" s="200"/>
      <c r="Q264" s="309"/>
      <c r="R264" s="309"/>
      <c r="S264" s="86"/>
      <c r="T264" s="86"/>
      <c r="U264" s="86"/>
      <c r="V264" s="86"/>
      <c r="W264" s="86"/>
      <c r="X264" s="86"/>
      <c r="Y264" s="86"/>
      <c r="Z264" s="86"/>
      <c r="AA264" s="86"/>
      <c r="AB264" s="86"/>
      <c r="AC264" s="86"/>
    </row>
    <row r="265" spans="1:29" ht="30" customHeight="1">
      <c r="A265" s="189">
        <v>36</v>
      </c>
      <c r="B265" s="188" t="s">
        <v>69</v>
      </c>
      <c r="C265" s="307" t="s">
        <v>134</v>
      </c>
      <c r="D265" s="308"/>
      <c r="E265" s="179"/>
      <c r="F265" s="191" t="s">
        <v>71</v>
      </c>
      <c r="G265" s="202" t="s">
        <v>156</v>
      </c>
      <c r="H265" s="202" t="s">
        <v>156</v>
      </c>
      <c r="I265" s="202" t="s">
        <v>156</v>
      </c>
      <c r="J265" s="202" t="s">
        <v>156</v>
      </c>
      <c r="K265" s="202" t="s">
        <v>156</v>
      </c>
      <c r="L265" s="202" t="s">
        <v>156</v>
      </c>
      <c r="M265" s="89"/>
      <c r="N265" s="220"/>
      <c r="O265" s="199"/>
      <c r="P265" s="200"/>
      <c r="Q265" s="309"/>
      <c r="R265" s="309"/>
      <c r="S265" s="86"/>
      <c r="T265" s="86"/>
      <c r="U265" s="86"/>
      <c r="V265" s="86"/>
      <c r="W265" s="86"/>
      <c r="X265" s="86"/>
      <c r="Y265" s="86"/>
      <c r="Z265" s="86"/>
      <c r="AA265" s="86"/>
      <c r="AB265" s="86"/>
      <c r="AC265" s="86"/>
    </row>
    <row r="266" spans="1:29" ht="30" customHeight="1">
      <c r="A266" s="189">
        <v>37</v>
      </c>
      <c r="B266" s="188" t="s">
        <v>69</v>
      </c>
      <c r="C266" s="307" t="s">
        <v>90</v>
      </c>
      <c r="D266" s="308"/>
      <c r="E266" s="179"/>
      <c r="F266" s="191" t="s">
        <v>71</v>
      </c>
      <c r="G266" s="202" t="s">
        <v>156</v>
      </c>
      <c r="H266" s="202" t="s">
        <v>156</v>
      </c>
      <c r="I266" s="202" t="s">
        <v>156</v>
      </c>
      <c r="J266" s="202" t="s">
        <v>156</v>
      </c>
      <c r="K266" s="202" t="s">
        <v>156</v>
      </c>
      <c r="L266" s="202" t="s">
        <v>156</v>
      </c>
      <c r="M266" s="89"/>
      <c r="N266" s="220"/>
      <c r="O266" s="199"/>
      <c r="P266" s="200"/>
      <c r="Q266" s="309"/>
      <c r="R266" s="309"/>
      <c r="S266" s="86"/>
      <c r="T266" s="86"/>
      <c r="U266" s="86"/>
      <c r="V266" s="86"/>
      <c r="W266" s="86"/>
      <c r="X266" s="86"/>
      <c r="Y266" s="86"/>
      <c r="Z266" s="86"/>
      <c r="AA266" s="86"/>
      <c r="AB266" s="86"/>
      <c r="AC266" s="86"/>
    </row>
    <row r="267" spans="1:29" ht="30" customHeight="1">
      <c r="A267" s="189">
        <v>38</v>
      </c>
      <c r="B267" s="188" t="s">
        <v>69</v>
      </c>
      <c r="C267" s="307" t="s">
        <v>106</v>
      </c>
      <c r="D267" s="308"/>
      <c r="E267" s="150"/>
      <c r="F267" s="191" t="s">
        <v>71</v>
      </c>
      <c r="G267" s="202" t="s">
        <v>156</v>
      </c>
      <c r="H267" s="202" t="s">
        <v>156</v>
      </c>
      <c r="I267" s="202" t="s">
        <v>156</v>
      </c>
      <c r="J267" s="202" t="s">
        <v>156</v>
      </c>
      <c r="K267" s="202" t="s">
        <v>156</v>
      </c>
      <c r="L267" s="202" t="s">
        <v>156</v>
      </c>
      <c r="M267" s="89"/>
      <c r="N267" s="220"/>
      <c r="O267" s="199"/>
      <c r="P267" s="200"/>
      <c r="Q267" s="309"/>
      <c r="R267" s="309"/>
      <c r="S267" s="86"/>
      <c r="T267" s="86"/>
      <c r="U267" s="86"/>
      <c r="V267" s="86"/>
      <c r="W267" s="86"/>
      <c r="X267" s="86"/>
      <c r="Y267" s="86"/>
      <c r="Z267" s="86"/>
      <c r="AA267" s="86"/>
      <c r="AB267" s="86"/>
      <c r="AC267" s="86"/>
    </row>
    <row r="268" spans="1:29" ht="25.5" customHeight="1">
      <c r="A268" s="310" t="s">
        <v>92</v>
      </c>
      <c r="B268" s="310"/>
      <c r="C268" s="310"/>
      <c r="D268" s="310"/>
      <c r="E268" s="310"/>
      <c r="F268" s="310"/>
      <c r="G268" s="310"/>
      <c r="H268" s="310"/>
      <c r="I268" s="310"/>
      <c r="J268" s="310"/>
      <c r="K268" s="310"/>
      <c r="L268" s="310"/>
      <c r="M268" s="92"/>
    </row>
    <row r="269" spans="1:29" ht="19.5" customHeight="1">
      <c r="A269" s="139"/>
      <c r="B269" s="139"/>
      <c r="C269" s="140"/>
      <c r="D269" s="140" t="s">
        <v>145</v>
      </c>
      <c r="E269" s="140"/>
      <c r="F269" s="152" t="s">
        <v>54</v>
      </c>
      <c r="G269" s="152"/>
      <c r="H269" s="152"/>
      <c r="I269" s="152"/>
      <c r="J269" s="152" t="s">
        <v>144</v>
      </c>
      <c r="K269" s="152"/>
      <c r="L269" s="140"/>
      <c r="M269" s="94"/>
    </row>
    <row r="270" spans="1:29" ht="28.5" customHeight="1">
      <c r="A270" s="310" t="s">
        <v>93</v>
      </c>
      <c r="B270" s="310"/>
      <c r="C270" s="310"/>
      <c r="D270" s="310"/>
      <c r="E270" s="310"/>
      <c r="F270" s="310"/>
      <c r="G270" s="310"/>
      <c r="H270" s="310"/>
      <c r="I270" s="310"/>
      <c r="J270" s="310"/>
      <c r="K270" s="310"/>
      <c r="L270" s="310"/>
      <c r="M270" s="92"/>
      <c r="N270" s="311"/>
      <c r="O270" s="311"/>
      <c r="P270" s="311"/>
    </row>
    <row r="271" spans="1:29" ht="20.25" customHeight="1">
      <c r="A271" s="139"/>
      <c r="B271" s="139"/>
      <c r="C271" s="139"/>
      <c r="D271" s="140" t="s">
        <v>145</v>
      </c>
      <c r="E271" s="140"/>
      <c r="F271" s="152" t="s">
        <v>54</v>
      </c>
      <c r="G271" s="152"/>
      <c r="H271" s="152"/>
      <c r="I271" s="152"/>
      <c r="J271" s="152" t="s">
        <v>144</v>
      </c>
      <c r="K271" s="152"/>
      <c r="L271" s="139"/>
      <c r="M271" s="94"/>
      <c r="N271" s="221"/>
      <c r="O271" s="95"/>
      <c r="P271" s="95"/>
    </row>
    <row r="272" spans="1:29" ht="26.25" customHeight="1">
      <c r="A272" s="312" t="s">
        <v>94</v>
      </c>
      <c r="B272" s="312"/>
      <c r="C272" s="312"/>
      <c r="D272" s="312"/>
      <c r="E272" s="312"/>
      <c r="F272" s="312"/>
      <c r="G272" s="312"/>
      <c r="H272" s="312"/>
      <c r="I272" s="312"/>
      <c r="J272" s="312"/>
      <c r="K272" s="312"/>
      <c r="L272" s="312"/>
      <c r="M272" s="92"/>
    </row>
    <row r="273" spans="1:16" ht="22.5" customHeight="1">
      <c r="A273" s="120"/>
      <c r="B273" s="120"/>
      <c r="C273" s="120"/>
      <c r="D273" s="120"/>
      <c r="E273" s="120"/>
      <c r="F273" s="120"/>
      <c r="G273" s="120"/>
      <c r="H273" s="120"/>
      <c r="I273" s="120"/>
      <c r="J273" s="120"/>
      <c r="K273" s="120"/>
      <c r="L273" s="120"/>
      <c r="M273" s="94"/>
    </row>
    <row r="274" spans="1:16" ht="22.5" customHeight="1">
      <c r="A274" s="313" t="s">
        <v>95</v>
      </c>
      <c r="B274" s="313"/>
      <c r="C274" s="313"/>
      <c r="D274" s="313"/>
      <c r="E274" s="313"/>
      <c r="F274" s="313"/>
      <c r="G274" s="313"/>
      <c r="H274" s="313"/>
      <c r="I274" s="313"/>
      <c r="J274" s="313"/>
      <c r="K274" s="313"/>
      <c r="L274" s="313"/>
      <c r="M274" s="92"/>
    </row>
    <row r="275" spans="1:16" ht="19.5" customHeight="1">
      <c r="A275" s="97"/>
      <c r="B275" s="97"/>
      <c r="C275" s="145"/>
      <c r="D275" s="97"/>
      <c r="E275" s="97"/>
      <c r="F275" s="97"/>
      <c r="G275" s="97"/>
      <c r="H275" s="97"/>
      <c r="I275" s="97"/>
      <c r="J275" s="97"/>
      <c r="K275" s="97"/>
      <c r="L275" s="97"/>
      <c r="M275" s="94"/>
    </row>
    <row r="276" spans="1:16" ht="5.25" customHeight="1">
      <c r="A276" s="94"/>
      <c r="B276" s="94"/>
      <c r="C276" s="146"/>
      <c r="D276" s="94"/>
      <c r="E276" s="94"/>
      <c r="F276" s="94"/>
      <c r="G276" s="94"/>
      <c r="H276" s="94"/>
      <c r="I276" s="94"/>
      <c r="J276" s="94"/>
      <c r="K276" s="94"/>
      <c r="L276" s="94"/>
      <c r="M276" s="94"/>
    </row>
    <row r="277" spans="1:16" ht="16.5" customHeight="1">
      <c r="A277" s="314" t="s">
        <v>96</v>
      </c>
      <c r="B277" s="314"/>
      <c r="C277" s="314"/>
      <c r="D277" s="314"/>
      <c r="E277" s="98"/>
      <c r="F277" s="98"/>
      <c r="G277" s="98"/>
      <c r="H277" s="315" t="s">
        <v>97</v>
      </c>
      <c r="I277" s="315"/>
      <c r="J277" s="315"/>
      <c r="K277" s="315"/>
      <c r="L277" s="315"/>
      <c r="M277" s="94"/>
    </row>
    <row r="278" spans="1:16" ht="95.1" customHeight="1">
      <c r="A278" s="99"/>
      <c r="B278" s="101" t="str">
        <f>B209</f>
        <v>Ông Huỳnh Phước Hải        ….............</v>
      </c>
      <c r="C278" s="147"/>
      <c r="D278" s="99"/>
      <c r="E278" s="81"/>
      <c r="F278" s="100"/>
      <c r="G278" s="100"/>
      <c r="H278" s="306" t="str">
        <f>H209</f>
        <v>Ông Phạm Tấn Việt          …..................</v>
      </c>
      <c r="I278" s="306"/>
      <c r="J278" s="306"/>
      <c r="K278" s="306"/>
      <c r="L278" s="306"/>
      <c r="M278" s="94"/>
    </row>
    <row r="279" spans="1:16" ht="51" customHeight="1">
      <c r="A279" s="99"/>
      <c r="B279" s="99"/>
      <c r="C279" s="147"/>
      <c r="D279" s="99"/>
      <c r="E279" s="81"/>
      <c r="F279" s="100"/>
      <c r="G279" s="100"/>
      <c r="H279" s="100"/>
      <c r="I279" s="100"/>
      <c r="J279" s="99"/>
      <c r="K279" s="99"/>
      <c r="L279" s="99"/>
      <c r="M279" s="94"/>
    </row>
    <row r="280" spans="1:16" ht="21.75" customHeight="1">
      <c r="A280" s="348" t="s">
        <v>165</v>
      </c>
      <c r="B280" s="348"/>
      <c r="C280" s="348"/>
      <c r="D280" s="348"/>
      <c r="E280" s="348"/>
      <c r="F280" s="348"/>
      <c r="G280" s="348"/>
      <c r="H280" s="348"/>
      <c r="I280" s="348"/>
      <c r="J280" s="348"/>
      <c r="K280" s="348"/>
      <c r="L280" s="348"/>
      <c r="M280" s="82"/>
    </row>
    <row r="281" spans="1:16" ht="19.5">
      <c r="A281" s="84" t="str">
        <f>"Ngày "&amp;N282&amp;" tháng "&amp;O3&amp;" năm "&amp;P3&amp;""</f>
        <v>Ngày 05 tháng 07 năm 2026</v>
      </c>
      <c r="B281" s="84"/>
      <c r="C281" s="85"/>
      <c r="N281" s="216"/>
      <c r="O281" s="20"/>
      <c r="P281" s="20"/>
    </row>
    <row r="282" spans="1:16" ht="16.5">
      <c r="A282" s="337" t="s">
        <v>57</v>
      </c>
      <c r="B282" s="337"/>
      <c r="C282" s="337"/>
      <c r="D282" s="311"/>
      <c r="E282" s="311"/>
      <c r="F282" s="311"/>
      <c r="G282" s="95"/>
      <c r="H282" s="95"/>
      <c r="I282" s="95"/>
      <c r="J282" s="95"/>
      <c r="K282" s="95"/>
      <c r="L282" s="95"/>
      <c r="N282" s="217" t="s">
        <v>168</v>
      </c>
      <c r="O282" s="214"/>
      <c r="P282" s="17"/>
    </row>
    <row r="283" spans="1:16" ht="15.75" customHeight="1">
      <c r="A283" s="338"/>
      <c r="B283" s="338"/>
      <c r="C283" s="338"/>
      <c r="D283" s="339" t="s">
        <v>58</v>
      </c>
      <c r="E283" s="340"/>
      <c r="F283" s="340"/>
      <c r="G283" s="340"/>
      <c r="H283" s="341"/>
      <c r="I283" s="339" t="s">
        <v>59</v>
      </c>
      <c r="J283" s="340"/>
      <c r="K283" s="340"/>
      <c r="L283" s="341"/>
    </row>
    <row r="284" spans="1:16" ht="19.5" customHeight="1">
      <c r="A284" s="342" t="s">
        <v>60</v>
      </c>
      <c r="B284" s="342"/>
      <c r="C284" s="342"/>
      <c r="D284" s="343" t="s">
        <v>54</v>
      </c>
      <c r="E284" s="344"/>
      <c r="F284" s="344"/>
      <c r="G284" s="344"/>
      <c r="H284" s="345"/>
      <c r="I284" s="343" t="s">
        <v>54</v>
      </c>
      <c r="J284" s="344"/>
      <c r="K284" s="344"/>
      <c r="L284" s="345"/>
    </row>
    <row r="285" spans="1:16" ht="22.5" customHeight="1">
      <c r="A285" s="342" t="s">
        <v>61</v>
      </c>
      <c r="B285" s="342"/>
      <c r="C285" s="342"/>
      <c r="D285" s="343" t="s">
        <v>163</v>
      </c>
      <c r="E285" s="344"/>
      <c r="F285" s="344"/>
      <c r="G285" s="344"/>
      <c r="H285" s="345"/>
      <c r="I285" s="343" t="str">
        <f>D285</f>
        <v>31° - 34°</v>
      </c>
      <c r="J285" s="344"/>
      <c r="K285" s="344"/>
      <c r="L285" s="345"/>
    </row>
    <row r="286" spans="1:16" s="87" customFormat="1" ht="19.5" customHeight="1">
      <c r="A286" s="310" t="s">
        <v>62</v>
      </c>
      <c r="B286" s="310"/>
      <c r="C286" s="310"/>
      <c r="D286" s="310"/>
      <c r="E286" s="310"/>
      <c r="F286" s="310"/>
      <c r="G286" s="310"/>
      <c r="H286" s="310"/>
      <c r="I286" s="310"/>
      <c r="J286" s="310"/>
      <c r="K286" s="310"/>
      <c r="L286" s="310"/>
      <c r="M286" s="85"/>
      <c r="N286" s="218"/>
    </row>
    <row r="287" spans="1:16" s="87" customFormat="1" ht="15.75">
      <c r="A287" s="332" t="s">
        <v>63</v>
      </c>
      <c r="B287" s="332"/>
      <c r="C287" s="332"/>
      <c r="D287" s="332"/>
      <c r="E287" s="332"/>
      <c r="F287" s="332"/>
      <c r="G287" s="332"/>
      <c r="H287" s="332"/>
      <c r="I287" s="332"/>
      <c r="J287" s="332"/>
      <c r="K287" s="332"/>
      <c r="L287" s="332"/>
      <c r="M287" s="85"/>
      <c r="N287" s="218"/>
    </row>
    <row r="288" spans="1:16" s="87" customFormat="1" ht="20.100000000000001" customHeight="1">
      <c r="A288" s="88"/>
      <c r="B288" s="88"/>
      <c r="C288" s="333" t="s">
        <v>64</v>
      </c>
      <c r="D288" s="334"/>
      <c r="E288" s="334"/>
      <c r="F288" s="334"/>
      <c r="G288" s="334"/>
      <c r="H288" s="334"/>
      <c r="I288" s="334"/>
      <c r="J288" s="334"/>
      <c r="K288" s="334"/>
      <c r="L288" s="334"/>
      <c r="M288" s="85"/>
      <c r="N288" s="218"/>
    </row>
    <row r="289" spans="1:29" s="87" customFormat="1" ht="20.100000000000001" customHeight="1">
      <c r="A289" s="88"/>
      <c r="B289" s="88"/>
      <c r="C289" s="333" t="s">
        <v>65</v>
      </c>
      <c r="D289" s="334"/>
      <c r="E289" s="334"/>
      <c r="F289" s="334"/>
      <c r="G289" s="334"/>
      <c r="H289" s="334"/>
      <c r="I289" s="334"/>
      <c r="J289" s="334"/>
      <c r="K289" s="334"/>
      <c r="L289" s="334"/>
      <c r="M289" s="85"/>
      <c r="N289" s="218"/>
    </row>
    <row r="290" spans="1:29" s="87" customFormat="1" ht="17.25" customHeight="1">
      <c r="A290" s="335" t="s">
        <v>66</v>
      </c>
      <c r="B290" s="335"/>
      <c r="C290" s="335"/>
      <c r="D290" s="335"/>
      <c r="E290" s="335"/>
      <c r="F290" s="335"/>
      <c r="G290" s="335"/>
      <c r="H290" s="335"/>
      <c r="I290" s="335"/>
      <c r="J290" s="335"/>
      <c r="K290" s="335"/>
      <c r="L290" s="335"/>
      <c r="M290" s="85"/>
      <c r="N290" s="218"/>
    </row>
    <row r="291" spans="1:29" s="87" customFormat="1" ht="7.5" customHeight="1">
      <c r="A291" s="119"/>
      <c r="B291" s="119"/>
      <c r="C291" s="119"/>
      <c r="D291" s="119"/>
      <c r="E291" s="119"/>
      <c r="F291" s="119"/>
      <c r="G291" s="119"/>
      <c r="H291" s="119"/>
      <c r="I291" s="119"/>
      <c r="J291" s="119"/>
      <c r="K291" s="119"/>
      <c r="L291" s="119"/>
      <c r="M291" s="85"/>
      <c r="N291" s="218"/>
    </row>
    <row r="292" spans="1:29" ht="15.75">
      <c r="A292" s="336" t="s">
        <v>67</v>
      </c>
      <c r="B292" s="336"/>
      <c r="C292" s="336"/>
      <c r="D292" s="336"/>
      <c r="E292" s="336"/>
      <c r="F292" s="336"/>
      <c r="G292" s="336"/>
      <c r="H292" s="336"/>
      <c r="I292" s="336"/>
      <c r="J292" s="336"/>
      <c r="K292" s="336"/>
      <c r="L292" s="336"/>
    </row>
    <row r="293" spans="1:29" ht="2.25" customHeight="1">
      <c r="A293" s="141"/>
      <c r="B293" s="141"/>
      <c r="C293" s="141"/>
      <c r="D293" s="141"/>
      <c r="E293" s="141"/>
      <c r="F293" s="141"/>
      <c r="G293" s="155"/>
      <c r="H293" s="155"/>
      <c r="I293" s="155"/>
      <c r="J293" s="155"/>
      <c r="K293" s="155"/>
      <c r="L293" s="155"/>
    </row>
    <row r="294" spans="1:29" ht="27.75" customHeight="1">
      <c r="A294" s="317" t="s">
        <v>135</v>
      </c>
      <c r="B294" s="318"/>
      <c r="C294" s="317" t="s">
        <v>68</v>
      </c>
      <c r="D294" s="318"/>
      <c r="E294" s="183"/>
      <c r="F294" s="321" t="s">
        <v>136</v>
      </c>
      <c r="G294" s="322" t="s">
        <v>155</v>
      </c>
      <c r="H294" s="323"/>
      <c r="I294" s="323"/>
      <c r="J294" s="322" t="s">
        <v>154</v>
      </c>
      <c r="K294" s="323"/>
      <c r="L294" s="324"/>
      <c r="M294" s="92"/>
      <c r="O294" s="325"/>
      <c r="P294" s="325"/>
      <c r="Q294" s="325"/>
      <c r="R294" s="325"/>
      <c r="S294" s="316"/>
      <c r="T294" s="316"/>
      <c r="U294" s="316"/>
      <c r="V294" s="316"/>
      <c r="W294" s="316"/>
      <c r="X294" s="316"/>
      <c r="Y294" s="316"/>
      <c r="Z294" s="316"/>
      <c r="AA294" s="316"/>
      <c r="AB294" s="316"/>
      <c r="AC294" s="316"/>
    </row>
    <row r="295" spans="1:29" ht="125.25" customHeight="1">
      <c r="A295" s="319"/>
      <c r="B295" s="320"/>
      <c r="C295" s="319"/>
      <c r="D295" s="320"/>
      <c r="E295" s="184"/>
      <c r="F295" s="321"/>
      <c r="G295" s="153" t="s">
        <v>151</v>
      </c>
      <c r="H295" s="153" t="s">
        <v>152</v>
      </c>
      <c r="I295" s="153" t="s">
        <v>153</v>
      </c>
      <c r="J295" s="153" t="s">
        <v>151</v>
      </c>
      <c r="K295" s="153" t="s">
        <v>152</v>
      </c>
      <c r="L295" s="153" t="s">
        <v>153</v>
      </c>
      <c r="O295" s="325"/>
      <c r="P295" s="325"/>
      <c r="Q295" s="325"/>
      <c r="R295" s="325"/>
      <c r="S295" s="193"/>
      <c r="T295" s="193"/>
      <c r="U295" s="193"/>
      <c r="V295" s="193"/>
      <c r="W295" s="193"/>
      <c r="X295" s="193"/>
      <c r="Y295" s="193"/>
      <c r="Z295" s="193"/>
      <c r="AA295" s="193"/>
      <c r="AB295" s="193"/>
      <c r="AC295" s="193"/>
    </row>
    <row r="296" spans="1:29" ht="24.75" customHeight="1">
      <c r="A296" s="190" t="s">
        <v>128</v>
      </c>
      <c r="B296" s="142"/>
      <c r="C296" s="330" t="s">
        <v>129</v>
      </c>
      <c r="D296" s="330"/>
      <c r="E296" s="330"/>
      <c r="F296" s="330"/>
      <c r="G296" s="330"/>
      <c r="H296" s="330"/>
      <c r="I296" s="330"/>
      <c r="J296" s="330"/>
      <c r="K296" s="330"/>
      <c r="L296" s="330"/>
      <c r="M296" s="93"/>
      <c r="O296" s="156"/>
      <c r="P296" s="142"/>
      <c r="Q296" s="331"/>
      <c r="R296" s="331"/>
      <c r="S296" s="331"/>
      <c r="T296" s="331"/>
      <c r="U296" s="331"/>
      <c r="V296" s="331"/>
      <c r="W296" s="331"/>
      <c r="X296" s="331"/>
      <c r="Y296" s="331"/>
      <c r="Z296" s="331"/>
      <c r="AA296" s="331"/>
      <c r="AB296" s="331"/>
      <c r="AC296" s="331"/>
    </row>
    <row r="297" spans="1:29" ht="20.100000000000001" customHeight="1">
      <c r="A297" s="187">
        <v>1</v>
      </c>
      <c r="B297" s="185" t="s">
        <v>69</v>
      </c>
      <c r="C297" s="326" t="s">
        <v>70</v>
      </c>
      <c r="D297" s="326"/>
      <c r="E297" s="176"/>
      <c r="F297" s="144" t="s">
        <v>71</v>
      </c>
      <c r="G297" s="203" t="s">
        <v>156</v>
      </c>
      <c r="H297" s="202" t="s">
        <v>156</v>
      </c>
      <c r="I297" s="201">
        <v>1</v>
      </c>
      <c r="J297" s="202" t="s">
        <v>156</v>
      </c>
      <c r="K297" s="202" t="s">
        <v>156</v>
      </c>
      <c r="L297" s="201">
        <v>1</v>
      </c>
      <c r="M297" s="93"/>
      <c r="O297" s="195"/>
      <c r="P297" s="196"/>
      <c r="Q297" s="327"/>
      <c r="R297" s="327"/>
      <c r="S297" s="86"/>
      <c r="T297" s="86"/>
      <c r="U297" s="86"/>
      <c r="V297" s="86"/>
      <c r="W297" s="194"/>
      <c r="X297" s="194"/>
      <c r="Y297" s="194"/>
      <c r="Z297" s="194"/>
      <c r="AA297" s="194"/>
      <c r="AB297" s="194"/>
      <c r="AC297" s="194"/>
    </row>
    <row r="298" spans="1:29" ht="20.100000000000001" customHeight="1">
      <c r="A298" s="187">
        <v>2</v>
      </c>
      <c r="B298" s="185" t="s">
        <v>69</v>
      </c>
      <c r="C298" s="326" t="s">
        <v>72</v>
      </c>
      <c r="D298" s="326"/>
      <c r="E298" s="176"/>
      <c r="F298" s="144" t="s">
        <v>71</v>
      </c>
      <c r="G298" s="203" t="s">
        <v>156</v>
      </c>
      <c r="H298" s="202" t="s">
        <v>156</v>
      </c>
      <c r="I298" s="202" t="s">
        <v>156</v>
      </c>
      <c r="J298" s="202" t="s">
        <v>156</v>
      </c>
      <c r="K298" s="202" t="s">
        <v>156</v>
      </c>
      <c r="L298" s="202" t="s">
        <v>156</v>
      </c>
      <c r="M298" s="93"/>
      <c r="O298" s="195"/>
      <c r="P298" s="196"/>
      <c r="Q298" s="327"/>
      <c r="R298" s="327"/>
      <c r="S298" s="194"/>
      <c r="T298" s="194"/>
      <c r="U298" s="194"/>
      <c r="V298" s="86"/>
      <c r="W298" s="86"/>
      <c r="X298" s="86"/>
      <c r="Y298" s="86"/>
      <c r="Z298" s="194"/>
      <c r="AA298" s="194"/>
      <c r="AB298" s="194"/>
      <c r="AC298" s="194"/>
    </row>
    <row r="299" spans="1:29" ht="20.100000000000001" customHeight="1">
      <c r="A299" s="187">
        <v>3</v>
      </c>
      <c r="B299" s="185" t="s">
        <v>69</v>
      </c>
      <c r="C299" s="326" t="s">
        <v>73</v>
      </c>
      <c r="D299" s="326"/>
      <c r="E299" s="176"/>
      <c r="F299" s="144" t="s">
        <v>71</v>
      </c>
      <c r="G299" s="203" t="s">
        <v>156</v>
      </c>
      <c r="H299" s="202" t="s">
        <v>156</v>
      </c>
      <c r="I299" s="202" t="s">
        <v>156</v>
      </c>
      <c r="J299" s="202" t="s">
        <v>156</v>
      </c>
      <c r="K299" s="202" t="s">
        <v>156</v>
      </c>
      <c r="L299" s="202" t="s">
        <v>156</v>
      </c>
      <c r="M299" s="93"/>
      <c r="O299" s="195"/>
      <c r="P299" s="196"/>
      <c r="Q299" s="327"/>
      <c r="R299" s="327"/>
      <c r="S299" s="194"/>
      <c r="T299" s="86"/>
      <c r="U299" s="86"/>
      <c r="V299" s="86"/>
      <c r="W299" s="86"/>
      <c r="X299" s="194"/>
      <c r="Y299" s="194"/>
      <c r="Z299" s="194"/>
      <c r="AA299" s="194"/>
      <c r="AB299" s="194"/>
      <c r="AC299" s="194"/>
    </row>
    <row r="300" spans="1:29" ht="20.100000000000001" customHeight="1">
      <c r="A300" s="187">
        <v>4</v>
      </c>
      <c r="B300" s="185" t="s">
        <v>69</v>
      </c>
      <c r="C300" s="326" t="s">
        <v>98</v>
      </c>
      <c r="D300" s="326"/>
      <c r="E300" s="176"/>
      <c r="F300" s="144" t="s">
        <v>71</v>
      </c>
      <c r="G300" s="203" t="s">
        <v>156</v>
      </c>
      <c r="H300" s="202" t="s">
        <v>156</v>
      </c>
      <c r="I300" s="202" t="s">
        <v>156</v>
      </c>
      <c r="J300" s="202" t="s">
        <v>156</v>
      </c>
      <c r="K300" s="202" t="s">
        <v>156</v>
      </c>
      <c r="L300" s="202" t="s">
        <v>156</v>
      </c>
      <c r="M300" s="93"/>
      <c r="O300" s="195"/>
      <c r="P300" s="196"/>
      <c r="Q300" s="327"/>
      <c r="R300" s="327"/>
      <c r="S300" s="194"/>
      <c r="T300" s="194"/>
      <c r="U300" s="194"/>
      <c r="V300" s="194"/>
      <c r="W300" s="194"/>
      <c r="X300" s="194"/>
      <c r="Y300" s="194"/>
      <c r="Z300" s="86"/>
      <c r="AA300" s="86"/>
      <c r="AB300" s="86"/>
      <c r="AC300" s="86"/>
    </row>
    <row r="301" spans="1:29" ht="20.100000000000001" customHeight="1">
      <c r="A301" s="187">
        <v>5</v>
      </c>
      <c r="B301" s="185" t="s">
        <v>69</v>
      </c>
      <c r="C301" s="326" t="s">
        <v>74</v>
      </c>
      <c r="D301" s="326"/>
      <c r="E301" s="176"/>
      <c r="F301" s="144" t="s">
        <v>71</v>
      </c>
      <c r="G301" s="203" t="s">
        <v>156</v>
      </c>
      <c r="H301" s="202" t="s">
        <v>156</v>
      </c>
      <c r="I301" s="202" t="s">
        <v>156</v>
      </c>
      <c r="J301" s="202" t="s">
        <v>156</v>
      </c>
      <c r="K301" s="202" t="s">
        <v>156</v>
      </c>
      <c r="L301" s="202" t="s">
        <v>156</v>
      </c>
      <c r="M301" s="93"/>
      <c r="O301" s="195"/>
      <c r="P301" s="196"/>
      <c r="Q301" s="327"/>
      <c r="R301" s="327"/>
      <c r="S301" s="194"/>
      <c r="T301" s="194"/>
      <c r="U301" s="194"/>
      <c r="V301" s="194"/>
      <c r="W301" s="194"/>
      <c r="X301" s="194"/>
      <c r="Y301" s="194"/>
      <c r="Z301" s="194"/>
      <c r="AA301" s="194"/>
      <c r="AB301" s="194"/>
      <c r="AC301" s="194"/>
    </row>
    <row r="302" spans="1:29" ht="20.100000000000001" customHeight="1">
      <c r="A302" s="187">
        <v>6</v>
      </c>
      <c r="B302" s="185" t="s">
        <v>69</v>
      </c>
      <c r="C302" s="326" t="s">
        <v>75</v>
      </c>
      <c r="D302" s="326"/>
      <c r="E302" s="176"/>
      <c r="F302" s="144" t="s">
        <v>71</v>
      </c>
      <c r="G302" s="203" t="s">
        <v>156</v>
      </c>
      <c r="H302" s="202" t="s">
        <v>156</v>
      </c>
      <c r="I302" s="202" t="s">
        <v>156</v>
      </c>
      <c r="J302" s="202" t="s">
        <v>156</v>
      </c>
      <c r="K302" s="202" t="s">
        <v>156</v>
      </c>
      <c r="L302" s="202" t="s">
        <v>156</v>
      </c>
      <c r="M302" s="93"/>
      <c r="O302" s="195"/>
      <c r="P302" s="196"/>
      <c r="Q302" s="327"/>
      <c r="R302" s="327"/>
      <c r="S302" s="194"/>
      <c r="T302" s="194"/>
      <c r="U302" s="194"/>
      <c r="V302" s="194"/>
      <c r="W302" s="194"/>
      <c r="X302" s="194"/>
      <c r="Y302" s="194"/>
      <c r="Z302" s="194"/>
      <c r="AA302" s="194"/>
      <c r="AB302" s="194"/>
      <c r="AC302" s="194"/>
    </row>
    <row r="303" spans="1:29" ht="20.100000000000001" customHeight="1">
      <c r="A303" s="187">
        <v>7</v>
      </c>
      <c r="B303" s="185" t="s">
        <v>69</v>
      </c>
      <c r="C303" s="326" t="s">
        <v>76</v>
      </c>
      <c r="D303" s="326"/>
      <c r="E303" s="176"/>
      <c r="F303" s="144" t="s">
        <v>71</v>
      </c>
      <c r="G303" s="203" t="s">
        <v>156</v>
      </c>
      <c r="H303" s="202" t="s">
        <v>156</v>
      </c>
      <c r="I303" s="202" t="s">
        <v>156</v>
      </c>
      <c r="J303" s="202" t="s">
        <v>156</v>
      </c>
      <c r="K303" s="202" t="s">
        <v>156</v>
      </c>
      <c r="L303" s="202" t="s">
        <v>156</v>
      </c>
      <c r="M303" s="93"/>
      <c r="O303" s="195"/>
      <c r="P303" s="196"/>
      <c r="Q303" s="327"/>
      <c r="R303" s="327"/>
      <c r="S303" s="194"/>
      <c r="T303" s="194"/>
      <c r="U303" s="194"/>
      <c r="V303" s="194"/>
      <c r="W303" s="194"/>
      <c r="X303" s="194"/>
      <c r="Y303" s="194"/>
      <c r="Z303" s="194"/>
      <c r="AA303" s="194"/>
      <c r="AB303" s="194"/>
      <c r="AC303" s="194"/>
    </row>
    <row r="304" spans="1:29" ht="20.100000000000001" customHeight="1">
      <c r="A304" s="187">
        <v>8</v>
      </c>
      <c r="B304" s="185" t="s">
        <v>69</v>
      </c>
      <c r="C304" s="326" t="s">
        <v>99</v>
      </c>
      <c r="D304" s="326"/>
      <c r="E304" s="176"/>
      <c r="F304" s="144" t="s">
        <v>71</v>
      </c>
      <c r="G304" s="203" t="s">
        <v>156</v>
      </c>
      <c r="H304" s="202" t="s">
        <v>156</v>
      </c>
      <c r="I304" s="202" t="s">
        <v>156</v>
      </c>
      <c r="J304" s="202" t="s">
        <v>156</v>
      </c>
      <c r="K304" s="202" t="s">
        <v>156</v>
      </c>
      <c r="L304" s="202" t="s">
        <v>156</v>
      </c>
      <c r="M304" s="93"/>
      <c r="O304" s="195"/>
      <c r="P304" s="196"/>
      <c r="Q304" s="327"/>
      <c r="R304" s="327"/>
      <c r="S304" s="194"/>
      <c r="T304" s="194"/>
      <c r="U304" s="194"/>
      <c r="V304" s="194"/>
      <c r="W304" s="194"/>
      <c r="X304" s="194"/>
      <c r="Y304" s="194"/>
      <c r="Z304" s="194"/>
      <c r="AA304" s="194"/>
      <c r="AB304" s="194"/>
      <c r="AC304" s="194"/>
    </row>
    <row r="305" spans="1:29" ht="20.100000000000001" customHeight="1">
      <c r="A305" s="187">
        <v>9</v>
      </c>
      <c r="B305" s="185" t="s">
        <v>69</v>
      </c>
      <c r="C305" s="326" t="s">
        <v>77</v>
      </c>
      <c r="D305" s="326"/>
      <c r="E305" s="176"/>
      <c r="F305" s="144" t="s">
        <v>71</v>
      </c>
      <c r="G305" s="203" t="s">
        <v>156</v>
      </c>
      <c r="H305" s="202" t="s">
        <v>156</v>
      </c>
      <c r="I305" s="202" t="s">
        <v>156</v>
      </c>
      <c r="J305" s="202" t="s">
        <v>156</v>
      </c>
      <c r="K305" s="202" t="s">
        <v>156</v>
      </c>
      <c r="L305" s="202" t="s">
        <v>156</v>
      </c>
      <c r="M305" s="93"/>
      <c r="O305" s="195"/>
      <c r="P305" s="196"/>
      <c r="Q305" s="327"/>
      <c r="R305" s="327"/>
      <c r="S305" s="194"/>
      <c r="T305" s="194"/>
      <c r="U305" s="194"/>
      <c r="V305" s="194"/>
      <c r="W305" s="194"/>
      <c r="X305" s="194"/>
      <c r="Y305" s="194"/>
      <c r="Z305" s="194"/>
      <c r="AA305" s="194"/>
      <c r="AB305" s="194"/>
      <c r="AC305" s="194"/>
    </row>
    <row r="306" spans="1:29" ht="20.100000000000001" customHeight="1">
      <c r="A306" s="187">
        <v>10</v>
      </c>
      <c r="B306" s="185" t="s">
        <v>69</v>
      </c>
      <c r="C306" s="326" t="s">
        <v>78</v>
      </c>
      <c r="D306" s="326"/>
      <c r="E306" s="176"/>
      <c r="F306" s="144" t="s">
        <v>71</v>
      </c>
      <c r="G306" s="203" t="s">
        <v>156</v>
      </c>
      <c r="H306" s="202" t="s">
        <v>156</v>
      </c>
      <c r="I306" s="202" t="s">
        <v>156</v>
      </c>
      <c r="J306" s="202" t="s">
        <v>156</v>
      </c>
      <c r="K306" s="202" t="s">
        <v>156</v>
      </c>
      <c r="L306" s="202" t="s">
        <v>156</v>
      </c>
      <c r="M306" s="93"/>
      <c r="O306" s="195"/>
      <c r="P306" s="196"/>
      <c r="Q306" s="327"/>
      <c r="R306" s="327"/>
      <c r="S306" s="194"/>
      <c r="T306" s="194"/>
      <c r="U306" s="194"/>
      <c r="V306" s="194"/>
      <c r="W306" s="194"/>
      <c r="X306" s="194"/>
      <c r="Y306" s="194"/>
      <c r="Z306" s="194"/>
      <c r="AA306" s="194"/>
      <c r="AB306" s="194"/>
      <c r="AC306" s="194"/>
    </row>
    <row r="307" spans="1:29" ht="20.100000000000001" customHeight="1">
      <c r="A307" s="187">
        <v>11</v>
      </c>
      <c r="B307" s="185" t="s">
        <v>69</v>
      </c>
      <c r="C307" s="326" t="s">
        <v>79</v>
      </c>
      <c r="D307" s="326"/>
      <c r="E307" s="176"/>
      <c r="F307" s="144" t="s">
        <v>71</v>
      </c>
      <c r="G307" s="203" t="s">
        <v>156</v>
      </c>
      <c r="H307" s="202" t="s">
        <v>156</v>
      </c>
      <c r="I307" s="202" t="s">
        <v>156</v>
      </c>
      <c r="J307" s="202" t="s">
        <v>156</v>
      </c>
      <c r="K307" s="202" t="s">
        <v>156</v>
      </c>
      <c r="L307" s="202" t="s">
        <v>156</v>
      </c>
      <c r="M307" s="93"/>
      <c r="O307" s="195"/>
      <c r="P307" s="196"/>
      <c r="Q307" s="327"/>
      <c r="R307" s="327"/>
      <c r="S307" s="194"/>
      <c r="T307" s="194"/>
      <c r="U307" s="194"/>
      <c r="V307" s="194"/>
      <c r="W307" s="194"/>
      <c r="X307" s="194"/>
      <c r="Y307" s="194"/>
      <c r="Z307" s="194"/>
      <c r="AA307" s="194"/>
      <c r="AB307" s="194"/>
      <c r="AC307" s="194"/>
    </row>
    <row r="308" spans="1:29" ht="20.100000000000001" customHeight="1">
      <c r="A308" s="187">
        <v>12</v>
      </c>
      <c r="B308" s="185" t="s">
        <v>69</v>
      </c>
      <c r="C308" s="326" t="s">
        <v>100</v>
      </c>
      <c r="D308" s="326"/>
      <c r="E308" s="176"/>
      <c r="F308" s="144" t="s">
        <v>71</v>
      </c>
      <c r="G308" s="203" t="s">
        <v>156</v>
      </c>
      <c r="H308" s="202" t="s">
        <v>156</v>
      </c>
      <c r="I308" s="202" t="s">
        <v>156</v>
      </c>
      <c r="J308" s="202" t="s">
        <v>156</v>
      </c>
      <c r="K308" s="202" t="s">
        <v>156</v>
      </c>
      <c r="L308" s="202" t="s">
        <v>156</v>
      </c>
      <c r="M308" s="93"/>
      <c r="O308" s="195"/>
      <c r="P308" s="196"/>
      <c r="Q308" s="327"/>
      <c r="R308" s="327"/>
      <c r="S308" s="194"/>
      <c r="T308" s="194"/>
      <c r="U308" s="194"/>
      <c r="V308" s="194"/>
      <c r="W308" s="194"/>
      <c r="X308" s="194"/>
      <c r="Y308" s="194"/>
      <c r="Z308" s="194"/>
      <c r="AA308" s="194"/>
      <c r="AB308" s="194"/>
      <c r="AC308" s="194"/>
    </row>
    <row r="309" spans="1:29" ht="20.100000000000001" customHeight="1">
      <c r="A309" s="187">
        <v>13</v>
      </c>
      <c r="B309" s="185" t="s">
        <v>69</v>
      </c>
      <c r="C309" s="326" t="s">
        <v>80</v>
      </c>
      <c r="D309" s="326"/>
      <c r="E309" s="176"/>
      <c r="F309" s="144" t="s">
        <v>71</v>
      </c>
      <c r="G309" s="203" t="s">
        <v>156</v>
      </c>
      <c r="H309" s="202" t="s">
        <v>156</v>
      </c>
      <c r="I309" s="202" t="s">
        <v>156</v>
      </c>
      <c r="J309" s="202" t="s">
        <v>156</v>
      </c>
      <c r="K309" s="202" t="s">
        <v>156</v>
      </c>
      <c r="L309" s="202" t="s">
        <v>156</v>
      </c>
      <c r="M309" s="93"/>
      <c r="O309" s="195"/>
      <c r="P309" s="196"/>
      <c r="Q309" s="327"/>
      <c r="R309" s="327"/>
      <c r="S309" s="194"/>
      <c r="T309" s="194"/>
      <c r="U309" s="194"/>
      <c r="V309" s="194"/>
      <c r="W309" s="194"/>
      <c r="X309" s="194"/>
      <c r="Y309" s="194"/>
      <c r="Z309" s="194"/>
      <c r="AA309" s="194"/>
      <c r="AB309" s="194"/>
      <c r="AC309" s="194"/>
    </row>
    <row r="310" spans="1:29" ht="20.100000000000001" customHeight="1">
      <c r="A310" s="187">
        <v>14</v>
      </c>
      <c r="B310" s="185" t="s">
        <v>69</v>
      </c>
      <c r="C310" s="326" t="s">
        <v>91</v>
      </c>
      <c r="D310" s="326"/>
      <c r="E310" s="176"/>
      <c r="F310" s="144" t="s">
        <v>71</v>
      </c>
      <c r="G310" s="203" t="s">
        <v>156</v>
      </c>
      <c r="H310" s="202" t="s">
        <v>156</v>
      </c>
      <c r="I310" s="202" t="s">
        <v>156</v>
      </c>
      <c r="J310" s="202" t="s">
        <v>156</v>
      </c>
      <c r="K310" s="202" t="s">
        <v>156</v>
      </c>
      <c r="L310" s="202" t="s">
        <v>156</v>
      </c>
      <c r="M310" s="93"/>
      <c r="O310" s="195"/>
      <c r="P310" s="196"/>
      <c r="Q310" s="327"/>
      <c r="R310" s="327"/>
      <c r="S310" s="194"/>
      <c r="T310" s="194"/>
      <c r="U310" s="194"/>
      <c r="V310" s="194"/>
      <c r="W310" s="194"/>
      <c r="X310" s="194"/>
      <c r="Y310" s="194"/>
      <c r="Z310" s="194"/>
      <c r="AA310" s="194"/>
      <c r="AB310" s="194"/>
      <c r="AC310" s="194"/>
    </row>
    <row r="311" spans="1:29" ht="20.100000000000001" customHeight="1">
      <c r="A311" s="187">
        <v>15</v>
      </c>
      <c r="B311" s="185" t="s">
        <v>69</v>
      </c>
      <c r="C311" s="326" t="s">
        <v>81</v>
      </c>
      <c r="D311" s="326"/>
      <c r="E311" s="176"/>
      <c r="F311" s="144" t="s">
        <v>71</v>
      </c>
      <c r="G311" s="203" t="s">
        <v>156</v>
      </c>
      <c r="H311" s="202" t="s">
        <v>156</v>
      </c>
      <c r="I311" s="202" t="s">
        <v>156</v>
      </c>
      <c r="J311" s="202" t="s">
        <v>156</v>
      </c>
      <c r="K311" s="202" t="s">
        <v>156</v>
      </c>
      <c r="L311" s="202" t="s">
        <v>156</v>
      </c>
      <c r="M311" s="93"/>
      <c r="O311" s="195"/>
      <c r="P311" s="196"/>
      <c r="Q311" s="327"/>
      <c r="R311" s="327"/>
      <c r="S311" s="194"/>
      <c r="T311" s="194"/>
      <c r="U311" s="194"/>
      <c r="V311" s="194"/>
      <c r="W311" s="194"/>
      <c r="X311" s="194"/>
      <c r="Y311" s="194"/>
      <c r="Z311" s="194"/>
      <c r="AA311" s="194"/>
      <c r="AB311" s="194"/>
      <c r="AC311" s="194"/>
    </row>
    <row r="312" spans="1:29" ht="20.100000000000001" customHeight="1">
      <c r="A312" s="187">
        <v>16</v>
      </c>
      <c r="B312" s="185" t="s">
        <v>69</v>
      </c>
      <c r="C312" s="326" t="s">
        <v>101</v>
      </c>
      <c r="D312" s="326"/>
      <c r="E312" s="151"/>
      <c r="F312" s="144" t="s">
        <v>71</v>
      </c>
      <c r="G312" s="203" t="s">
        <v>156</v>
      </c>
      <c r="H312" s="202" t="s">
        <v>156</v>
      </c>
      <c r="I312" s="202" t="s">
        <v>156</v>
      </c>
      <c r="J312" s="202" t="s">
        <v>156</v>
      </c>
      <c r="K312" s="202" t="s">
        <v>156</v>
      </c>
      <c r="L312" s="202" t="s">
        <v>156</v>
      </c>
      <c r="M312" s="93"/>
      <c r="N312" s="219"/>
      <c r="O312" s="195"/>
      <c r="P312" s="196"/>
      <c r="Q312" s="327"/>
      <c r="R312" s="327"/>
      <c r="S312" s="197"/>
      <c r="T312" s="197"/>
      <c r="U312" s="197"/>
      <c r="V312" s="197"/>
      <c r="W312" s="197"/>
      <c r="X312" s="197"/>
      <c r="Y312" s="197"/>
      <c r="Z312" s="197"/>
      <c r="AA312" s="197"/>
      <c r="AB312" s="197"/>
      <c r="AC312" s="197"/>
    </row>
    <row r="313" spans="1:29" ht="20.100000000000001" customHeight="1">
      <c r="A313" s="187">
        <v>17</v>
      </c>
      <c r="B313" s="186" t="s">
        <v>69</v>
      </c>
      <c r="C313" s="326" t="s">
        <v>141</v>
      </c>
      <c r="D313" s="326"/>
      <c r="E313" s="151"/>
      <c r="F313" s="144" t="s">
        <v>71</v>
      </c>
      <c r="G313" s="203" t="s">
        <v>156</v>
      </c>
      <c r="H313" s="202" t="s">
        <v>156</v>
      </c>
      <c r="I313" s="202" t="s">
        <v>156</v>
      </c>
      <c r="J313" s="202" t="s">
        <v>156</v>
      </c>
      <c r="K313" s="202" t="s">
        <v>156</v>
      </c>
      <c r="L313" s="202" t="s">
        <v>156</v>
      </c>
      <c r="M313" s="93"/>
      <c r="N313" s="219"/>
      <c r="O313" s="195"/>
      <c r="P313" s="104"/>
      <c r="Q313" s="327"/>
      <c r="R313" s="327"/>
      <c r="S313" s="197"/>
      <c r="T313" s="197"/>
      <c r="U313" s="197"/>
      <c r="V313" s="197"/>
      <c r="W313" s="197"/>
      <c r="X313" s="197"/>
      <c r="Y313" s="197"/>
      <c r="Z313" s="197"/>
      <c r="AA313" s="197"/>
      <c r="AB313" s="197"/>
      <c r="AC313" s="197"/>
    </row>
    <row r="314" spans="1:29" ht="20.100000000000001" customHeight="1">
      <c r="A314" s="187">
        <v>18</v>
      </c>
      <c r="B314" s="186" t="s">
        <v>69</v>
      </c>
      <c r="C314" s="326" t="s">
        <v>142</v>
      </c>
      <c r="D314" s="326"/>
      <c r="E314" s="151"/>
      <c r="F314" s="144" t="s">
        <v>71</v>
      </c>
      <c r="G314" s="203" t="s">
        <v>156</v>
      </c>
      <c r="H314" s="202" t="s">
        <v>156</v>
      </c>
      <c r="I314" s="202" t="s">
        <v>156</v>
      </c>
      <c r="J314" s="202" t="s">
        <v>156</v>
      </c>
      <c r="K314" s="202" t="s">
        <v>156</v>
      </c>
      <c r="L314" s="202" t="s">
        <v>156</v>
      </c>
      <c r="M314" s="93"/>
      <c r="N314" s="219"/>
      <c r="O314" s="195"/>
      <c r="P314" s="104"/>
      <c r="Q314" s="327"/>
      <c r="R314" s="327"/>
      <c r="S314" s="197"/>
      <c r="T314" s="197"/>
      <c r="U314" s="197"/>
      <c r="V314" s="197"/>
      <c r="W314" s="197"/>
      <c r="X314" s="197"/>
      <c r="Y314" s="197"/>
      <c r="Z314" s="197"/>
      <c r="AA314" s="197"/>
      <c r="AB314" s="197"/>
      <c r="AC314" s="197"/>
    </row>
    <row r="315" spans="1:29" ht="20.100000000000001" customHeight="1">
      <c r="A315" s="187">
        <v>19</v>
      </c>
      <c r="B315" s="186" t="s">
        <v>69</v>
      </c>
      <c r="C315" s="326" t="s">
        <v>143</v>
      </c>
      <c r="D315" s="326"/>
      <c r="E315" s="151"/>
      <c r="F315" s="144" t="s">
        <v>71</v>
      </c>
      <c r="G315" s="203" t="s">
        <v>156</v>
      </c>
      <c r="H315" s="202" t="s">
        <v>156</v>
      </c>
      <c r="I315" s="202" t="s">
        <v>156</v>
      </c>
      <c r="J315" s="202" t="s">
        <v>156</v>
      </c>
      <c r="K315" s="202" t="s">
        <v>156</v>
      </c>
      <c r="L315" s="202" t="s">
        <v>156</v>
      </c>
      <c r="M315" s="93"/>
      <c r="N315" s="219"/>
      <c r="O315" s="195"/>
      <c r="P315" s="104"/>
      <c r="Q315" s="327"/>
      <c r="R315" s="327"/>
      <c r="S315" s="197"/>
      <c r="T315" s="197"/>
      <c r="U315" s="197"/>
      <c r="V315" s="197"/>
      <c r="W315" s="197"/>
      <c r="X315" s="197"/>
      <c r="Y315" s="197"/>
      <c r="Z315" s="197"/>
      <c r="AA315" s="197"/>
      <c r="AB315" s="197"/>
      <c r="AC315" s="197"/>
    </row>
    <row r="316" spans="1:29" ht="20.100000000000001" customHeight="1">
      <c r="A316" s="187">
        <v>20</v>
      </c>
      <c r="B316" s="186" t="s">
        <v>69</v>
      </c>
      <c r="C316" s="326" t="s">
        <v>102</v>
      </c>
      <c r="D316" s="326"/>
      <c r="E316" s="150"/>
      <c r="F316" s="154" t="s">
        <v>71</v>
      </c>
      <c r="G316" s="203" t="s">
        <v>156</v>
      </c>
      <c r="H316" s="202" t="s">
        <v>156</v>
      </c>
      <c r="I316" s="202" t="s">
        <v>156</v>
      </c>
      <c r="J316" s="202" t="s">
        <v>156</v>
      </c>
      <c r="K316" s="202" t="s">
        <v>156</v>
      </c>
      <c r="L316" s="202" t="s">
        <v>156</v>
      </c>
      <c r="M316" s="93"/>
      <c r="N316" s="219"/>
      <c r="O316" s="195"/>
      <c r="P316" s="104"/>
      <c r="Q316" s="327"/>
      <c r="R316" s="327"/>
      <c r="S316" s="197"/>
      <c r="T316" s="197"/>
      <c r="U316" s="197"/>
      <c r="V316" s="197"/>
      <c r="W316" s="197"/>
      <c r="X316" s="197"/>
      <c r="Y316" s="197"/>
      <c r="Z316" s="197"/>
      <c r="AA316" s="197"/>
      <c r="AB316" s="197"/>
      <c r="AC316" s="197"/>
    </row>
    <row r="317" spans="1:29" ht="24.75" customHeight="1">
      <c r="A317" s="190" t="s">
        <v>128</v>
      </c>
      <c r="B317" s="142"/>
      <c r="C317" s="330" t="s">
        <v>130</v>
      </c>
      <c r="D317" s="330"/>
      <c r="E317" s="330"/>
      <c r="F317" s="330"/>
      <c r="G317" s="330"/>
      <c r="H317" s="330"/>
      <c r="I317" s="330"/>
      <c r="J317" s="330"/>
      <c r="K317" s="330"/>
      <c r="L317" s="330"/>
      <c r="M317" s="93"/>
      <c r="O317" s="156"/>
      <c r="P317" s="142"/>
      <c r="Q317" s="331"/>
      <c r="R317" s="331"/>
      <c r="S317" s="331"/>
      <c r="T317" s="331"/>
      <c r="U317" s="331"/>
      <c r="V317" s="331"/>
      <c r="W317" s="331"/>
      <c r="X317" s="331"/>
      <c r="Y317" s="331"/>
      <c r="Z317" s="331"/>
      <c r="AA317" s="331"/>
      <c r="AB317" s="331"/>
      <c r="AC317" s="331"/>
    </row>
    <row r="318" spans="1:29" ht="33" customHeight="1">
      <c r="A318" s="189">
        <v>21</v>
      </c>
      <c r="B318" s="188" t="s">
        <v>69</v>
      </c>
      <c r="C318" s="307" t="s">
        <v>82</v>
      </c>
      <c r="D318" s="308"/>
      <c r="E318" s="182"/>
      <c r="F318" s="191" t="s">
        <v>71</v>
      </c>
      <c r="G318" s="201">
        <v>58</v>
      </c>
      <c r="H318" s="201">
        <v>40</v>
      </c>
      <c r="I318" s="201">
        <v>21</v>
      </c>
      <c r="J318" s="201">
        <v>58</v>
      </c>
      <c r="K318" s="201">
        <v>40</v>
      </c>
      <c r="L318" s="201">
        <v>21</v>
      </c>
      <c r="M318" s="89"/>
      <c r="N318" s="219"/>
      <c r="O318" s="199"/>
      <c r="P318" s="200"/>
      <c r="Q318" s="309"/>
      <c r="R318" s="309"/>
      <c r="S318" s="86"/>
      <c r="T318" s="86"/>
      <c r="U318" s="86"/>
      <c r="V318" s="86"/>
      <c r="W318" s="86"/>
      <c r="X318" s="86"/>
      <c r="Y318" s="86"/>
      <c r="Z318" s="86"/>
      <c r="AA318" s="86"/>
      <c r="AB318" s="86"/>
      <c r="AC318" s="86"/>
    </row>
    <row r="319" spans="1:29" ht="33" customHeight="1">
      <c r="A319" s="189">
        <v>22</v>
      </c>
      <c r="B319" s="188" t="s">
        <v>69</v>
      </c>
      <c r="C319" s="307" t="s">
        <v>103</v>
      </c>
      <c r="D319" s="308"/>
      <c r="E319" s="179"/>
      <c r="F319" s="191" t="s">
        <v>71</v>
      </c>
      <c r="G319" s="201">
        <v>9</v>
      </c>
      <c r="H319" s="201">
        <v>9</v>
      </c>
      <c r="I319" s="201">
        <v>7</v>
      </c>
      <c r="J319" s="201">
        <v>9</v>
      </c>
      <c r="K319" s="201">
        <v>9</v>
      </c>
      <c r="L319" s="201">
        <v>7</v>
      </c>
      <c r="M319" s="89"/>
      <c r="N319" s="219"/>
      <c r="O319" s="199"/>
      <c r="P319" s="200"/>
      <c r="Q319" s="309"/>
      <c r="R319" s="309"/>
      <c r="S319" s="86"/>
      <c r="T319" s="86"/>
      <c r="U319" s="86"/>
      <c r="V319" s="86"/>
      <c r="W319" s="86"/>
      <c r="X319" s="86"/>
      <c r="Y319" s="86"/>
      <c r="Z319" s="86"/>
      <c r="AA319" s="86"/>
      <c r="AB319" s="86"/>
      <c r="AC319" s="86"/>
    </row>
    <row r="320" spans="1:29" ht="33" customHeight="1">
      <c r="A320" s="189">
        <v>23</v>
      </c>
      <c r="B320" s="188" t="s">
        <v>69</v>
      </c>
      <c r="C320" s="307" t="s">
        <v>104</v>
      </c>
      <c r="D320" s="308"/>
      <c r="E320" s="179"/>
      <c r="F320" s="191" t="s">
        <v>71</v>
      </c>
      <c r="G320" s="201">
        <v>5</v>
      </c>
      <c r="H320" s="201">
        <v>1</v>
      </c>
      <c r="I320" s="201">
        <v>1</v>
      </c>
      <c r="J320" s="201">
        <v>5</v>
      </c>
      <c r="K320" s="201">
        <v>1</v>
      </c>
      <c r="L320" s="201">
        <v>1</v>
      </c>
      <c r="M320" s="89"/>
      <c r="N320" s="219"/>
      <c r="O320" s="199"/>
      <c r="P320" s="200"/>
      <c r="Q320" s="309"/>
      <c r="R320" s="309"/>
      <c r="S320" s="86"/>
      <c r="T320" s="86"/>
      <c r="U320" s="86"/>
      <c r="V320" s="86"/>
      <c r="W320" s="86"/>
      <c r="X320" s="86"/>
      <c r="Y320" s="86"/>
      <c r="Z320" s="86"/>
      <c r="AA320" s="86"/>
      <c r="AB320" s="86"/>
      <c r="AC320" s="86"/>
    </row>
    <row r="321" spans="1:29" ht="27.75" customHeight="1">
      <c r="A321" s="317" t="s">
        <v>135</v>
      </c>
      <c r="B321" s="318"/>
      <c r="C321" s="317" t="s">
        <v>68</v>
      </c>
      <c r="D321" s="318"/>
      <c r="E321" s="183"/>
      <c r="F321" s="321" t="s">
        <v>136</v>
      </c>
      <c r="G321" s="322" t="s">
        <v>155</v>
      </c>
      <c r="H321" s="323"/>
      <c r="I321" s="323"/>
      <c r="J321" s="322" t="s">
        <v>154</v>
      </c>
      <c r="K321" s="323"/>
      <c r="L321" s="324"/>
      <c r="M321" s="92"/>
      <c r="O321" s="325"/>
      <c r="P321" s="325"/>
      <c r="Q321" s="325"/>
      <c r="R321" s="325"/>
      <c r="S321" s="316"/>
      <c r="T321" s="316"/>
      <c r="U321" s="316"/>
      <c r="V321" s="316"/>
      <c r="W321" s="316"/>
      <c r="X321" s="316"/>
      <c r="Y321" s="316"/>
      <c r="Z321" s="316"/>
      <c r="AA321" s="316"/>
      <c r="AB321" s="316"/>
      <c r="AC321" s="316"/>
    </row>
    <row r="322" spans="1:29" ht="125.25" customHeight="1">
      <c r="A322" s="319"/>
      <c r="B322" s="320"/>
      <c r="C322" s="319"/>
      <c r="D322" s="320"/>
      <c r="E322" s="184"/>
      <c r="F322" s="321"/>
      <c r="G322" s="153" t="s">
        <v>151</v>
      </c>
      <c r="H322" s="153" t="s">
        <v>152</v>
      </c>
      <c r="I322" s="153" t="s">
        <v>153</v>
      </c>
      <c r="J322" s="153" t="s">
        <v>151</v>
      </c>
      <c r="K322" s="153" t="s">
        <v>152</v>
      </c>
      <c r="L322" s="153" t="s">
        <v>153</v>
      </c>
      <c r="O322" s="325"/>
      <c r="P322" s="325"/>
      <c r="Q322" s="325"/>
      <c r="R322" s="325"/>
      <c r="S322" s="193"/>
      <c r="T322" s="193"/>
      <c r="U322" s="193"/>
      <c r="V322" s="193"/>
      <c r="W322" s="193"/>
      <c r="X322" s="193"/>
      <c r="Y322" s="193"/>
      <c r="Z322" s="193"/>
      <c r="AA322" s="193"/>
      <c r="AB322" s="193"/>
      <c r="AC322" s="193"/>
    </row>
    <row r="323" spans="1:29" ht="30" customHeight="1">
      <c r="A323" s="189">
        <v>24</v>
      </c>
      <c r="B323" s="188" t="s">
        <v>69</v>
      </c>
      <c r="C323" s="307" t="s">
        <v>131</v>
      </c>
      <c r="D323" s="308"/>
      <c r="E323" s="179"/>
      <c r="F323" s="191" t="s">
        <v>71</v>
      </c>
      <c r="G323" s="202" t="s">
        <v>156</v>
      </c>
      <c r="H323" s="202" t="s">
        <v>156</v>
      </c>
      <c r="I323" s="202" t="s">
        <v>156</v>
      </c>
      <c r="J323" s="202" t="s">
        <v>156</v>
      </c>
      <c r="K323" s="202" t="s">
        <v>156</v>
      </c>
      <c r="L323" s="202" t="s">
        <v>156</v>
      </c>
      <c r="M323" s="89"/>
      <c r="N323" s="219"/>
      <c r="O323" s="199"/>
      <c r="P323" s="200"/>
      <c r="Q323" s="309"/>
      <c r="R323" s="309"/>
      <c r="S323" s="86"/>
      <c r="T323" s="86"/>
      <c r="U323" s="86"/>
      <c r="V323" s="86"/>
      <c r="W323" s="86"/>
      <c r="X323" s="86"/>
      <c r="Y323" s="86"/>
      <c r="Z323" s="86"/>
      <c r="AA323" s="86"/>
      <c r="AB323" s="86"/>
      <c r="AC323" s="86"/>
    </row>
    <row r="324" spans="1:29" ht="30" customHeight="1">
      <c r="A324" s="189">
        <v>25</v>
      </c>
      <c r="B324" s="188" t="s">
        <v>69</v>
      </c>
      <c r="C324" s="307" t="s">
        <v>83</v>
      </c>
      <c r="D324" s="308"/>
      <c r="E324" s="179"/>
      <c r="F324" s="191" t="s">
        <v>71</v>
      </c>
      <c r="G324" s="201">
        <v>25</v>
      </c>
      <c r="H324" s="201">
        <v>40</v>
      </c>
      <c r="I324" s="201">
        <v>22</v>
      </c>
      <c r="J324" s="201">
        <v>25</v>
      </c>
      <c r="K324" s="201">
        <v>40</v>
      </c>
      <c r="L324" s="201">
        <v>22</v>
      </c>
      <c r="M324" s="89"/>
      <c r="N324" s="219"/>
      <c r="O324" s="199"/>
      <c r="P324" s="200"/>
      <c r="Q324" s="309"/>
      <c r="R324" s="309"/>
      <c r="S324" s="86"/>
      <c r="T324" s="86"/>
      <c r="U324" s="86"/>
      <c r="V324" s="86"/>
      <c r="W324" s="86"/>
      <c r="X324" s="86"/>
      <c r="Y324" s="86"/>
      <c r="Z324" s="86"/>
      <c r="AA324" s="86"/>
      <c r="AB324" s="86"/>
      <c r="AC324" s="86"/>
    </row>
    <row r="325" spans="1:29" ht="30" customHeight="1">
      <c r="A325" s="189">
        <v>26</v>
      </c>
      <c r="B325" s="188" t="s">
        <v>69</v>
      </c>
      <c r="C325" s="307" t="s">
        <v>84</v>
      </c>
      <c r="D325" s="308"/>
      <c r="E325" s="179"/>
      <c r="F325" s="191" t="s">
        <v>71</v>
      </c>
      <c r="G325" s="201">
        <v>5</v>
      </c>
      <c r="H325" s="202" t="s">
        <v>156</v>
      </c>
      <c r="I325" s="202" t="s">
        <v>156</v>
      </c>
      <c r="J325" s="201">
        <v>5</v>
      </c>
      <c r="K325" s="202" t="s">
        <v>156</v>
      </c>
      <c r="L325" s="202" t="s">
        <v>156</v>
      </c>
      <c r="M325" s="89"/>
      <c r="N325" s="219"/>
      <c r="O325" s="199"/>
      <c r="P325" s="200"/>
      <c r="Q325" s="309"/>
      <c r="R325" s="309"/>
      <c r="S325" s="86"/>
      <c r="T325" s="86"/>
      <c r="U325" s="86"/>
      <c r="V325" s="86"/>
      <c r="W325" s="86"/>
      <c r="X325" s="86"/>
      <c r="Y325" s="86"/>
      <c r="Z325" s="86"/>
      <c r="AA325" s="86"/>
      <c r="AB325" s="86"/>
      <c r="AC325" s="86"/>
    </row>
    <row r="326" spans="1:29" ht="30" customHeight="1">
      <c r="A326" s="189">
        <v>27</v>
      </c>
      <c r="B326" s="188" t="s">
        <v>69</v>
      </c>
      <c r="C326" s="307" t="s">
        <v>85</v>
      </c>
      <c r="D326" s="308"/>
      <c r="E326" s="179"/>
      <c r="F326" s="191" t="s">
        <v>71</v>
      </c>
      <c r="G326" s="201">
        <v>3</v>
      </c>
      <c r="H326" s="201">
        <v>1</v>
      </c>
      <c r="I326" s="201">
        <v>8</v>
      </c>
      <c r="J326" s="201">
        <v>3</v>
      </c>
      <c r="K326" s="201">
        <v>1</v>
      </c>
      <c r="L326" s="201">
        <v>8</v>
      </c>
      <c r="M326" s="89"/>
      <c r="N326" s="219"/>
      <c r="O326" s="199"/>
      <c r="P326" s="200"/>
      <c r="Q326" s="309"/>
      <c r="R326" s="309"/>
      <c r="S326" s="86"/>
      <c r="T326" s="86"/>
      <c r="U326" s="86"/>
      <c r="V326" s="86"/>
      <c r="W326" s="86"/>
      <c r="X326" s="86"/>
      <c r="Y326" s="86"/>
      <c r="Z326" s="86"/>
      <c r="AA326" s="86"/>
      <c r="AB326" s="86"/>
      <c r="AC326" s="86"/>
    </row>
    <row r="327" spans="1:29" ht="30" customHeight="1">
      <c r="A327" s="189">
        <v>28</v>
      </c>
      <c r="B327" s="188" t="s">
        <v>69</v>
      </c>
      <c r="C327" s="307" t="s">
        <v>132</v>
      </c>
      <c r="D327" s="308"/>
      <c r="E327" s="179"/>
      <c r="F327" s="191" t="s">
        <v>71</v>
      </c>
      <c r="G327" s="202" t="s">
        <v>156</v>
      </c>
      <c r="H327" s="202" t="s">
        <v>156</v>
      </c>
      <c r="I327" s="202" t="s">
        <v>156</v>
      </c>
      <c r="J327" s="202" t="s">
        <v>156</v>
      </c>
      <c r="K327" s="202" t="s">
        <v>156</v>
      </c>
      <c r="L327" s="202" t="s">
        <v>156</v>
      </c>
      <c r="M327" s="89"/>
      <c r="N327" s="219"/>
      <c r="O327" s="199"/>
      <c r="P327" s="200"/>
      <c r="Q327" s="309"/>
      <c r="R327" s="309"/>
      <c r="S327" s="86"/>
      <c r="T327" s="86"/>
      <c r="U327" s="86"/>
      <c r="V327" s="86"/>
      <c r="W327" s="86"/>
      <c r="X327" s="86"/>
      <c r="Y327" s="86"/>
      <c r="Z327" s="86"/>
      <c r="AA327" s="86"/>
      <c r="AB327" s="86"/>
      <c r="AC327" s="86"/>
    </row>
    <row r="328" spans="1:29" ht="30" customHeight="1">
      <c r="A328" s="189">
        <v>29</v>
      </c>
      <c r="B328" s="188" t="s">
        <v>69</v>
      </c>
      <c r="C328" s="307" t="s">
        <v>86</v>
      </c>
      <c r="D328" s="308"/>
      <c r="E328" s="179"/>
      <c r="F328" s="191" t="s">
        <v>71</v>
      </c>
      <c r="G328" s="201">
        <v>10</v>
      </c>
      <c r="H328" s="201">
        <v>12</v>
      </c>
      <c r="I328" s="201">
        <v>9</v>
      </c>
      <c r="J328" s="201">
        <v>10</v>
      </c>
      <c r="K328" s="201">
        <v>12</v>
      </c>
      <c r="L328" s="201">
        <v>9</v>
      </c>
      <c r="M328" s="89"/>
      <c r="N328" s="219"/>
      <c r="O328" s="199"/>
      <c r="P328" s="200"/>
      <c r="Q328" s="309"/>
      <c r="R328" s="309"/>
      <c r="S328" s="86"/>
      <c r="T328" s="86"/>
      <c r="U328" s="86"/>
      <c r="V328" s="86"/>
      <c r="W328" s="86"/>
      <c r="X328" s="86"/>
      <c r="Y328" s="86"/>
      <c r="Z328" s="86"/>
      <c r="AA328" s="86"/>
      <c r="AB328" s="86"/>
      <c r="AC328" s="86"/>
    </row>
    <row r="329" spans="1:29" ht="30" customHeight="1">
      <c r="A329" s="189">
        <v>30</v>
      </c>
      <c r="B329" s="188" t="s">
        <v>69</v>
      </c>
      <c r="C329" s="307" t="s">
        <v>87</v>
      </c>
      <c r="D329" s="308"/>
      <c r="E329" s="179"/>
      <c r="F329" s="191" t="s">
        <v>71</v>
      </c>
      <c r="G329" s="202" t="s">
        <v>156</v>
      </c>
      <c r="H329" s="202" t="s">
        <v>156</v>
      </c>
      <c r="I329" s="202" t="s">
        <v>156</v>
      </c>
      <c r="J329" s="202" t="s">
        <v>156</v>
      </c>
      <c r="K329" s="202" t="s">
        <v>156</v>
      </c>
      <c r="L329" s="202" t="s">
        <v>156</v>
      </c>
      <c r="M329" s="89"/>
      <c r="N329" s="219"/>
      <c r="O329" s="199"/>
      <c r="P329" s="200"/>
      <c r="Q329" s="309"/>
      <c r="R329" s="309"/>
      <c r="S329" s="86"/>
      <c r="T329" s="86"/>
      <c r="U329" s="86"/>
      <c r="V329" s="86"/>
      <c r="W329" s="86"/>
      <c r="X329" s="86"/>
      <c r="Y329" s="86"/>
      <c r="Z329" s="86"/>
      <c r="AA329" s="86"/>
      <c r="AB329" s="86"/>
      <c r="AC329" s="86"/>
    </row>
    <row r="330" spans="1:29" ht="30" customHeight="1">
      <c r="A330" s="189">
        <v>31</v>
      </c>
      <c r="B330" s="188" t="s">
        <v>69</v>
      </c>
      <c r="C330" s="307" t="s">
        <v>105</v>
      </c>
      <c r="D330" s="308"/>
      <c r="E330" s="179"/>
      <c r="F330" s="191" t="s">
        <v>71</v>
      </c>
      <c r="G330" s="201">
        <v>2</v>
      </c>
      <c r="H330" s="203" t="s">
        <v>156</v>
      </c>
      <c r="I330" s="201">
        <v>8</v>
      </c>
      <c r="J330" s="201">
        <v>2</v>
      </c>
      <c r="K330" s="203" t="s">
        <v>156</v>
      </c>
      <c r="L330" s="201">
        <v>8</v>
      </c>
      <c r="M330" s="89"/>
      <c r="N330" s="219"/>
      <c r="O330" s="199"/>
      <c r="P330" s="200"/>
      <c r="Q330" s="309"/>
      <c r="R330" s="309"/>
      <c r="S330" s="86"/>
      <c r="T330" s="86"/>
      <c r="U330" s="86"/>
      <c r="V330" s="86"/>
      <c r="W330" s="86"/>
      <c r="X330" s="86"/>
      <c r="Y330" s="86"/>
      <c r="Z330" s="86"/>
      <c r="AA330" s="86"/>
      <c r="AB330" s="86"/>
      <c r="AC330" s="86"/>
    </row>
    <row r="331" spans="1:29" ht="30" customHeight="1">
      <c r="A331" s="189">
        <v>32</v>
      </c>
      <c r="B331" s="188" t="s">
        <v>69</v>
      </c>
      <c r="C331" s="307" t="s">
        <v>133</v>
      </c>
      <c r="D331" s="308"/>
      <c r="E331" s="179"/>
      <c r="F331" s="191" t="s">
        <v>71</v>
      </c>
      <c r="G331" s="202" t="s">
        <v>156</v>
      </c>
      <c r="H331" s="202" t="s">
        <v>156</v>
      </c>
      <c r="I331" s="202" t="s">
        <v>156</v>
      </c>
      <c r="J331" s="202" t="s">
        <v>156</v>
      </c>
      <c r="K331" s="202" t="s">
        <v>156</v>
      </c>
      <c r="L331" s="202" t="s">
        <v>156</v>
      </c>
      <c r="M331" s="89"/>
      <c r="N331" s="219"/>
      <c r="O331" s="199"/>
      <c r="P331" s="200"/>
      <c r="Q331" s="309"/>
      <c r="R331" s="309"/>
      <c r="S331" s="86"/>
      <c r="T331" s="86"/>
      <c r="U331" s="86"/>
      <c r="V331" s="86"/>
      <c r="W331" s="86"/>
      <c r="X331" s="86"/>
      <c r="Y331" s="86"/>
      <c r="Z331" s="86"/>
      <c r="AA331" s="86"/>
      <c r="AB331" s="86"/>
      <c r="AC331" s="86"/>
    </row>
    <row r="332" spans="1:29" ht="30" customHeight="1">
      <c r="A332" s="189">
        <v>33</v>
      </c>
      <c r="B332" s="188" t="s">
        <v>69</v>
      </c>
      <c r="C332" s="307" t="s">
        <v>88</v>
      </c>
      <c r="D332" s="308"/>
      <c r="E332" s="179"/>
      <c r="F332" s="191" t="s">
        <v>71</v>
      </c>
      <c r="G332" s="201">
        <v>3</v>
      </c>
      <c r="H332" s="201">
        <v>7</v>
      </c>
      <c r="I332" s="201">
        <v>7</v>
      </c>
      <c r="J332" s="201">
        <v>3</v>
      </c>
      <c r="K332" s="201">
        <v>7</v>
      </c>
      <c r="L332" s="201">
        <v>7</v>
      </c>
      <c r="M332" s="89"/>
      <c r="N332" s="219"/>
      <c r="O332" s="199"/>
      <c r="P332" s="200"/>
      <c r="Q332" s="309"/>
      <c r="R332" s="309"/>
      <c r="S332" s="86"/>
      <c r="T332" s="86"/>
      <c r="U332" s="86"/>
      <c r="V332" s="86"/>
      <c r="W332" s="86"/>
      <c r="X332" s="86"/>
      <c r="Y332" s="86"/>
      <c r="Z332" s="86"/>
      <c r="AA332" s="86"/>
      <c r="AB332" s="86"/>
      <c r="AC332" s="86"/>
    </row>
    <row r="333" spans="1:29" ht="30" customHeight="1">
      <c r="A333" s="189">
        <v>34</v>
      </c>
      <c r="B333" s="188" t="s">
        <v>69</v>
      </c>
      <c r="C333" s="307" t="s">
        <v>89</v>
      </c>
      <c r="D333" s="308"/>
      <c r="E333" s="179"/>
      <c r="F333" s="191" t="s">
        <v>71</v>
      </c>
      <c r="G333" s="202" t="s">
        <v>156</v>
      </c>
      <c r="H333" s="202" t="s">
        <v>156</v>
      </c>
      <c r="I333" s="202" t="s">
        <v>156</v>
      </c>
      <c r="J333" s="202" t="s">
        <v>156</v>
      </c>
      <c r="K333" s="202" t="s">
        <v>156</v>
      </c>
      <c r="L333" s="202" t="s">
        <v>156</v>
      </c>
      <c r="M333" s="89"/>
      <c r="N333" s="219"/>
      <c r="O333" s="199"/>
      <c r="P333" s="200"/>
      <c r="Q333" s="309"/>
      <c r="R333" s="309"/>
      <c r="S333" s="86"/>
      <c r="T333" s="86"/>
      <c r="U333" s="86"/>
      <c r="V333" s="86"/>
      <c r="W333" s="86"/>
      <c r="X333" s="86"/>
      <c r="Y333" s="86"/>
      <c r="Z333" s="86"/>
      <c r="AA333" s="86"/>
      <c r="AB333" s="86"/>
      <c r="AC333" s="86"/>
    </row>
    <row r="334" spans="1:29" ht="30" customHeight="1">
      <c r="A334" s="189">
        <v>35</v>
      </c>
      <c r="B334" s="188" t="s">
        <v>69</v>
      </c>
      <c r="C334" s="307" t="s">
        <v>140</v>
      </c>
      <c r="D334" s="308"/>
      <c r="E334" s="179"/>
      <c r="F334" s="191" t="s">
        <v>71</v>
      </c>
      <c r="G334" s="202" t="s">
        <v>156</v>
      </c>
      <c r="H334" s="202" t="s">
        <v>156</v>
      </c>
      <c r="I334" s="201">
        <v>3</v>
      </c>
      <c r="J334" s="202" t="s">
        <v>156</v>
      </c>
      <c r="K334" s="202" t="s">
        <v>156</v>
      </c>
      <c r="L334" s="201">
        <v>3</v>
      </c>
      <c r="M334" s="89"/>
      <c r="N334" s="220"/>
      <c r="O334" s="199"/>
      <c r="P334" s="200"/>
      <c r="Q334" s="309"/>
      <c r="R334" s="309"/>
      <c r="S334" s="86"/>
      <c r="T334" s="86"/>
      <c r="U334" s="86"/>
      <c r="V334" s="86"/>
      <c r="W334" s="86"/>
      <c r="X334" s="86"/>
      <c r="Y334" s="86"/>
      <c r="Z334" s="86"/>
      <c r="AA334" s="86"/>
      <c r="AB334" s="86"/>
      <c r="AC334" s="86"/>
    </row>
    <row r="335" spans="1:29" ht="30" customHeight="1">
      <c r="A335" s="189">
        <v>36</v>
      </c>
      <c r="B335" s="188" t="s">
        <v>69</v>
      </c>
      <c r="C335" s="307" t="s">
        <v>134</v>
      </c>
      <c r="D335" s="308"/>
      <c r="E335" s="179"/>
      <c r="F335" s="191" t="s">
        <v>71</v>
      </c>
      <c r="G335" s="202" t="s">
        <v>156</v>
      </c>
      <c r="H335" s="202" t="s">
        <v>156</v>
      </c>
      <c r="I335" s="202" t="s">
        <v>156</v>
      </c>
      <c r="J335" s="202" t="s">
        <v>156</v>
      </c>
      <c r="K335" s="202" t="s">
        <v>156</v>
      </c>
      <c r="L335" s="202" t="s">
        <v>156</v>
      </c>
      <c r="M335" s="89"/>
      <c r="N335" s="220"/>
      <c r="O335" s="199"/>
      <c r="P335" s="200"/>
      <c r="Q335" s="309"/>
      <c r="R335" s="309"/>
      <c r="S335" s="86"/>
      <c r="T335" s="86"/>
      <c r="U335" s="86"/>
      <c r="V335" s="86"/>
      <c r="W335" s="86"/>
      <c r="X335" s="86"/>
      <c r="Y335" s="86"/>
      <c r="Z335" s="86"/>
      <c r="AA335" s="86"/>
      <c r="AB335" s="86"/>
      <c r="AC335" s="86"/>
    </row>
    <row r="336" spans="1:29" ht="30" customHeight="1">
      <c r="A336" s="189">
        <v>37</v>
      </c>
      <c r="B336" s="188" t="s">
        <v>69</v>
      </c>
      <c r="C336" s="307" t="s">
        <v>90</v>
      </c>
      <c r="D336" s="308"/>
      <c r="E336" s="179"/>
      <c r="F336" s="191" t="s">
        <v>71</v>
      </c>
      <c r="G336" s="202" t="s">
        <v>156</v>
      </c>
      <c r="H336" s="202" t="s">
        <v>156</v>
      </c>
      <c r="I336" s="202" t="s">
        <v>156</v>
      </c>
      <c r="J336" s="202" t="s">
        <v>156</v>
      </c>
      <c r="K336" s="202" t="s">
        <v>156</v>
      </c>
      <c r="L336" s="202" t="s">
        <v>156</v>
      </c>
      <c r="M336" s="89"/>
      <c r="N336" s="220"/>
      <c r="O336" s="199"/>
      <c r="P336" s="200"/>
      <c r="Q336" s="309"/>
      <c r="R336" s="309"/>
      <c r="S336" s="86"/>
      <c r="T336" s="86"/>
      <c r="U336" s="86"/>
      <c r="V336" s="86"/>
      <c r="W336" s="86"/>
      <c r="X336" s="86"/>
      <c r="Y336" s="86"/>
      <c r="Z336" s="86"/>
      <c r="AA336" s="86"/>
      <c r="AB336" s="86"/>
      <c r="AC336" s="86"/>
    </row>
    <row r="337" spans="1:29" ht="30" customHeight="1">
      <c r="A337" s="189">
        <v>38</v>
      </c>
      <c r="B337" s="188" t="s">
        <v>69</v>
      </c>
      <c r="C337" s="307" t="s">
        <v>106</v>
      </c>
      <c r="D337" s="308"/>
      <c r="E337" s="150"/>
      <c r="F337" s="191" t="s">
        <v>71</v>
      </c>
      <c r="G337" s="202" t="s">
        <v>156</v>
      </c>
      <c r="H337" s="202" t="s">
        <v>156</v>
      </c>
      <c r="I337" s="202" t="s">
        <v>156</v>
      </c>
      <c r="J337" s="202" t="s">
        <v>156</v>
      </c>
      <c r="K337" s="202" t="s">
        <v>156</v>
      </c>
      <c r="L337" s="202" t="s">
        <v>156</v>
      </c>
      <c r="M337" s="89"/>
      <c r="N337" s="220"/>
      <c r="O337" s="199"/>
      <c r="P337" s="200"/>
      <c r="Q337" s="309"/>
      <c r="R337" s="309"/>
      <c r="S337" s="86"/>
      <c r="T337" s="86"/>
      <c r="U337" s="86"/>
      <c r="V337" s="86"/>
      <c r="W337" s="86"/>
      <c r="X337" s="86"/>
      <c r="Y337" s="86"/>
      <c r="Z337" s="86"/>
      <c r="AA337" s="86"/>
      <c r="AB337" s="86"/>
      <c r="AC337" s="86"/>
    </row>
    <row r="338" spans="1:29" ht="25.5" customHeight="1">
      <c r="A338" s="310" t="s">
        <v>92</v>
      </c>
      <c r="B338" s="310"/>
      <c r="C338" s="310"/>
      <c r="D338" s="310"/>
      <c r="E338" s="310"/>
      <c r="F338" s="310"/>
      <c r="G338" s="310"/>
      <c r="H338" s="310"/>
      <c r="I338" s="310"/>
      <c r="J338" s="310"/>
      <c r="K338" s="310"/>
      <c r="L338" s="310"/>
      <c r="M338" s="92"/>
    </row>
    <row r="339" spans="1:29" ht="19.5" customHeight="1">
      <c r="A339" s="139"/>
      <c r="B339" s="139"/>
      <c r="C339" s="140"/>
      <c r="D339" s="140" t="s">
        <v>145</v>
      </c>
      <c r="E339" s="140"/>
      <c r="F339" s="152" t="s">
        <v>54</v>
      </c>
      <c r="G339" s="152"/>
      <c r="H339" s="152"/>
      <c r="I339" s="152"/>
      <c r="J339" s="152" t="s">
        <v>144</v>
      </c>
      <c r="K339" s="152"/>
      <c r="L339" s="140"/>
      <c r="M339" s="94"/>
    </row>
    <row r="340" spans="1:29" ht="28.5" customHeight="1">
      <c r="A340" s="310" t="s">
        <v>93</v>
      </c>
      <c r="B340" s="310"/>
      <c r="C340" s="310"/>
      <c r="D340" s="310"/>
      <c r="E340" s="310"/>
      <c r="F340" s="310"/>
      <c r="G340" s="310"/>
      <c r="H340" s="310"/>
      <c r="I340" s="310"/>
      <c r="J340" s="310"/>
      <c r="K340" s="310"/>
      <c r="L340" s="310"/>
      <c r="M340" s="92"/>
      <c r="N340" s="311"/>
      <c r="O340" s="311"/>
      <c r="P340" s="311"/>
    </row>
    <row r="341" spans="1:29" ht="20.25" customHeight="1">
      <c r="A341" s="139"/>
      <c r="B341" s="139"/>
      <c r="C341" s="139"/>
      <c r="D341" s="140" t="s">
        <v>145</v>
      </c>
      <c r="E341" s="140"/>
      <c r="F341" s="152" t="s">
        <v>54</v>
      </c>
      <c r="G341" s="152"/>
      <c r="H341" s="152"/>
      <c r="I341" s="152"/>
      <c r="J341" s="152" t="s">
        <v>144</v>
      </c>
      <c r="K341" s="152"/>
      <c r="L341" s="139"/>
      <c r="M341" s="94"/>
      <c r="N341" s="221"/>
      <c r="O341" s="95"/>
      <c r="P341" s="95"/>
    </row>
    <row r="342" spans="1:29" ht="26.25" customHeight="1">
      <c r="A342" s="312" t="s">
        <v>94</v>
      </c>
      <c r="B342" s="312"/>
      <c r="C342" s="312"/>
      <c r="D342" s="312"/>
      <c r="E342" s="312"/>
      <c r="F342" s="312"/>
      <c r="G342" s="312"/>
      <c r="H342" s="312"/>
      <c r="I342" s="312"/>
      <c r="J342" s="312"/>
      <c r="K342" s="312"/>
      <c r="L342" s="312"/>
      <c r="M342" s="92"/>
    </row>
    <row r="343" spans="1:29" ht="22.5" customHeight="1">
      <c r="A343" s="120"/>
      <c r="B343" s="120"/>
      <c r="C343" s="120"/>
      <c r="D343" s="120"/>
      <c r="E343" s="120"/>
      <c r="F343" s="120"/>
      <c r="G343" s="120"/>
      <c r="H343" s="120"/>
      <c r="I343" s="120"/>
      <c r="J343" s="120"/>
      <c r="K343" s="120"/>
      <c r="L343" s="120"/>
      <c r="M343" s="94"/>
    </row>
    <row r="344" spans="1:29" ht="22.5" customHeight="1">
      <c r="A344" s="313" t="s">
        <v>95</v>
      </c>
      <c r="B344" s="313"/>
      <c r="C344" s="313"/>
      <c r="D344" s="313"/>
      <c r="E344" s="313"/>
      <c r="F344" s="313"/>
      <c r="G344" s="313"/>
      <c r="H344" s="313"/>
      <c r="I344" s="313"/>
      <c r="J344" s="313"/>
      <c r="K344" s="313"/>
      <c r="L344" s="313"/>
      <c r="M344" s="92"/>
    </row>
    <row r="345" spans="1:29" ht="19.5" customHeight="1">
      <c r="A345" s="97"/>
      <c r="B345" s="97"/>
      <c r="C345" s="145"/>
      <c r="D345" s="97"/>
      <c r="E345" s="97"/>
      <c r="F345" s="97"/>
      <c r="G345" s="97"/>
      <c r="H345" s="97"/>
      <c r="I345" s="97"/>
      <c r="J345" s="97"/>
      <c r="K345" s="97"/>
      <c r="L345" s="97"/>
      <c r="M345" s="94"/>
    </row>
    <row r="346" spans="1:29" ht="5.25" customHeight="1">
      <c r="A346" s="94"/>
      <c r="B346" s="94"/>
      <c r="C346" s="146"/>
      <c r="D346" s="94"/>
      <c r="E346" s="94"/>
      <c r="F346" s="94"/>
      <c r="G346" s="94"/>
      <c r="H346" s="94"/>
      <c r="I346" s="94"/>
      <c r="J346" s="94"/>
      <c r="K346" s="94"/>
      <c r="L346" s="94"/>
      <c r="M346" s="94"/>
    </row>
    <row r="347" spans="1:29" ht="16.5" customHeight="1">
      <c r="A347" s="314" t="s">
        <v>96</v>
      </c>
      <c r="B347" s="314"/>
      <c r="C347" s="314"/>
      <c r="D347" s="314"/>
      <c r="E347" s="98"/>
      <c r="F347" s="98"/>
      <c r="G347" s="98"/>
      <c r="H347" s="315" t="s">
        <v>97</v>
      </c>
      <c r="I347" s="315"/>
      <c r="J347" s="315"/>
      <c r="K347" s="315"/>
      <c r="L347" s="315"/>
      <c r="M347" s="94"/>
    </row>
    <row r="348" spans="1:29" ht="95.1" customHeight="1">
      <c r="A348" s="99"/>
      <c r="B348" s="101" t="str">
        <f>B278</f>
        <v>Ông Huỳnh Phước Hải        ….............</v>
      </c>
      <c r="C348" s="147"/>
      <c r="D348" s="99"/>
      <c r="E348" s="81"/>
      <c r="F348" s="100"/>
      <c r="G348" s="100"/>
      <c r="H348" s="306" t="str">
        <f>H278</f>
        <v>Ông Phạm Tấn Việt          …..................</v>
      </c>
      <c r="I348" s="306"/>
      <c r="J348" s="306"/>
      <c r="K348" s="306"/>
      <c r="L348" s="306"/>
      <c r="M348" s="94"/>
    </row>
    <row r="349" spans="1:29" ht="35.25" customHeight="1">
      <c r="A349" s="99"/>
      <c r="B349" s="99"/>
      <c r="C349" s="147"/>
      <c r="D349" s="99"/>
      <c r="E349" s="81"/>
      <c r="F349" s="100"/>
      <c r="G349" s="100"/>
      <c r="H349" s="100"/>
      <c r="I349" s="100"/>
      <c r="J349" s="99"/>
      <c r="K349" s="99"/>
      <c r="L349" s="99"/>
      <c r="M349" s="94"/>
    </row>
    <row r="350" spans="1:29" ht="21.75" customHeight="1">
      <c r="A350" s="346" t="s">
        <v>165</v>
      </c>
      <c r="B350" s="346"/>
      <c r="C350" s="346"/>
      <c r="D350" s="346"/>
      <c r="E350" s="346"/>
      <c r="F350" s="346"/>
      <c r="G350" s="346"/>
      <c r="H350" s="346"/>
      <c r="I350" s="346"/>
      <c r="J350" s="346"/>
      <c r="K350" s="346"/>
      <c r="L350" s="346"/>
      <c r="M350" s="82"/>
    </row>
    <row r="351" spans="1:29" ht="19.5">
      <c r="A351" s="84" t="str">
        <f>"Ngày "&amp;N352&amp;" tháng "&amp;O3&amp;" năm "&amp;P3&amp;""</f>
        <v>Ngày 06 tháng 07 năm 2026</v>
      </c>
      <c r="B351" s="84"/>
      <c r="C351" s="85"/>
      <c r="N351" s="222"/>
      <c r="O351" s="20"/>
      <c r="P351" s="20"/>
    </row>
    <row r="352" spans="1:29" ht="16.5">
      <c r="A352" s="337" t="s">
        <v>57</v>
      </c>
      <c r="B352" s="337"/>
      <c r="C352" s="337"/>
      <c r="D352" s="311"/>
      <c r="E352" s="311"/>
      <c r="F352" s="311"/>
      <c r="G352" s="95"/>
      <c r="H352" s="95"/>
      <c r="I352" s="95"/>
      <c r="J352" s="95"/>
      <c r="K352" s="95"/>
      <c r="L352" s="95"/>
      <c r="N352" s="217" t="s">
        <v>169</v>
      </c>
      <c r="O352" s="214"/>
      <c r="P352" s="17"/>
    </row>
    <row r="353" spans="1:29" ht="15.75" customHeight="1">
      <c r="A353" s="338"/>
      <c r="B353" s="338"/>
      <c r="C353" s="338"/>
      <c r="D353" s="339" t="s">
        <v>58</v>
      </c>
      <c r="E353" s="340"/>
      <c r="F353" s="340"/>
      <c r="G353" s="340"/>
      <c r="H353" s="341"/>
      <c r="I353" s="339" t="s">
        <v>59</v>
      </c>
      <c r="J353" s="340"/>
      <c r="K353" s="340"/>
      <c r="L353" s="341"/>
    </row>
    <row r="354" spans="1:29" ht="19.5" customHeight="1">
      <c r="A354" s="342" t="s">
        <v>60</v>
      </c>
      <c r="B354" s="342"/>
      <c r="C354" s="342"/>
      <c r="D354" s="343" t="s">
        <v>54</v>
      </c>
      <c r="E354" s="344"/>
      <c r="F354" s="344"/>
      <c r="G354" s="344"/>
      <c r="H354" s="345"/>
      <c r="I354" s="343" t="s">
        <v>54</v>
      </c>
      <c r="J354" s="344"/>
      <c r="K354" s="344"/>
      <c r="L354" s="345"/>
    </row>
    <row r="355" spans="1:29" ht="22.5" customHeight="1">
      <c r="A355" s="342" t="s">
        <v>61</v>
      </c>
      <c r="B355" s="342"/>
      <c r="C355" s="342"/>
      <c r="D355" s="343" t="s">
        <v>163</v>
      </c>
      <c r="E355" s="344"/>
      <c r="F355" s="344"/>
      <c r="G355" s="344"/>
      <c r="H355" s="345"/>
      <c r="I355" s="343" t="str">
        <f>D355</f>
        <v>31° - 34°</v>
      </c>
      <c r="J355" s="344"/>
      <c r="K355" s="344"/>
      <c r="L355" s="345"/>
    </row>
    <row r="356" spans="1:29" s="87" customFormat="1" ht="15.75">
      <c r="A356" s="310" t="s">
        <v>62</v>
      </c>
      <c r="B356" s="310"/>
      <c r="C356" s="310"/>
      <c r="D356" s="310"/>
      <c r="E356" s="310"/>
      <c r="F356" s="310"/>
      <c r="G356" s="310"/>
      <c r="H356" s="310"/>
      <c r="I356" s="310"/>
      <c r="J356" s="310"/>
      <c r="K356" s="310"/>
      <c r="L356" s="310"/>
      <c r="M356" s="85"/>
      <c r="N356" s="218"/>
    </row>
    <row r="357" spans="1:29" s="87" customFormat="1" ht="15.75">
      <c r="A357" s="332" t="s">
        <v>63</v>
      </c>
      <c r="B357" s="332"/>
      <c r="C357" s="332"/>
      <c r="D357" s="332"/>
      <c r="E357" s="332"/>
      <c r="F357" s="332"/>
      <c r="G357" s="332"/>
      <c r="H357" s="332"/>
      <c r="I357" s="332"/>
      <c r="J357" s="332"/>
      <c r="K357" s="332"/>
      <c r="L357" s="332"/>
      <c r="M357" s="85"/>
      <c r="N357" s="218"/>
    </row>
    <row r="358" spans="1:29" s="87" customFormat="1" ht="20.100000000000001" customHeight="1">
      <c r="A358" s="88"/>
      <c r="B358" s="88"/>
      <c r="C358" s="333" t="s">
        <v>64</v>
      </c>
      <c r="D358" s="334"/>
      <c r="E358" s="334"/>
      <c r="F358" s="334"/>
      <c r="G358" s="334"/>
      <c r="H358" s="334"/>
      <c r="I358" s="334"/>
      <c r="J358" s="334"/>
      <c r="K358" s="334"/>
      <c r="L358" s="334"/>
      <c r="M358" s="85"/>
      <c r="N358" s="218"/>
    </row>
    <row r="359" spans="1:29" s="87" customFormat="1" ht="20.100000000000001" customHeight="1">
      <c r="A359" s="88"/>
      <c r="B359" s="88"/>
      <c r="C359" s="333" t="s">
        <v>65</v>
      </c>
      <c r="D359" s="334"/>
      <c r="E359" s="334"/>
      <c r="F359" s="334"/>
      <c r="G359" s="334"/>
      <c r="H359" s="334"/>
      <c r="I359" s="334"/>
      <c r="J359" s="334"/>
      <c r="K359" s="334"/>
      <c r="L359" s="334"/>
      <c r="M359" s="85"/>
      <c r="N359" s="218"/>
    </row>
    <row r="360" spans="1:29" s="87" customFormat="1" ht="17.25" customHeight="1">
      <c r="A360" s="335" t="s">
        <v>66</v>
      </c>
      <c r="B360" s="335"/>
      <c r="C360" s="335"/>
      <c r="D360" s="335"/>
      <c r="E360" s="335"/>
      <c r="F360" s="335"/>
      <c r="G360" s="335"/>
      <c r="H360" s="335"/>
      <c r="I360" s="335"/>
      <c r="J360" s="335"/>
      <c r="K360" s="335"/>
      <c r="L360" s="335"/>
      <c r="M360" s="85"/>
      <c r="N360" s="218"/>
    </row>
    <row r="361" spans="1:29" s="87" customFormat="1" ht="7.5" customHeight="1">
      <c r="A361" s="119"/>
      <c r="B361" s="119"/>
      <c r="C361" s="119"/>
      <c r="D361" s="119"/>
      <c r="E361" s="119"/>
      <c r="F361" s="119"/>
      <c r="G361" s="119"/>
      <c r="H361" s="119"/>
      <c r="I361" s="119"/>
      <c r="J361" s="119"/>
      <c r="K361" s="119"/>
      <c r="L361" s="119"/>
      <c r="M361" s="85"/>
      <c r="N361" s="218"/>
    </row>
    <row r="362" spans="1:29" ht="15.75">
      <c r="A362" s="336" t="s">
        <v>67</v>
      </c>
      <c r="B362" s="336"/>
      <c r="C362" s="336"/>
      <c r="D362" s="336"/>
      <c r="E362" s="336"/>
      <c r="F362" s="336"/>
      <c r="G362" s="336"/>
      <c r="H362" s="336"/>
      <c r="I362" s="336"/>
      <c r="J362" s="336"/>
      <c r="K362" s="336"/>
      <c r="L362" s="336"/>
    </row>
    <row r="363" spans="1:29" ht="2.25" customHeight="1">
      <c r="A363" s="141"/>
      <c r="B363" s="141"/>
      <c r="C363" s="141"/>
      <c r="D363" s="141"/>
      <c r="E363" s="141"/>
      <c r="F363" s="141"/>
      <c r="G363" s="155"/>
      <c r="H363" s="155"/>
      <c r="I363" s="155"/>
      <c r="J363" s="155"/>
      <c r="K363" s="155"/>
      <c r="L363" s="155"/>
    </row>
    <row r="364" spans="1:29" ht="27.75" customHeight="1">
      <c r="A364" s="317" t="s">
        <v>135</v>
      </c>
      <c r="B364" s="318"/>
      <c r="C364" s="317" t="s">
        <v>68</v>
      </c>
      <c r="D364" s="318"/>
      <c r="E364" s="183"/>
      <c r="F364" s="321" t="s">
        <v>136</v>
      </c>
      <c r="G364" s="322" t="s">
        <v>155</v>
      </c>
      <c r="H364" s="323"/>
      <c r="I364" s="323"/>
      <c r="J364" s="322" t="s">
        <v>154</v>
      </c>
      <c r="K364" s="323"/>
      <c r="L364" s="324"/>
      <c r="M364" s="92"/>
      <c r="O364" s="325"/>
      <c r="P364" s="325"/>
      <c r="Q364" s="325"/>
      <c r="R364" s="325"/>
      <c r="S364" s="316"/>
      <c r="T364" s="316"/>
      <c r="U364" s="316"/>
      <c r="V364" s="316"/>
      <c r="W364" s="316"/>
      <c r="X364" s="316"/>
      <c r="Y364" s="316"/>
      <c r="Z364" s="316"/>
      <c r="AA364" s="316"/>
      <c r="AB364" s="316"/>
      <c r="AC364" s="316"/>
    </row>
    <row r="365" spans="1:29" ht="125.25" customHeight="1">
      <c r="A365" s="319"/>
      <c r="B365" s="320"/>
      <c r="C365" s="319"/>
      <c r="D365" s="320"/>
      <c r="E365" s="184"/>
      <c r="F365" s="321"/>
      <c r="G365" s="153" t="s">
        <v>151</v>
      </c>
      <c r="H365" s="153" t="s">
        <v>152</v>
      </c>
      <c r="I365" s="153" t="s">
        <v>153</v>
      </c>
      <c r="J365" s="153" t="s">
        <v>151</v>
      </c>
      <c r="K365" s="153" t="s">
        <v>152</v>
      </c>
      <c r="L365" s="153" t="s">
        <v>153</v>
      </c>
      <c r="O365" s="325"/>
      <c r="P365" s="325"/>
      <c r="Q365" s="325"/>
      <c r="R365" s="325"/>
      <c r="S365" s="193"/>
      <c r="T365" s="193"/>
      <c r="U365" s="193"/>
      <c r="V365" s="193"/>
      <c r="W365" s="193"/>
      <c r="X365" s="193"/>
      <c r="Y365" s="193"/>
      <c r="Z365" s="193"/>
      <c r="AA365" s="193"/>
      <c r="AB365" s="193"/>
      <c r="AC365" s="193"/>
    </row>
    <row r="366" spans="1:29" ht="24.75" customHeight="1">
      <c r="A366" s="190" t="s">
        <v>128</v>
      </c>
      <c r="B366" s="142"/>
      <c r="C366" s="330" t="s">
        <v>129</v>
      </c>
      <c r="D366" s="330"/>
      <c r="E366" s="330"/>
      <c r="F366" s="330"/>
      <c r="G366" s="330"/>
      <c r="H366" s="330"/>
      <c r="I366" s="330"/>
      <c r="J366" s="330"/>
      <c r="K366" s="330"/>
      <c r="L366" s="330"/>
      <c r="M366" s="93"/>
      <c r="O366" s="156"/>
      <c r="P366" s="142"/>
      <c r="Q366" s="331"/>
      <c r="R366" s="331"/>
      <c r="S366" s="331"/>
      <c r="T366" s="331"/>
      <c r="U366" s="331"/>
      <c r="V366" s="331"/>
      <c r="W366" s="331"/>
      <c r="X366" s="331"/>
      <c r="Y366" s="331"/>
      <c r="Z366" s="331"/>
      <c r="AA366" s="331"/>
      <c r="AB366" s="331"/>
      <c r="AC366" s="331"/>
    </row>
    <row r="367" spans="1:29" ht="21" customHeight="1">
      <c r="A367" s="187">
        <v>1</v>
      </c>
      <c r="B367" s="185" t="s">
        <v>69</v>
      </c>
      <c r="C367" s="326" t="s">
        <v>70</v>
      </c>
      <c r="D367" s="326"/>
      <c r="E367" s="176"/>
      <c r="F367" s="144" t="s">
        <v>71</v>
      </c>
      <c r="G367" s="203" t="s">
        <v>156</v>
      </c>
      <c r="H367" s="202" t="s">
        <v>156</v>
      </c>
      <c r="I367" s="201">
        <v>1</v>
      </c>
      <c r="J367" s="202" t="s">
        <v>156</v>
      </c>
      <c r="K367" s="202" t="s">
        <v>156</v>
      </c>
      <c r="L367" s="201">
        <v>1</v>
      </c>
      <c r="M367" s="93"/>
      <c r="O367" s="195"/>
      <c r="P367" s="196"/>
      <c r="Q367" s="327"/>
      <c r="R367" s="327"/>
      <c r="S367" s="86"/>
      <c r="T367" s="86"/>
      <c r="U367" s="86"/>
      <c r="V367" s="86"/>
      <c r="W367" s="194"/>
      <c r="X367" s="194"/>
      <c r="Y367" s="194"/>
      <c r="Z367" s="194"/>
      <c r="AA367" s="194"/>
      <c r="AB367" s="194"/>
      <c r="AC367" s="194"/>
    </row>
    <row r="368" spans="1:29" ht="21" customHeight="1">
      <c r="A368" s="187">
        <v>2</v>
      </c>
      <c r="B368" s="185" t="s">
        <v>69</v>
      </c>
      <c r="C368" s="326" t="s">
        <v>72</v>
      </c>
      <c r="D368" s="326"/>
      <c r="E368" s="176"/>
      <c r="F368" s="144" t="s">
        <v>71</v>
      </c>
      <c r="G368" s="203" t="s">
        <v>156</v>
      </c>
      <c r="H368" s="202" t="s">
        <v>156</v>
      </c>
      <c r="I368" s="202" t="s">
        <v>156</v>
      </c>
      <c r="J368" s="202" t="s">
        <v>156</v>
      </c>
      <c r="K368" s="202" t="s">
        <v>156</v>
      </c>
      <c r="L368" s="202" t="s">
        <v>156</v>
      </c>
      <c r="M368" s="93"/>
      <c r="O368" s="195"/>
      <c r="P368" s="196"/>
      <c r="Q368" s="327"/>
      <c r="R368" s="327"/>
      <c r="S368" s="194"/>
      <c r="T368" s="194"/>
      <c r="U368" s="194"/>
      <c r="V368" s="86"/>
      <c r="W368" s="86"/>
      <c r="X368" s="86"/>
      <c r="Y368" s="86"/>
      <c r="Z368" s="194"/>
      <c r="AA368" s="194"/>
      <c r="AB368" s="194"/>
      <c r="AC368" s="194"/>
    </row>
    <row r="369" spans="1:29" ht="21" customHeight="1">
      <c r="A369" s="187">
        <v>3</v>
      </c>
      <c r="B369" s="185" t="s">
        <v>69</v>
      </c>
      <c r="C369" s="326" t="s">
        <v>73</v>
      </c>
      <c r="D369" s="326"/>
      <c r="E369" s="176"/>
      <c r="F369" s="144" t="s">
        <v>71</v>
      </c>
      <c r="G369" s="203" t="s">
        <v>156</v>
      </c>
      <c r="H369" s="202" t="s">
        <v>156</v>
      </c>
      <c r="I369" s="202" t="s">
        <v>156</v>
      </c>
      <c r="J369" s="202" t="s">
        <v>156</v>
      </c>
      <c r="K369" s="202" t="s">
        <v>156</v>
      </c>
      <c r="L369" s="202" t="s">
        <v>156</v>
      </c>
      <c r="M369" s="93"/>
      <c r="O369" s="195"/>
      <c r="P369" s="196"/>
      <c r="Q369" s="327"/>
      <c r="R369" s="327"/>
      <c r="S369" s="194"/>
      <c r="T369" s="86"/>
      <c r="U369" s="86"/>
      <c r="V369" s="86"/>
      <c r="W369" s="86"/>
      <c r="X369" s="194"/>
      <c r="Y369" s="194"/>
      <c r="Z369" s="194"/>
      <c r="AA369" s="194"/>
      <c r="AB369" s="194"/>
      <c r="AC369" s="194"/>
    </row>
    <row r="370" spans="1:29" ht="21" customHeight="1">
      <c r="A370" s="187">
        <v>4</v>
      </c>
      <c r="B370" s="185" t="s">
        <v>69</v>
      </c>
      <c r="C370" s="326" t="s">
        <v>98</v>
      </c>
      <c r="D370" s="326"/>
      <c r="E370" s="176"/>
      <c r="F370" s="144" t="s">
        <v>71</v>
      </c>
      <c r="G370" s="203" t="s">
        <v>156</v>
      </c>
      <c r="H370" s="202" t="s">
        <v>156</v>
      </c>
      <c r="I370" s="202" t="s">
        <v>156</v>
      </c>
      <c r="J370" s="202" t="s">
        <v>156</v>
      </c>
      <c r="K370" s="202" t="s">
        <v>156</v>
      </c>
      <c r="L370" s="202" t="s">
        <v>156</v>
      </c>
      <c r="M370" s="93"/>
      <c r="O370" s="195"/>
      <c r="P370" s="196"/>
      <c r="Q370" s="327"/>
      <c r="R370" s="327"/>
      <c r="S370" s="194"/>
      <c r="T370" s="194"/>
      <c r="U370" s="194"/>
      <c r="V370" s="194"/>
      <c r="W370" s="194"/>
      <c r="X370" s="194"/>
      <c r="Y370" s="194"/>
      <c r="Z370" s="86"/>
      <c r="AA370" s="86"/>
      <c r="AB370" s="86"/>
      <c r="AC370" s="86"/>
    </row>
    <row r="371" spans="1:29" ht="21" customHeight="1">
      <c r="A371" s="187">
        <v>5</v>
      </c>
      <c r="B371" s="185" t="s">
        <v>69</v>
      </c>
      <c r="C371" s="326" t="s">
        <v>74</v>
      </c>
      <c r="D371" s="326"/>
      <c r="E371" s="176"/>
      <c r="F371" s="144" t="s">
        <v>71</v>
      </c>
      <c r="G371" s="203" t="s">
        <v>156</v>
      </c>
      <c r="H371" s="202" t="s">
        <v>156</v>
      </c>
      <c r="I371" s="202" t="s">
        <v>156</v>
      </c>
      <c r="J371" s="202" t="s">
        <v>156</v>
      </c>
      <c r="K371" s="202" t="s">
        <v>156</v>
      </c>
      <c r="L371" s="202" t="s">
        <v>156</v>
      </c>
      <c r="M371" s="93"/>
      <c r="O371" s="195"/>
      <c r="P371" s="196"/>
      <c r="Q371" s="327"/>
      <c r="R371" s="327"/>
      <c r="S371" s="194"/>
      <c r="T371" s="194"/>
      <c r="U371" s="194"/>
      <c r="V371" s="194"/>
      <c r="W371" s="194"/>
      <c r="X371" s="194"/>
      <c r="Y371" s="194"/>
      <c r="Z371" s="194"/>
      <c r="AA371" s="194"/>
      <c r="AB371" s="194"/>
      <c r="AC371" s="194"/>
    </row>
    <row r="372" spans="1:29" ht="21" customHeight="1">
      <c r="A372" s="187">
        <v>6</v>
      </c>
      <c r="B372" s="185" t="s">
        <v>69</v>
      </c>
      <c r="C372" s="326" t="s">
        <v>75</v>
      </c>
      <c r="D372" s="326"/>
      <c r="E372" s="176"/>
      <c r="F372" s="144" t="s">
        <v>71</v>
      </c>
      <c r="G372" s="203" t="s">
        <v>156</v>
      </c>
      <c r="H372" s="202" t="s">
        <v>156</v>
      </c>
      <c r="I372" s="202" t="s">
        <v>156</v>
      </c>
      <c r="J372" s="202" t="s">
        <v>156</v>
      </c>
      <c r="K372" s="202" t="s">
        <v>156</v>
      </c>
      <c r="L372" s="202" t="s">
        <v>156</v>
      </c>
      <c r="M372" s="93"/>
      <c r="O372" s="195"/>
      <c r="P372" s="196"/>
      <c r="Q372" s="327"/>
      <c r="R372" s="327"/>
      <c r="S372" s="194"/>
      <c r="T372" s="194"/>
      <c r="U372" s="194"/>
      <c r="V372" s="194"/>
      <c r="W372" s="194"/>
      <c r="X372" s="194"/>
      <c r="Y372" s="194"/>
      <c r="Z372" s="194"/>
      <c r="AA372" s="194"/>
      <c r="AB372" s="194"/>
      <c r="AC372" s="194"/>
    </row>
    <row r="373" spans="1:29" ht="21" customHeight="1">
      <c r="A373" s="187">
        <v>7</v>
      </c>
      <c r="B373" s="185" t="s">
        <v>69</v>
      </c>
      <c r="C373" s="326" t="s">
        <v>76</v>
      </c>
      <c r="D373" s="326"/>
      <c r="E373" s="176"/>
      <c r="F373" s="144" t="s">
        <v>71</v>
      </c>
      <c r="G373" s="203" t="s">
        <v>156</v>
      </c>
      <c r="H373" s="202" t="s">
        <v>156</v>
      </c>
      <c r="I373" s="202" t="s">
        <v>156</v>
      </c>
      <c r="J373" s="202" t="s">
        <v>156</v>
      </c>
      <c r="K373" s="202" t="s">
        <v>156</v>
      </c>
      <c r="L373" s="202" t="s">
        <v>156</v>
      </c>
      <c r="M373" s="93"/>
      <c r="O373" s="195"/>
      <c r="P373" s="196"/>
      <c r="Q373" s="327"/>
      <c r="R373" s="327"/>
      <c r="S373" s="194"/>
      <c r="T373" s="194"/>
      <c r="U373" s="194"/>
      <c r="V373" s="194"/>
      <c r="W373" s="194"/>
      <c r="X373" s="194"/>
      <c r="Y373" s="194"/>
      <c r="Z373" s="194"/>
      <c r="AA373" s="194"/>
      <c r="AB373" s="194"/>
      <c r="AC373" s="194"/>
    </row>
    <row r="374" spans="1:29" ht="21" customHeight="1">
      <c r="A374" s="187">
        <v>8</v>
      </c>
      <c r="B374" s="185" t="s">
        <v>69</v>
      </c>
      <c r="C374" s="326" t="s">
        <v>99</v>
      </c>
      <c r="D374" s="326"/>
      <c r="E374" s="176"/>
      <c r="F374" s="144" t="s">
        <v>71</v>
      </c>
      <c r="G374" s="203" t="s">
        <v>156</v>
      </c>
      <c r="H374" s="202" t="s">
        <v>156</v>
      </c>
      <c r="I374" s="202" t="s">
        <v>156</v>
      </c>
      <c r="J374" s="202" t="s">
        <v>156</v>
      </c>
      <c r="K374" s="202" t="s">
        <v>156</v>
      </c>
      <c r="L374" s="202" t="s">
        <v>156</v>
      </c>
      <c r="M374" s="93"/>
      <c r="O374" s="195"/>
      <c r="P374" s="196"/>
      <c r="Q374" s="327"/>
      <c r="R374" s="327"/>
      <c r="S374" s="194"/>
      <c r="T374" s="194"/>
      <c r="U374" s="194"/>
      <c r="V374" s="194"/>
      <c r="W374" s="194"/>
      <c r="X374" s="194"/>
      <c r="Y374" s="194"/>
      <c r="Z374" s="194"/>
      <c r="AA374" s="194"/>
      <c r="AB374" s="194"/>
      <c r="AC374" s="194"/>
    </row>
    <row r="375" spans="1:29" ht="21" customHeight="1">
      <c r="A375" s="187">
        <v>9</v>
      </c>
      <c r="B375" s="185" t="s">
        <v>69</v>
      </c>
      <c r="C375" s="326" t="s">
        <v>77</v>
      </c>
      <c r="D375" s="326"/>
      <c r="E375" s="176"/>
      <c r="F375" s="144" t="s">
        <v>71</v>
      </c>
      <c r="G375" s="203" t="s">
        <v>156</v>
      </c>
      <c r="H375" s="202" t="s">
        <v>156</v>
      </c>
      <c r="I375" s="202" t="s">
        <v>156</v>
      </c>
      <c r="J375" s="202" t="s">
        <v>156</v>
      </c>
      <c r="K375" s="202" t="s">
        <v>156</v>
      </c>
      <c r="L375" s="202" t="s">
        <v>156</v>
      </c>
      <c r="M375" s="93"/>
      <c r="O375" s="195"/>
      <c r="P375" s="196"/>
      <c r="Q375" s="327"/>
      <c r="R375" s="327"/>
      <c r="S375" s="194"/>
      <c r="T375" s="194"/>
      <c r="U375" s="194"/>
      <c r="V375" s="194"/>
      <c r="W375" s="194"/>
      <c r="X375" s="194"/>
      <c r="Y375" s="194"/>
      <c r="Z375" s="194"/>
      <c r="AA375" s="194"/>
      <c r="AB375" s="194"/>
      <c r="AC375" s="194"/>
    </row>
    <row r="376" spans="1:29" ht="21" customHeight="1">
      <c r="A376" s="187">
        <v>10</v>
      </c>
      <c r="B376" s="185" t="s">
        <v>69</v>
      </c>
      <c r="C376" s="326" t="s">
        <v>78</v>
      </c>
      <c r="D376" s="326"/>
      <c r="E376" s="176"/>
      <c r="F376" s="144" t="s">
        <v>71</v>
      </c>
      <c r="G376" s="203" t="s">
        <v>156</v>
      </c>
      <c r="H376" s="202" t="s">
        <v>156</v>
      </c>
      <c r="I376" s="202" t="s">
        <v>156</v>
      </c>
      <c r="J376" s="202" t="s">
        <v>156</v>
      </c>
      <c r="K376" s="202" t="s">
        <v>156</v>
      </c>
      <c r="L376" s="202" t="s">
        <v>156</v>
      </c>
      <c r="M376" s="93"/>
      <c r="O376" s="195"/>
      <c r="P376" s="196"/>
      <c r="Q376" s="327"/>
      <c r="R376" s="327"/>
      <c r="S376" s="194"/>
      <c r="T376" s="194"/>
      <c r="U376" s="194"/>
      <c r="V376" s="194"/>
      <c r="W376" s="194"/>
      <c r="X376" s="194"/>
      <c r="Y376" s="194"/>
      <c r="Z376" s="194"/>
      <c r="AA376" s="194"/>
      <c r="AB376" s="194"/>
      <c r="AC376" s="194"/>
    </row>
    <row r="377" spans="1:29" ht="21" customHeight="1">
      <c r="A377" s="187">
        <v>11</v>
      </c>
      <c r="B377" s="185" t="s">
        <v>69</v>
      </c>
      <c r="C377" s="326" t="s">
        <v>79</v>
      </c>
      <c r="D377" s="326"/>
      <c r="E377" s="176"/>
      <c r="F377" s="144" t="s">
        <v>71</v>
      </c>
      <c r="G377" s="203" t="s">
        <v>156</v>
      </c>
      <c r="H377" s="202" t="s">
        <v>156</v>
      </c>
      <c r="I377" s="202" t="s">
        <v>156</v>
      </c>
      <c r="J377" s="202" t="s">
        <v>156</v>
      </c>
      <c r="K377" s="202" t="s">
        <v>156</v>
      </c>
      <c r="L377" s="202" t="s">
        <v>156</v>
      </c>
      <c r="M377" s="93"/>
      <c r="O377" s="195"/>
      <c r="P377" s="196"/>
      <c r="Q377" s="327"/>
      <c r="R377" s="327"/>
      <c r="S377" s="194"/>
      <c r="T377" s="194"/>
      <c r="U377" s="194"/>
      <c r="V377" s="194"/>
      <c r="W377" s="194"/>
      <c r="X377" s="194"/>
      <c r="Y377" s="194"/>
      <c r="Z377" s="194"/>
      <c r="AA377" s="194"/>
      <c r="AB377" s="194"/>
      <c r="AC377" s="194"/>
    </row>
    <row r="378" spans="1:29" ht="21" customHeight="1">
      <c r="A378" s="187">
        <v>12</v>
      </c>
      <c r="B378" s="185" t="s">
        <v>69</v>
      </c>
      <c r="C378" s="326" t="s">
        <v>100</v>
      </c>
      <c r="D378" s="326"/>
      <c r="E378" s="176"/>
      <c r="F378" s="144" t="s">
        <v>71</v>
      </c>
      <c r="G378" s="203" t="s">
        <v>156</v>
      </c>
      <c r="H378" s="202" t="s">
        <v>156</v>
      </c>
      <c r="I378" s="202" t="s">
        <v>156</v>
      </c>
      <c r="J378" s="202" t="s">
        <v>156</v>
      </c>
      <c r="K378" s="202" t="s">
        <v>156</v>
      </c>
      <c r="L378" s="202" t="s">
        <v>156</v>
      </c>
      <c r="M378" s="93"/>
      <c r="O378" s="195"/>
      <c r="P378" s="196"/>
      <c r="Q378" s="327"/>
      <c r="R378" s="327"/>
      <c r="S378" s="194"/>
      <c r="T378" s="194"/>
      <c r="U378" s="194"/>
      <c r="V378" s="194"/>
      <c r="W378" s="194"/>
      <c r="X378" s="194"/>
      <c r="Y378" s="194"/>
      <c r="Z378" s="194"/>
      <c r="AA378" s="194"/>
      <c r="AB378" s="194"/>
      <c r="AC378" s="194"/>
    </row>
    <row r="379" spans="1:29" ht="21" customHeight="1">
      <c r="A379" s="187">
        <v>13</v>
      </c>
      <c r="B379" s="185" t="s">
        <v>69</v>
      </c>
      <c r="C379" s="326" t="s">
        <v>80</v>
      </c>
      <c r="D379" s="326"/>
      <c r="E379" s="176"/>
      <c r="F379" s="144" t="s">
        <v>71</v>
      </c>
      <c r="G379" s="203" t="s">
        <v>156</v>
      </c>
      <c r="H379" s="202" t="s">
        <v>156</v>
      </c>
      <c r="I379" s="202" t="s">
        <v>156</v>
      </c>
      <c r="J379" s="202" t="s">
        <v>156</v>
      </c>
      <c r="K379" s="202" t="s">
        <v>156</v>
      </c>
      <c r="L379" s="202" t="s">
        <v>156</v>
      </c>
      <c r="M379" s="93"/>
      <c r="O379" s="195"/>
      <c r="P379" s="196"/>
      <c r="Q379" s="327"/>
      <c r="R379" s="327"/>
      <c r="S379" s="194"/>
      <c r="T379" s="194"/>
      <c r="U379" s="194"/>
      <c r="V379" s="194"/>
      <c r="W379" s="194"/>
      <c r="X379" s="194"/>
      <c r="Y379" s="194"/>
      <c r="Z379" s="194"/>
      <c r="AA379" s="194"/>
      <c r="AB379" s="194"/>
      <c r="AC379" s="194"/>
    </row>
    <row r="380" spans="1:29" ht="21" customHeight="1">
      <c r="A380" s="187">
        <v>14</v>
      </c>
      <c r="B380" s="185" t="s">
        <v>69</v>
      </c>
      <c r="C380" s="326" t="s">
        <v>91</v>
      </c>
      <c r="D380" s="326"/>
      <c r="E380" s="176"/>
      <c r="F380" s="144" t="s">
        <v>71</v>
      </c>
      <c r="G380" s="203" t="s">
        <v>156</v>
      </c>
      <c r="H380" s="202" t="s">
        <v>156</v>
      </c>
      <c r="I380" s="202" t="s">
        <v>156</v>
      </c>
      <c r="J380" s="202" t="s">
        <v>156</v>
      </c>
      <c r="K380" s="202" t="s">
        <v>156</v>
      </c>
      <c r="L380" s="202" t="s">
        <v>156</v>
      </c>
      <c r="M380" s="93"/>
      <c r="O380" s="195"/>
      <c r="P380" s="196"/>
      <c r="Q380" s="327"/>
      <c r="R380" s="327"/>
      <c r="S380" s="194"/>
      <c r="T380" s="194"/>
      <c r="U380" s="194"/>
      <c r="V380" s="194"/>
      <c r="W380" s="194"/>
      <c r="X380" s="194"/>
      <c r="Y380" s="194"/>
      <c r="Z380" s="194"/>
      <c r="AA380" s="194"/>
      <c r="AB380" s="194"/>
      <c r="AC380" s="194"/>
    </row>
    <row r="381" spans="1:29" ht="21" customHeight="1">
      <c r="A381" s="187">
        <v>15</v>
      </c>
      <c r="B381" s="185" t="s">
        <v>69</v>
      </c>
      <c r="C381" s="326" t="s">
        <v>81</v>
      </c>
      <c r="D381" s="326"/>
      <c r="E381" s="176"/>
      <c r="F381" s="144" t="s">
        <v>71</v>
      </c>
      <c r="G381" s="203" t="s">
        <v>156</v>
      </c>
      <c r="H381" s="202" t="s">
        <v>156</v>
      </c>
      <c r="I381" s="202" t="s">
        <v>156</v>
      </c>
      <c r="J381" s="202" t="s">
        <v>156</v>
      </c>
      <c r="K381" s="202" t="s">
        <v>156</v>
      </c>
      <c r="L381" s="202" t="s">
        <v>156</v>
      </c>
      <c r="M381" s="93"/>
      <c r="O381" s="195"/>
      <c r="P381" s="196"/>
      <c r="Q381" s="327"/>
      <c r="R381" s="327"/>
      <c r="S381" s="194"/>
      <c r="T381" s="194"/>
      <c r="U381" s="194"/>
      <c r="V381" s="194"/>
      <c r="W381" s="194"/>
      <c r="X381" s="194"/>
      <c r="Y381" s="194"/>
      <c r="Z381" s="194"/>
      <c r="AA381" s="194"/>
      <c r="AB381" s="194"/>
      <c r="AC381" s="194"/>
    </row>
    <row r="382" spans="1:29" ht="21" customHeight="1">
      <c r="A382" s="187">
        <v>16</v>
      </c>
      <c r="B382" s="185" t="s">
        <v>69</v>
      </c>
      <c r="C382" s="326" t="s">
        <v>101</v>
      </c>
      <c r="D382" s="326"/>
      <c r="E382" s="151"/>
      <c r="F382" s="144" t="s">
        <v>71</v>
      </c>
      <c r="G382" s="203" t="s">
        <v>156</v>
      </c>
      <c r="H382" s="202" t="s">
        <v>156</v>
      </c>
      <c r="I382" s="202" t="s">
        <v>156</v>
      </c>
      <c r="J382" s="202" t="s">
        <v>156</v>
      </c>
      <c r="K382" s="202" t="s">
        <v>156</v>
      </c>
      <c r="L382" s="202" t="s">
        <v>156</v>
      </c>
      <c r="M382" s="93"/>
      <c r="N382" s="219"/>
      <c r="O382" s="195"/>
      <c r="P382" s="196"/>
      <c r="Q382" s="327"/>
      <c r="R382" s="327"/>
      <c r="S382" s="197"/>
      <c r="T382" s="197"/>
      <c r="U382" s="197"/>
      <c r="V382" s="197"/>
      <c r="W382" s="197"/>
      <c r="X382" s="197"/>
      <c r="Y382" s="197"/>
      <c r="Z382" s="197"/>
      <c r="AA382" s="197"/>
      <c r="AB382" s="197"/>
      <c r="AC382" s="197"/>
    </row>
    <row r="383" spans="1:29" ht="21" customHeight="1">
      <c r="A383" s="187">
        <v>17</v>
      </c>
      <c r="B383" s="186" t="s">
        <v>69</v>
      </c>
      <c r="C383" s="326" t="s">
        <v>141</v>
      </c>
      <c r="D383" s="326"/>
      <c r="E383" s="151"/>
      <c r="F383" s="144" t="s">
        <v>71</v>
      </c>
      <c r="G383" s="203" t="s">
        <v>156</v>
      </c>
      <c r="H383" s="202" t="s">
        <v>156</v>
      </c>
      <c r="I383" s="202" t="s">
        <v>156</v>
      </c>
      <c r="J383" s="202" t="s">
        <v>156</v>
      </c>
      <c r="K383" s="202" t="s">
        <v>156</v>
      </c>
      <c r="L383" s="202" t="s">
        <v>156</v>
      </c>
      <c r="M383" s="93"/>
      <c r="N383" s="219"/>
      <c r="O383" s="195"/>
      <c r="P383" s="104"/>
      <c r="Q383" s="327"/>
      <c r="R383" s="327"/>
      <c r="S383" s="197"/>
      <c r="T383" s="197"/>
      <c r="U383" s="197"/>
      <c r="V383" s="197"/>
      <c r="W383" s="197"/>
      <c r="X383" s="197"/>
      <c r="Y383" s="197"/>
      <c r="Z383" s="197"/>
      <c r="AA383" s="197"/>
      <c r="AB383" s="197"/>
      <c r="AC383" s="197"/>
    </row>
    <row r="384" spans="1:29" ht="21" customHeight="1">
      <c r="A384" s="187">
        <v>18</v>
      </c>
      <c r="B384" s="186" t="s">
        <v>69</v>
      </c>
      <c r="C384" s="326" t="s">
        <v>142</v>
      </c>
      <c r="D384" s="326"/>
      <c r="E384" s="151"/>
      <c r="F384" s="144" t="s">
        <v>71</v>
      </c>
      <c r="G384" s="203" t="s">
        <v>156</v>
      </c>
      <c r="H384" s="202" t="s">
        <v>156</v>
      </c>
      <c r="I384" s="202" t="s">
        <v>156</v>
      </c>
      <c r="J384" s="202" t="s">
        <v>156</v>
      </c>
      <c r="K384" s="202" t="s">
        <v>156</v>
      </c>
      <c r="L384" s="202" t="s">
        <v>156</v>
      </c>
      <c r="M384" s="93"/>
      <c r="N384" s="219"/>
      <c r="O384" s="195"/>
      <c r="P384" s="104"/>
      <c r="Q384" s="327"/>
      <c r="R384" s="327"/>
      <c r="S384" s="197"/>
      <c r="T384" s="197"/>
      <c r="U384" s="197"/>
      <c r="V384" s="197"/>
      <c r="W384" s="197"/>
      <c r="X384" s="197"/>
      <c r="Y384" s="197"/>
      <c r="Z384" s="197"/>
      <c r="AA384" s="197"/>
      <c r="AB384" s="197"/>
      <c r="AC384" s="197"/>
    </row>
    <row r="385" spans="1:29" ht="21" customHeight="1">
      <c r="A385" s="187">
        <v>19</v>
      </c>
      <c r="B385" s="186" t="s">
        <v>69</v>
      </c>
      <c r="C385" s="326" t="s">
        <v>143</v>
      </c>
      <c r="D385" s="326"/>
      <c r="E385" s="151"/>
      <c r="F385" s="144" t="s">
        <v>71</v>
      </c>
      <c r="G385" s="203" t="s">
        <v>156</v>
      </c>
      <c r="H385" s="202" t="s">
        <v>156</v>
      </c>
      <c r="I385" s="202" t="s">
        <v>156</v>
      </c>
      <c r="J385" s="202" t="s">
        <v>156</v>
      </c>
      <c r="K385" s="202" t="s">
        <v>156</v>
      </c>
      <c r="L385" s="202" t="s">
        <v>156</v>
      </c>
      <c r="M385" s="93"/>
      <c r="N385" s="219"/>
      <c r="O385" s="195"/>
      <c r="P385" s="104"/>
      <c r="Q385" s="327"/>
      <c r="R385" s="327"/>
      <c r="S385" s="197"/>
      <c r="T385" s="197"/>
      <c r="U385" s="197"/>
      <c r="V385" s="197"/>
      <c r="W385" s="197"/>
      <c r="X385" s="197"/>
      <c r="Y385" s="197"/>
      <c r="Z385" s="197"/>
      <c r="AA385" s="197"/>
      <c r="AB385" s="197"/>
      <c r="AC385" s="197"/>
    </row>
    <row r="386" spans="1:29" ht="21" customHeight="1">
      <c r="A386" s="187">
        <v>20</v>
      </c>
      <c r="B386" s="186" t="s">
        <v>69</v>
      </c>
      <c r="C386" s="326" t="s">
        <v>102</v>
      </c>
      <c r="D386" s="326"/>
      <c r="E386" s="150"/>
      <c r="F386" s="154" t="s">
        <v>71</v>
      </c>
      <c r="G386" s="203" t="s">
        <v>156</v>
      </c>
      <c r="H386" s="202" t="s">
        <v>156</v>
      </c>
      <c r="I386" s="202" t="s">
        <v>156</v>
      </c>
      <c r="J386" s="202" t="s">
        <v>156</v>
      </c>
      <c r="K386" s="202" t="s">
        <v>156</v>
      </c>
      <c r="L386" s="202" t="s">
        <v>156</v>
      </c>
      <c r="M386" s="93"/>
      <c r="N386" s="219"/>
      <c r="O386" s="195"/>
      <c r="P386" s="104"/>
      <c r="Q386" s="327"/>
      <c r="R386" s="327"/>
      <c r="S386" s="197"/>
      <c r="T386" s="197"/>
      <c r="U386" s="197"/>
      <c r="V386" s="197"/>
      <c r="W386" s="197"/>
      <c r="X386" s="197"/>
      <c r="Y386" s="197"/>
      <c r="Z386" s="197"/>
      <c r="AA386" s="197"/>
      <c r="AB386" s="197"/>
      <c r="AC386" s="197"/>
    </row>
    <row r="387" spans="1:29" ht="24.75" customHeight="1">
      <c r="A387" s="190" t="s">
        <v>128</v>
      </c>
      <c r="B387" s="142"/>
      <c r="C387" s="330" t="s">
        <v>130</v>
      </c>
      <c r="D387" s="330"/>
      <c r="E387" s="330"/>
      <c r="F387" s="330"/>
      <c r="G387" s="330"/>
      <c r="H387" s="330"/>
      <c r="I387" s="330"/>
      <c r="J387" s="330"/>
      <c r="K387" s="330"/>
      <c r="L387" s="330"/>
      <c r="M387" s="93"/>
      <c r="O387" s="156"/>
      <c r="P387" s="142"/>
      <c r="Q387" s="331"/>
      <c r="R387" s="331"/>
      <c r="S387" s="331"/>
      <c r="T387" s="331"/>
      <c r="U387" s="331"/>
      <c r="V387" s="331"/>
      <c r="W387" s="331"/>
      <c r="X387" s="331"/>
      <c r="Y387" s="331"/>
      <c r="Z387" s="331"/>
      <c r="AA387" s="331"/>
      <c r="AB387" s="331"/>
      <c r="AC387" s="331"/>
    </row>
    <row r="388" spans="1:29" ht="33" customHeight="1">
      <c r="A388" s="189">
        <v>21</v>
      </c>
      <c r="B388" s="188" t="s">
        <v>69</v>
      </c>
      <c r="C388" s="307" t="s">
        <v>82</v>
      </c>
      <c r="D388" s="308"/>
      <c r="E388" s="182"/>
      <c r="F388" s="191" t="s">
        <v>71</v>
      </c>
      <c r="G388" s="201">
        <v>58</v>
      </c>
      <c r="H388" s="201">
        <v>40</v>
      </c>
      <c r="I388" s="201">
        <v>21</v>
      </c>
      <c r="J388" s="201">
        <v>58</v>
      </c>
      <c r="K388" s="201">
        <v>40</v>
      </c>
      <c r="L388" s="201">
        <v>21</v>
      </c>
      <c r="M388" s="89"/>
      <c r="N388" s="219"/>
      <c r="O388" s="199"/>
      <c r="P388" s="200"/>
      <c r="Q388" s="309"/>
      <c r="R388" s="309"/>
      <c r="S388" s="86"/>
      <c r="T388" s="86"/>
      <c r="U388" s="86"/>
      <c r="V388" s="86"/>
      <c r="W388" s="86"/>
      <c r="X388" s="86"/>
      <c r="Y388" s="86"/>
      <c r="Z388" s="86"/>
      <c r="AA388" s="86"/>
      <c r="AB388" s="86"/>
      <c r="AC388" s="86"/>
    </row>
    <row r="389" spans="1:29" ht="33" customHeight="1">
      <c r="A389" s="189">
        <v>22</v>
      </c>
      <c r="B389" s="188" t="s">
        <v>69</v>
      </c>
      <c r="C389" s="307" t="s">
        <v>103</v>
      </c>
      <c r="D389" s="308"/>
      <c r="E389" s="179"/>
      <c r="F389" s="191" t="s">
        <v>71</v>
      </c>
      <c r="G389" s="201">
        <v>9</v>
      </c>
      <c r="H389" s="201">
        <v>9</v>
      </c>
      <c r="I389" s="201">
        <v>7</v>
      </c>
      <c r="J389" s="201">
        <v>9</v>
      </c>
      <c r="K389" s="201">
        <v>9</v>
      </c>
      <c r="L389" s="201">
        <v>7</v>
      </c>
      <c r="M389" s="89"/>
      <c r="N389" s="219"/>
      <c r="O389" s="199"/>
      <c r="P389" s="200"/>
      <c r="Q389" s="309"/>
      <c r="R389" s="309"/>
      <c r="S389" s="86"/>
      <c r="T389" s="86"/>
      <c r="U389" s="86"/>
      <c r="V389" s="86"/>
      <c r="W389" s="86"/>
      <c r="X389" s="86"/>
      <c r="Y389" s="86"/>
      <c r="Z389" s="86"/>
      <c r="AA389" s="86"/>
      <c r="AB389" s="86"/>
      <c r="AC389" s="86"/>
    </row>
    <row r="390" spans="1:29" ht="33" customHeight="1">
      <c r="A390" s="189">
        <v>23</v>
      </c>
      <c r="B390" s="188" t="s">
        <v>69</v>
      </c>
      <c r="C390" s="307" t="s">
        <v>104</v>
      </c>
      <c r="D390" s="308"/>
      <c r="E390" s="179"/>
      <c r="F390" s="191" t="s">
        <v>71</v>
      </c>
      <c r="G390" s="201">
        <v>5</v>
      </c>
      <c r="H390" s="201">
        <v>1</v>
      </c>
      <c r="I390" s="201">
        <v>1</v>
      </c>
      <c r="J390" s="201">
        <v>5</v>
      </c>
      <c r="K390" s="201">
        <v>1</v>
      </c>
      <c r="L390" s="201">
        <v>1</v>
      </c>
      <c r="M390" s="89"/>
      <c r="N390" s="219"/>
      <c r="O390" s="199"/>
      <c r="P390" s="200"/>
      <c r="Q390" s="309"/>
      <c r="R390" s="309"/>
      <c r="S390" s="86"/>
      <c r="T390" s="86"/>
      <c r="U390" s="86"/>
      <c r="V390" s="86"/>
      <c r="W390" s="86"/>
      <c r="X390" s="86"/>
      <c r="Y390" s="86"/>
      <c r="Z390" s="86"/>
      <c r="AA390" s="86"/>
      <c r="AB390" s="86"/>
      <c r="AC390" s="86"/>
    </row>
    <row r="391" spans="1:29" ht="27.75" customHeight="1">
      <c r="A391" s="317" t="s">
        <v>135</v>
      </c>
      <c r="B391" s="318"/>
      <c r="C391" s="317" t="s">
        <v>68</v>
      </c>
      <c r="D391" s="318"/>
      <c r="E391" s="183"/>
      <c r="F391" s="321" t="s">
        <v>136</v>
      </c>
      <c r="G391" s="322" t="s">
        <v>155</v>
      </c>
      <c r="H391" s="323"/>
      <c r="I391" s="323"/>
      <c r="J391" s="322" t="s">
        <v>154</v>
      </c>
      <c r="K391" s="323"/>
      <c r="L391" s="324"/>
      <c r="M391" s="92"/>
      <c r="O391" s="325"/>
      <c r="P391" s="325"/>
      <c r="Q391" s="325"/>
      <c r="R391" s="325"/>
      <c r="S391" s="316"/>
      <c r="T391" s="316"/>
      <c r="U391" s="316"/>
      <c r="V391" s="316"/>
      <c r="W391" s="316"/>
      <c r="X391" s="316"/>
      <c r="Y391" s="316"/>
      <c r="Z391" s="316"/>
      <c r="AA391" s="316"/>
      <c r="AB391" s="316"/>
      <c r="AC391" s="316"/>
    </row>
    <row r="392" spans="1:29" ht="125.25" customHeight="1">
      <c r="A392" s="319"/>
      <c r="B392" s="320"/>
      <c r="C392" s="319"/>
      <c r="D392" s="320"/>
      <c r="E392" s="184"/>
      <c r="F392" s="321"/>
      <c r="G392" s="153" t="s">
        <v>151</v>
      </c>
      <c r="H392" s="153" t="s">
        <v>152</v>
      </c>
      <c r="I392" s="153" t="s">
        <v>153</v>
      </c>
      <c r="J392" s="153" t="s">
        <v>151</v>
      </c>
      <c r="K392" s="153" t="s">
        <v>152</v>
      </c>
      <c r="L392" s="153" t="s">
        <v>153</v>
      </c>
      <c r="O392" s="325"/>
      <c r="P392" s="325"/>
      <c r="Q392" s="325"/>
      <c r="R392" s="325"/>
      <c r="S392" s="193"/>
      <c r="T392" s="193"/>
      <c r="U392" s="193"/>
      <c r="V392" s="193"/>
      <c r="W392" s="193"/>
      <c r="X392" s="193"/>
      <c r="Y392" s="193"/>
      <c r="Z392" s="193"/>
      <c r="AA392" s="193"/>
      <c r="AB392" s="193"/>
      <c r="AC392" s="193"/>
    </row>
    <row r="393" spans="1:29" ht="30" customHeight="1">
      <c r="A393" s="189">
        <v>24</v>
      </c>
      <c r="B393" s="188" t="s">
        <v>69</v>
      </c>
      <c r="C393" s="307" t="s">
        <v>131</v>
      </c>
      <c r="D393" s="308"/>
      <c r="E393" s="179"/>
      <c r="F393" s="191" t="s">
        <v>71</v>
      </c>
      <c r="G393" s="202" t="s">
        <v>156</v>
      </c>
      <c r="H393" s="202" t="s">
        <v>156</v>
      </c>
      <c r="I393" s="202" t="s">
        <v>156</v>
      </c>
      <c r="J393" s="202" t="s">
        <v>156</v>
      </c>
      <c r="K393" s="202" t="s">
        <v>156</v>
      </c>
      <c r="L393" s="202" t="s">
        <v>156</v>
      </c>
      <c r="M393" s="89"/>
      <c r="N393" s="219"/>
      <c r="O393" s="199"/>
      <c r="P393" s="200"/>
      <c r="Q393" s="309"/>
      <c r="R393" s="309"/>
      <c r="S393" s="86"/>
      <c r="T393" s="86"/>
      <c r="U393" s="86"/>
      <c r="V393" s="86"/>
      <c r="W393" s="86"/>
      <c r="X393" s="86"/>
      <c r="Y393" s="86"/>
      <c r="Z393" s="86"/>
      <c r="AA393" s="86"/>
      <c r="AB393" s="86"/>
      <c r="AC393" s="86"/>
    </row>
    <row r="394" spans="1:29" ht="30" customHeight="1">
      <c r="A394" s="189">
        <v>25</v>
      </c>
      <c r="B394" s="188" t="s">
        <v>69</v>
      </c>
      <c r="C394" s="307" t="s">
        <v>83</v>
      </c>
      <c r="D394" s="308"/>
      <c r="E394" s="179"/>
      <c r="F394" s="191" t="s">
        <v>71</v>
      </c>
      <c r="G394" s="201">
        <v>25</v>
      </c>
      <c r="H394" s="201">
        <v>40</v>
      </c>
      <c r="I394" s="201">
        <v>22</v>
      </c>
      <c r="J394" s="201">
        <v>25</v>
      </c>
      <c r="K394" s="201">
        <v>40</v>
      </c>
      <c r="L394" s="201">
        <v>22</v>
      </c>
      <c r="M394" s="89"/>
      <c r="N394" s="219"/>
      <c r="O394" s="199"/>
      <c r="P394" s="200"/>
      <c r="Q394" s="309"/>
      <c r="R394" s="309"/>
      <c r="S394" s="86"/>
      <c r="T394" s="86"/>
      <c r="U394" s="86"/>
      <c r="V394" s="86"/>
      <c r="W394" s="86"/>
      <c r="X394" s="86"/>
      <c r="Y394" s="86"/>
      <c r="Z394" s="86"/>
      <c r="AA394" s="86"/>
      <c r="AB394" s="86"/>
      <c r="AC394" s="86"/>
    </row>
    <row r="395" spans="1:29" ht="30" customHeight="1">
      <c r="A395" s="189">
        <v>26</v>
      </c>
      <c r="B395" s="188" t="s">
        <v>69</v>
      </c>
      <c r="C395" s="307" t="s">
        <v>84</v>
      </c>
      <c r="D395" s="308"/>
      <c r="E395" s="179"/>
      <c r="F395" s="191" t="s">
        <v>71</v>
      </c>
      <c r="G395" s="201">
        <v>5</v>
      </c>
      <c r="H395" s="202" t="s">
        <v>156</v>
      </c>
      <c r="I395" s="202" t="s">
        <v>156</v>
      </c>
      <c r="J395" s="201">
        <v>5</v>
      </c>
      <c r="K395" s="202" t="s">
        <v>156</v>
      </c>
      <c r="L395" s="202" t="s">
        <v>156</v>
      </c>
      <c r="M395" s="89"/>
      <c r="N395" s="219"/>
      <c r="O395" s="199"/>
      <c r="P395" s="200"/>
      <c r="Q395" s="309"/>
      <c r="R395" s="309"/>
      <c r="S395" s="86"/>
      <c r="T395" s="86"/>
      <c r="U395" s="86"/>
      <c r="V395" s="86"/>
      <c r="W395" s="86"/>
      <c r="X395" s="86"/>
      <c r="Y395" s="86"/>
      <c r="Z395" s="86"/>
      <c r="AA395" s="86"/>
      <c r="AB395" s="86"/>
      <c r="AC395" s="86"/>
    </row>
    <row r="396" spans="1:29" ht="30" customHeight="1">
      <c r="A396" s="189">
        <v>27</v>
      </c>
      <c r="B396" s="188" t="s">
        <v>69</v>
      </c>
      <c r="C396" s="307" t="s">
        <v>85</v>
      </c>
      <c r="D396" s="308"/>
      <c r="E396" s="179"/>
      <c r="F396" s="191" t="s">
        <v>71</v>
      </c>
      <c r="G396" s="201">
        <v>3</v>
      </c>
      <c r="H396" s="201">
        <v>1</v>
      </c>
      <c r="I396" s="201">
        <v>8</v>
      </c>
      <c r="J396" s="201">
        <v>3</v>
      </c>
      <c r="K396" s="201">
        <v>1</v>
      </c>
      <c r="L396" s="201">
        <v>8</v>
      </c>
      <c r="M396" s="89"/>
      <c r="N396" s="219"/>
      <c r="O396" s="199"/>
      <c r="P396" s="200"/>
      <c r="Q396" s="309"/>
      <c r="R396" s="309"/>
      <c r="S396" s="86"/>
      <c r="T396" s="86"/>
      <c r="U396" s="86"/>
      <c r="V396" s="86"/>
      <c r="W396" s="86"/>
      <c r="X396" s="86"/>
      <c r="Y396" s="86"/>
      <c r="Z396" s="86"/>
      <c r="AA396" s="86"/>
      <c r="AB396" s="86"/>
      <c r="AC396" s="86"/>
    </row>
    <row r="397" spans="1:29" ht="30" customHeight="1">
      <c r="A397" s="189">
        <v>28</v>
      </c>
      <c r="B397" s="188" t="s">
        <v>69</v>
      </c>
      <c r="C397" s="307" t="s">
        <v>132</v>
      </c>
      <c r="D397" s="308"/>
      <c r="E397" s="179"/>
      <c r="F397" s="191" t="s">
        <v>71</v>
      </c>
      <c r="G397" s="202" t="s">
        <v>156</v>
      </c>
      <c r="H397" s="202" t="s">
        <v>156</v>
      </c>
      <c r="I397" s="202" t="s">
        <v>156</v>
      </c>
      <c r="J397" s="202" t="s">
        <v>156</v>
      </c>
      <c r="K397" s="202" t="s">
        <v>156</v>
      </c>
      <c r="L397" s="202" t="s">
        <v>156</v>
      </c>
      <c r="M397" s="89"/>
      <c r="N397" s="219"/>
      <c r="O397" s="199"/>
      <c r="P397" s="200"/>
      <c r="Q397" s="309"/>
      <c r="R397" s="309"/>
      <c r="S397" s="86"/>
      <c r="T397" s="86"/>
      <c r="U397" s="86"/>
      <c r="V397" s="86"/>
      <c r="W397" s="86"/>
      <c r="X397" s="86"/>
      <c r="Y397" s="86"/>
      <c r="Z397" s="86"/>
      <c r="AA397" s="86"/>
      <c r="AB397" s="86"/>
      <c r="AC397" s="86"/>
    </row>
    <row r="398" spans="1:29" ht="30" customHeight="1">
      <c r="A398" s="189">
        <v>29</v>
      </c>
      <c r="B398" s="188" t="s">
        <v>69</v>
      </c>
      <c r="C398" s="307" t="s">
        <v>86</v>
      </c>
      <c r="D398" s="308"/>
      <c r="E398" s="179"/>
      <c r="F398" s="191" t="s">
        <v>71</v>
      </c>
      <c r="G398" s="201">
        <v>10</v>
      </c>
      <c r="H398" s="201">
        <v>12</v>
      </c>
      <c r="I398" s="201">
        <v>9</v>
      </c>
      <c r="J398" s="201">
        <v>10</v>
      </c>
      <c r="K398" s="201">
        <v>12</v>
      </c>
      <c r="L398" s="201">
        <v>9</v>
      </c>
      <c r="M398" s="89"/>
      <c r="N398" s="219"/>
      <c r="O398" s="199"/>
      <c r="P398" s="200"/>
      <c r="Q398" s="309"/>
      <c r="R398" s="309"/>
      <c r="S398" s="86"/>
      <c r="T398" s="86"/>
      <c r="U398" s="86"/>
      <c r="V398" s="86"/>
      <c r="W398" s="86"/>
      <c r="X398" s="86"/>
      <c r="Y398" s="86"/>
      <c r="Z398" s="86"/>
      <c r="AA398" s="86"/>
      <c r="AB398" s="86"/>
      <c r="AC398" s="86"/>
    </row>
    <row r="399" spans="1:29" ht="30" customHeight="1">
      <c r="A399" s="189">
        <v>30</v>
      </c>
      <c r="B399" s="188" t="s">
        <v>69</v>
      </c>
      <c r="C399" s="307" t="s">
        <v>87</v>
      </c>
      <c r="D399" s="308"/>
      <c r="E399" s="179"/>
      <c r="F399" s="191" t="s">
        <v>71</v>
      </c>
      <c r="G399" s="202" t="s">
        <v>156</v>
      </c>
      <c r="H399" s="202" t="s">
        <v>156</v>
      </c>
      <c r="I399" s="202" t="s">
        <v>156</v>
      </c>
      <c r="J399" s="202" t="s">
        <v>156</v>
      </c>
      <c r="K399" s="202" t="s">
        <v>156</v>
      </c>
      <c r="L399" s="202" t="s">
        <v>156</v>
      </c>
      <c r="M399" s="89"/>
      <c r="N399" s="219"/>
      <c r="O399" s="199"/>
      <c r="P399" s="200"/>
      <c r="Q399" s="309"/>
      <c r="R399" s="309"/>
      <c r="S399" s="86"/>
      <c r="T399" s="86"/>
      <c r="U399" s="86"/>
      <c r="V399" s="86"/>
      <c r="W399" s="86"/>
      <c r="X399" s="86"/>
      <c r="Y399" s="86"/>
      <c r="Z399" s="86"/>
      <c r="AA399" s="86"/>
      <c r="AB399" s="86"/>
      <c r="AC399" s="86"/>
    </row>
    <row r="400" spans="1:29" ht="30" customHeight="1">
      <c r="A400" s="189">
        <v>31</v>
      </c>
      <c r="B400" s="188" t="s">
        <v>69</v>
      </c>
      <c r="C400" s="307" t="s">
        <v>105</v>
      </c>
      <c r="D400" s="308"/>
      <c r="E400" s="179"/>
      <c r="F400" s="191" t="s">
        <v>71</v>
      </c>
      <c r="G400" s="201">
        <v>2</v>
      </c>
      <c r="H400" s="203" t="s">
        <v>156</v>
      </c>
      <c r="I400" s="201">
        <v>8</v>
      </c>
      <c r="J400" s="201">
        <v>2</v>
      </c>
      <c r="K400" s="203" t="s">
        <v>156</v>
      </c>
      <c r="L400" s="201">
        <v>8</v>
      </c>
      <c r="M400" s="89"/>
      <c r="N400" s="219"/>
      <c r="O400" s="199"/>
      <c r="P400" s="200"/>
      <c r="Q400" s="309"/>
      <c r="R400" s="309"/>
      <c r="S400" s="86"/>
      <c r="T400" s="86"/>
      <c r="U400" s="86"/>
      <c r="V400" s="86"/>
      <c r="W400" s="86"/>
      <c r="X400" s="86"/>
      <c r="Y400" s="86"/>
      <c r="Z400" s="86"/>
      <c r="AA400" s="86"/>
      <c r="AB400" s="86"/>
      <c r="AC400" s="86"/>
    </row>
    <row r="401" spans="1:29" ht="30" customHeight="1">
      <c r="A401" s="189">
        <v>32</v>
      </c>
      <c r="B401" s="188" t="s">
        <v>69</v>
      </c>
      <c r="C401" s="307" t="s">
        <v>133</v>
      </c>
      <c r="D401" s="308"/>
      <c r="E401" s="179"/>
      <c r="F401" s="191" t="s">
        <v>71</v>
      </c>
      <c r="G401" s="202" t="s">
        <v>156</v>
      </c>
      <c r="H401" s="202" t="s">
        <v>156</v>
      </c>
      <c r="I401" s="202" t="s">
        <v>156</v>
      </c>
      <c r="J401" s="202" t="s">
        <v>156</v>
      </c>
      <c r="K401" s="202" t="s">
        <v>156</v>
      </c>
      <c r="L401" s="202" t="s">
        <v>156</v>
      </c>
      <c r="M401" s="89"/>
      <c r="N401" s="219"/>
      <c r="O401" s="199"/>
      <c r="P401" s="200"/>
      <c r="Q401" s="309"/>
      <c r="R401" s="309"/>
      <c r="S401" s="86"/>
      <c r="T401" s="86"/>
      <c r="U401" s="86"/>
      <c r="V401" s="86"/>
      <c r="W401" s="86"/>
      <c r="X401" s="86"/>
      <c r="Y401" s="86"/>
      <c r="Z401" s="86"/>
      <c r="AA401" s="86"/>
      <c r="AB401" s="86"/>
      <c r="AC401" s="86"/>
    </row>
    <row r="402" spans="1:29" ht="30" customHeight="1">
      <c r="A402" s="189">
        <v>33</v>
      </c>
      <c r="B402" s="188" t="s">
        <v>69</v>
      </c>
      <c r="C402" s="307" t="s">
        <v>88</v>
      </c>
      <c r="D402" s="308"/>
      <c r="E402" s="179"/>
      <c r="F402" s="191" t="s">
        <v>71</v>
      </c>
      <c r="G402" s="201">
        <v>3</v>
      </c>
      <c r="H402" s="201">
        <v>7</v>
      </c>
      <c r="I402" s="201">
        <v>7</v>
      </c>
      <c r="J402" s="201">
        <v>3</v>
      </c>
      <c r="K402" s="201">
        <v>7</v>
      </c>
      <c r="L402" s="201">
        <v>7</v>
      </c>
      <c r="M402" s="89"/>
      <c r="N402" s="219"/>
      <c r="O402" s="199"/>
      <c r="P402" s="200"/>
      <c r="Q402" s="309"/>
      <c r="R402" s="309"/>
      <c r="S402" s="86"/>
      <c r="T402" s="86"/>
      <c r="U402" s="86"/>
      <c r="V402" s="86"/>
      <c r="W402" s="86"/>
      <c r="X402" s="86"/>
      <c r="Y402" s="86"/>
      <c r="Z402" s="86"/>
      <c r="AA402" s="86"/>
      <c r="AB402" s="86"/>
      <c r="AC402" s="86"/>
    </row>
    <row r="403" spans="1:29" ht="30" customHeight="1">
      <c r="A403" s="189">
        <v>34</v>
      </c>
      <c r="B403" s="188" t="s">
        <v>69</v>
      </c>
      <c r="C403" s="307" t="s">
        <v>89</v>
      </c>
      <c r="D403" s="308"/>
      <c r="E403" s="179"/>
      <c r="F403" s="191" t="s">
        <v>71</v>
      </c>
      <c r="G403" s="202" t="s">
        <v>156</v>
      </c>
      <c r="H403" s="202" t="s">
        <v>156</v>
      </c>
      <c r="I403" s="202" t="s">
        <v>156</v>
      </c>
      <c r="J403" s="202" t="s">
        <v>156</v>
      </c>
      <c r="K403" s="202" t="s">
        <v>156</v>
      </c>
      <c r="L403" s="202" t="s">
        <v>156</v>
      </c>
      <c r="M403" s="89"/>
      <c r="N403" s="219"/>
      <c r="O403" s="199"/>
      <c r="P403" s="200"/>
      <c r="Q403" s="309"/>
      <c r="R403" s="309"/>
      <c r="S403" s="86"/>
      <c r="T403" s="86"/>
      <c r="U403" s="86"/>
      <c r="V403" s="86"/>
      <c r="W403" s="86"/>
      <c r="X403" s="86"/>
      <c r="Y403" s="86"/>
      <c r="Z403" s="86"/>
      <c r="AA403" s="86"/>
      <c r="AB403" s="86"/>
      <c r="AC403" s="86"/>
    </row>
    <row r="404" spans="1:29" ht="30" customHeight="1">
      <c r="A404" s="189">
        <v>35</v>
      </c>
      <c r="B404" s="188" t="s">
        <v>69</v>
      </c>
      <c r="C404" s="307" t="s">
        <v>140</v>
      </c>
      <c r="D404" s="308"/>
      <c r="E404" s="179"/>
      <c r="F404" s="191" t="s">
        <v>71</v>
      </c>
      <c r="G404" s="202" t="s">
        <v>156</v>
      </c>
      <c r="H404" s="202" t="s">
        <v>156</v>
      </c>
      <c r="I404" s="201">
        <v>3</v>
      </c>
      <c r="J404" s="202" t="s">
        <v>156</v>
      </c>
      <c r="K404" s="202" t="s">
        <v>156</v>
      </c>
      <c r="L404" s="201">
        <v>3</v>
      </c>
      <c r="M404" s="89"/>
      <c r="N404" s="220"/>
      <c r="O404" s="199"/>
      <c r="P404" s="200"/>
      <c r="Q404" s="309"/>
      <c r="R404" s="309"/>
      <c r="S404" s="86"/>
      <c r="T404" s="86"/>
      <c r="U404" s="86"/>
      <c r="V404" s="86"/>
      <c r="W404" s="86"/>
      <c r="X404" s="86"/>
      <c r="Y404" s="86"/>
      <c r="Z404" s="86"/>
      <c r="AA404" s="86"/>
      <c r="AB404" s="86"/>
      <c r="AC404" s="86"/>
    </row>
    <row r="405" spans="1:29" ht="30" customHeight="1">
      <c r="A405" s="189">
        <v>36</v>
      </c>
      <c r="B405" s="188" t="s">
        <v>69</v>
      </c>
      <c r="C405" s="307" t="s">
        <v>134</v>
      </c>
      <c r="D405" s="308"/>
      <c r="E405" s="179"/>
      <c r="F405" s="191" t="s">
        <v>71</v>
      </c>
      <c r="G405" s="202" t="s">
        <v>156</v>
      </c>
      <c r="H405" s="202" t="s">
        <v>156</v>
      </c>
      <c r="I405" s="202" t="s">
        <v>156</v>
      </c>
      <c r="J405" s="202" t="s">
        <v>156</v>
      </c>
      <c r="K405" s="202" t="s">
        <v>156</v>
      </c>
      <c r="L405" s="202" t="s">
        <v>156</v>
      </c>
      <c r="M405" s="89"/>
      <c r="N405" s="220"/>
      <c r="O405" s="199"/>
      <c r="P405" s="200"/>
      <c r="Q405" s="309"/>
      <c r="R405" s="309"/>
      <c r="S405" s="86"/>
      <c r="T405" s="86"/>
      <c r="U405" s="86"/>
      <c r="V405" s="86"/>
      <c r="W405" s="86"/>
      <c r="X405" s="86"/>
      <c r="Y405" s="86"/>
      <c r="Z405" s="86"/>
      <c r="AA405" s="86"/>
      <c r="AB405" s="86"/>
      <c r="AC405" s="86"/>
    </row>
    <row r="406" spans="1:29" ht="30" customHeight="1">
      <c r="A406" s="189">
        <v>37</v>
      </c>
      <c r="B406" s="188" t="s">
        <v>69</v>
      </c>
      <c r="C406" s="307" t="s">
        <v>90</v>
      </c>
      <c r="D406" s="308"/>
      <c r="E406" s="179"/>
      <c r="F406" s="191" t="s">
        <v>71</v>
      </c>
      <c r="G406" s="202" t="s">
        <v>156</v>
      </c>
      <c r="H406" s="202" t="s">
        <v>156</v>
      </c>
      <c r="I406" s="202" t="s">
        <v>156</v>
      </c>
      <c r="J406" s="202" t="s">
        <v>156</v>
      </c>
      <c r="K406" s="202" t="s">
        <v>156</v>
      </c>
      <c r="L406" s="202" t="s">
        <v>156</v>
      </c>
      <c r="M406" s="89"/>
      <c r="N406" s="220"/>
      <c r="O406" s="199"/>
      <c r="P406" s="200"/>
      <c r="Q406" s="309"/>
      <c r="R406" s="309"/>
      <c r="S406" s="86"/>
      <c r="T406" s="86"/>
      <c r="U406" s="86"/>
      <c r="V406" s="86"/>
      <c r="W406" s="86"/>
      <c r="X406" s="86"/>
      <c r="Y406" s="86"/>
      <c r="Z406" s="86"/>
      <c r="AA406" s="86"/>
      <c r="AB406" s="86"/>
      <c r="AC406" s="86"/>
    </row>
    <row r="407" spans="1:29" ht="30" customHeight="1">
      <c r="A407" s="189">
        <v>38</v>
      </c>
      <c r="B407" s="188" t="s">
        <v>69</v>
      </c>
      <c r="C407" s="307" t="s">
        <v>106</v>
      </c>
      <c r="D407" s="308"/>
      <c r="E407" s="150"/>
      <c r="F407" s="191" t="s">
        <v>71</v>
      </c>
      <c r="G407" s="202" t="s">
        <v>156</v>
      </c>
      <c r="H407" s="202" t="s">
        <v>156</v>
      </c>
      <c r="I407" s="202" t="s">
        <v>156</v>
      </c>
      <c r="J407" s="202" t="s">
        <v>156</v>
      </c>
      <c r="K407" s="202" t="s">
        <v>156</v>
      </c>
      <c r="L407" s="202" t="s">
        <v>156</v>
      </c>
      <c r="M407" s="89"/>
      <c r="N407" s="220"/>
      <c r="O407" s="199"/>
      <c r="P407" s="200"/>
      <c r="Q407" s="309"/>
      <c r="R407" s="309"/>
      <c r="S407" s="86"/>
      <c r="T407" s="86"/>
      <c r="U407" s="86"/>
      <c r="V407" s="86"/>
      <c r="W407" s="86"/>
      <c r="X407" s="86"/>
      <c r="Y407" s="86"/>
      <c r="Z407" s="86"/>
      <c r="AA407" s="86"/>
      <c r="AB407" s="86"/>
      <c r="AC407" s="86"/>
    </row>
    <row r="408" spans="1:29" ht="25.5" customHeight="1">
      <c r="A408" s="310" t="s">
        <v>92</v>
      </c>
      <c r="B408" s="310"/>
      <c r="C408" s="310"/>
      <c r="D408" s="310"/>
      <c r="E408" s="310"/>
      <c r="F408" s="310"/>
      <c r="G408" s="310"/>
      <c r="H408" s="310"/>
      <c r="I408" s="310"/>
      <c r="J408" s="310"/>
      <c r="K408" s="310"/>
      <c r="L408" s="310"/>
      <c r="M408" s="92"/>
    </row>
    <row r="409" spans="1:29" ht="19.5" customHeight="1">
      <c r="A409" s="139"/>
      <c r="B409" s="139"/>
      <c r="C409" s="140"/>
      <c r="D409" s="140" t="s">
        <v>145</v>
      </c>
      <c r="E409" s="140"/>
      <c r="F409" s="152" t="s">
        <v>54</v>
      </c>
      <c r="G409" s="152"/>
      <c r="H409" s="152"/>
      <c r="I409" s="152"/>
      <c r="J409" s="152" t="s">
        <v>144</v>
      </c>
      <c r="K409" s="152"/>
      <c r="L409" s="140"/>
      <c r="M409" s="94"/>
    </row>
    <row r="410" spans="1:29" ht="28.5" customHeight="1">
      <c r="A410" s="310" t="s">
        <v>93</v>
      </c>
      <c r="B410" s="310"/>
      <c r="C410" s="310"/>
      <c r="D410" s="310"/>
      <c r="E410" s="310"/>
      <c r="F410" s="310"/>
      <c r="G410" s="310"/>
      <c r="H410" s="310"/>
      <c r="I410" s="310"/>
      <c r="J410" s="310"/>
      <c r="K410" s="310"/>
      <c r="L410" s="310"/>
      <c r="M410" s="92"/>
      <c r="N410" s="311"/>
      <c r="O410" s="311"/>
      <c r="P410" s="311"/>
    </row>
    <row r="411" spans="1:29" ht="20.25" customHeight="1">
      <c r="A411" s="139"/>
      <c r="B411" s="139"/>
      <c r="C411" s="139"/>
      <c r="D411" s="140" t="s">
        <v>145</v>
      </c>
      <c r="E411" s="140"/>
      <c r="F411" s="152" t="s">
        <v>54</v>
      </c>
      <c r="G411" s="152"/>
      <c r="H411" s="152"/>
      <c r="I411" s="152"/>
      <c r="J411" s="152" t="s">
        <v>144</v>
      </c>
      <c r="K411" s="152"/>
      <c r="L411" s="139"/>
      <c r="M411" s="94"/>
      <c r="N411" s="221"/>
      <c r="O411" s="95"/>
      <c r="P411" s="95"/>
    </row>
    <row r="412" spans="1:29" ht="26.25" customHeight="1">
      <c r="A412" s="312" t="s">
        <v>94</v>
      </c>
      <c r="B412" s="312"/>
      <c r="C412" s="312"/>
      <c r="D412" s="312"/>
      <c r="E412" s="312"/>
      <c r="F412" s="312"/>
      <c r="G412" s="312"/>
      <c r="H412" s="312"/>
      <c r="I412" s="312"/>
      <c r="J412" s="312"/>
      <c r="K412" s="312"/>
      <c r="L412" s="312"/>
      <c r="M412" s="92"/>
    </row>
    <row r="413" spans="1:29" ht="22.5" customHeight="1">
      <c r="A413" s="120"/>
      <c r="B413" s="120"/>
      <c r="C413" s="120"/>
      <c r="D413" s="120"/>
      <c r="E413" s="120"/>
      <c r="F413" s="120"/>
      <c r="G413" s="120"/>
      <c r="H413" s="120"/>
      <c r="I413" s="120"/>
      <c r="J413" s="120"/>
      <c r="K413" s="120"/>
      <c r="L413" s="120"/>
      <c r="M413" s="94"/>
    </row>
    <row r="414" spans="1:29" ht="22.5" customHeight="1">
      <c r="A414" s="313" t="s">
        <v>95</v>
      </c>
      <c r="B414" s="313"/>
      <c r="C414" s="313"/>
      <c r="D414" s="313"/>
      <c r="E414" s="313"/>
      <c r="F414" s="313"/>
      <c r="G414" s="313"/>
      <c r="H414" s="313"/>
      <c r="I414" s="313"/>
      <c r="J414" s="313"/>
      <c r="K414" s="313"/>
      <c r="L414" s="313"/>
      <c r="M414" s="92"/>
    </row>
    <row r="415" spans="1:29" ht="19.5" customHeight="1">
      <c r="A415" s="97"/>
      <c r="B415" s="97"/>
      <c r="C415" s="145"/>
      <c r="D415" s="97"/>
      <c r="E415" s="97"/>
      <c r="F415" s="97"/>
      <c r="G415" s="97"/>
      <c r="H415" s="97"/>
      <c r="I415" s="97"/>
      <c r="J415" s="97"/>
      <c r="K415" s="97"/>
      <c r="L415" s="97"/>
      <c r="M415" s="94"/>
    </row>
    <row r="416" spans="1:29" ht="15.75">
      <c r="A416" s="94"/>
      <c r="B416" s="94"/>
      <c r="C416" s="146"/>
      <c r="D416" s="94"/>
      <c r="E416" s="94"/>
      <c r="F416" s="94"/>
      <c r="G416" s="94"/>
      <c r="H416" s="94"/>
      <c r="I416" s="94"/>
      <c r="J416" s="94"/>
      <c r="K416" s="94"/>
      <c r="L416" s="94"/>
      <c r="M416" s="94"/>
    </row>
    <row r="417" spans="1:16" ht="31.5" customHeight="1">
      <c r="A417" s="314" t="s">
        <v>96</v>
      </c>
      <c r="B417" s="314"/>
      <c r="C417" s="314"/>
      <c r="D417" s="314"/>
      <c r="E417" s="98"/>
      <c r="F417" s="98"/>
      <c r="G417" s="98"/>
      <c r="H417" s="315" t="s">
        <v>97</v>
      </c>
      <c r="I417" s="315"/>
      <c r="J417" s="315"/>
      <c r="K417" s="315"/>
      <c r="L417" s="315"/>
      <c r="M417" s="94"/>
    </row>
    <row r="418" spans="1:16" ht="95.1" customHeight="1">
      <c r="A418" s="99"/>
      <c r="B418" s="101" t="str">
        <f>B348</f>
        <v>Ông Huỳnh Phước Hải        ….............</v>
      </c>
      <c r="C418" s="147"/>
      <c r="D418" s="99"/>
      <c r="E418" s="81"/>
      <c r="F418" s="100"/>
      <c r="G418" s="100"/>
      <c r="H418" s="306" t="str">
        <f>H348</f>
        <v>Ông Phạm Tấn Việt          …..................</v>
      </c>
      <c r="I418" s="306"/>
      <c r="J418" s="306"/>
      <c r="K418" s="306"/>
      <c r="L418" s="306"/>
      <c r="M418" s="94"/>
    </row>
    <row r="419" spans="1:16" ht="26.25" customHeight="1">
      <c r="A419" s="99"/>
      <c r="B419" s="101"/>
      <c r="C419" s="147"/>
      <c r="D419" s="99"/>
      <c r="E419" s="81"/>
      <c r="F419" s="100"/>
      <c r="G419" s="100"/>
      <c r="H419" s="204"/>
      <c r="I419" s="204"/>
      <c r="J419" s="204"/>
      <c r="K419" s="204"/>
      <c r="L419" s="204"/>
      <c r="M419" s="94"/>
    </row>
    <row r="420" spans="1:16" ht="21.75" customHeight="1">
      <c r="A420" s="348" t="s">
        <v>165</v>
      </c>
      <c r="B420" s="348"/>
      <c r="C420" s="348"/>
      <c r="D420" s="348"/>
      <c r="E420" s="348"/>
      <c r="F420" s="348"/>
      <c r="G420" s="348"/>
      <c r="H420" s="348"/>
      <c r="I420" s="348"/>
      <c r="J420" s="348"/>
      <c r="K420" s="348"/>
      <c r="L420" s="348"/>
      <c r="M420" s="82"/>
    </row>
    <row r="421" spans="1:16" ht="19.5">
      <c r="A421" s="84" t="str">
        <f>"Ngày "&amp;N422&amp;" tháng "&amp;O3&amp;" năm "&amp;P3&amp;""</f>
        <v>Ngày 07 tháng 07 năm 2026</v>
      </c>
      <c r="B421" s="84"/>
      <c r="C421" s="85"/>
      <c r="N421" s="216"/>
      <c r="O421" s="20"/>
      <c r="P421" s="20"/>
    </row>
    <row r="422" spans="1:16" ht="16.5">
      <c r="A422" s="337" t="s">
        <v>57</v>
      </c>
      <c r="B422" s="337"/>
      <c r="C422" s="337"/>
      <c r="D422" s="311"/>
      <c r="E422" s="311"/>
      <c r="F422" s="311"/>
      <c r="G422" s="95"/>
      <c r="H422" s="95"/>
      <c r="I422" s="95"/>
      <c r="J422" s="95"/>
      <c r="K422" s="95"/>
      <c r="L422" s="95"/>
      <c r="N422" s="217" t="s">
        <v>157</v>
      </c>
      <c r="O422" s="214"/>
      <c r="P422" s="17"/>
    </row>
    <row r="423" spans="1:16" ht="15.75" customHeight="1">
      <c r="A423" s="338"/>
      <c r="B423" s="338"/>
      <c r="C423" s="338"/>
      <c r="D423" s="339" t="s">
        <v>58</v>
      </c>
      <c r="E423" s="340"/>
      <c r="F423" s="340"/>
      <c r="G423" s="340"/>
      <c r="H423" s="341"/>
      <c r="I423" s="339" t="s">
        <v>59</v>
      </c>
      <c r="J423" s="340"/>
      <c r="K423" s="340"/>
      <c r="L423" s="341"/>
    </row>
    <row r="424" spans="1:16" ht="19.5" customHeight="1">
      <c r="A424" s="342" t="s">
        <v>60</v>
      </c>
      <c r="B424" s="342"/>
      <c r="C424" s="342"/>
      <c r="D424" s="343" t="s">
        <v>54</v>
      </c>
      <c r="E424" s="344"/>
      <c r="F424" s="344"/>
      <c r="G424" s="344"/>
      <c r="H424" s="345"/>
      <c r="I424" s="343" t="s">
        <v>54</v>
      </c>
      <c r="J424" s="344"/>
      <c r="K424" s="344"/>
      <c r="L424" s="345"/>
    </row>
    <row r="425" spans="1:16" ht="22.5" customHeight="1">
      <c r="A425" s="342" t="s">
        <v>61</v>
      </c>
      <c r="B425" s="342"/>
      <c r="C425" s="342"/>
      <c r="D425" s="343" t="s">
        <v>163</v>
      </c>
      <c r="E425" s="344"/>
      <c r="F425" s="344"/>
      <c r="G425" s="344"/>
      <c r="H425" s="345"/>
      <c r="I425" s="343" t="str">
        <f>D425</f>
        <v>31° - 34°</v>
      </c>
      <c r="J425" s="344"/>
      <c r="K425" s="344"/>
      <c r="L425" s="345"/>
    </row>
    <row r="426" spans="1:16" s="87" customFormat="1" ht="19.5" customHeight="1">
      <c r="A426" s="310" t="s">
        <v>62</v>
      </c>
      <c r="B426" s="310"/>
      <c r="C426" s="310"/>
      <c r="D426" s="310"/>
      <c r="E426" s="310"/>
      <c r="F426" s="310"/>
      <c r="G426" s="310"/>
      <c r="H426" s="310"/>
      <c r="I426" s="310"/>
      <c r="J426" s="310"/>
      <c r="K426" s="310"/>
      <c r="L426" s="310"/>
      <c r="M426" s="85"/>
      <c r="N426" s="218"/>
    </row>
    <row r="427" spans="1:16" s="87" customFormat="1" ht="15.75">
      <c r="A427" s="332" t="s">
        <v>63</v>
      </c>
      <c r="B427" s="332"/>
      <c r="C427" s="332"/>
      <c r="D427" s="332"/>
      <c r="E427" s="332"/>
      <c r="F427" s="332"/>
      <c r="G427" s="332"/>
      <c r="H427" s="332"/>
      <c r="I427" s="332"/>
      <c r="J427" s="332"/>
      <c r="K427" s="332"/>
      <c r="L427" s="332"/>
      <c r="M427" s="85"/>
      <c r="N427" s="218"/>
    </row>
    <row r="428" spans="1:16" s="87" customFormat="1" ht="20.100000000000001" customHeight="1">
      <c r="A428" s="88"/>
      <c r="B428" s="88"/>
      <c r="C428" s="333" t="s">
        <v>64</v>
      </c>
      <c r="D428" s="334"/>
      <c r="E428" s="334"/>
      <c r="F428" s="334"/>
      <c r="G428" s="334"/>
      <c r="H428" s="334"/>
      <c r="I428" s="334"/>
      <c r="J428" s="334"/>
      <c r="K428" s="334"/>
      <c r="L428" s="334"/>
      <c r="M428" s="85"/>
      <c r="N428" s="218"/>
    </row>
    <row r="429" spans="1:16" s="87" customFormat="1" ht="20.100000000000001" customHeight="1">
      <c r="A429" s="88"/>
      <c r="B429" s="88"/>
      <c r="C429" s="333" t="s">
        <v>65</v>
      </c>
      <c r="D429" s="334"/>
      <c r="E429" s="334"/>
      <c r="F429" s="334"/>
      <c r="G429" s="334"/>
      <c r="H429" s="334"/>
      <c r="I429" s="334"/>
      <c r="J429" s="334"/>
      <c r="K429" s="334"/>
      <c r="L429" s="334"/>
      <c r="M429" s="85"/>
      <c r="N429" s="218"/>
    </row>
    <row r="430" spans="1:16" s="87" customFormat="1" ht="17.25" customHeight="1">
      <c r="A430" s="335" t="s">
        <v>66</v>
      </c>
      <c r="B430" s="335"/>
      <c r="C430" s="335"/>
      <c r="D430" s="335"/>
      <c r="E430" s="335"/>
      <c r="F430" s="335"/>
      <c r="G430" s="335"/>
      <c r="H430" s="335"/>
      <c r="I430" s="335"/>
      <c r="J430" s="335"/>
      <c r="K430" s="335"/>
      <c r="L430" s="335"/>
      <c r="M430" s="85"/>
      <c r="N430" s="218"/>
    </row>
    <row r="431" spans="1:16" s="87" customFormat="1" ht="7.5" customHeight="1">
      <c r="A431" s="119"/>
      <c r="B431" s="119"/>
      <c r="C431" s="119"/>
      <c r="D431" s="119"/>
      <c r="E431" s="119"/>
      <c r="F431" s="119"/>
      <c r="G431" s="119"/>
      <c r="H431" s="119"/>
      <c r="I431" s="119"/>
      <c r="J431" s="119"/>
      <c r="K431" s="119"/>
      <c r="L431" s="119"/>
      <c r="M431" s="85"/>
      <c r="N431" s="218"/>
    </row>
    <row r="432" spans="1:16" ht="15.75">
      <c r="A432" s="336" t="s">
        <v>67</v>
      </c>
      <c r="B432" s="336"/>
      <c r="C432" s="336"/>
      <c r="D432" s="336"/>
      <c r="E432" s="336"/>
      <c r="F432" s="336"/>
      <c r="G432" s="336"/>
      <c r="H432" s="336"/>
      <c r="I432" s="336"/>
      <c r="J432" s="336"/>
      <c r="K432" s="336"/>
      <c r="L432" s="336"/>
    </row>
    <row r="433" spans="1:29" ht="2.25" customHeight="1">
      <c r="A433" s="141"/>
      <c r="B433" s="141"/>
      <c r="C433" s="141"/>
      <c r="D433" s="141"/>
      <c r="E433" s="141"/>
      <c r="F433" s="141"/>
      <c r="G433" s="155"/>
      <c r="H433" s="155"/>
      <c r="I433" s="155"/>
      <c r="J433" s="155"/>
      <c r="K433" s="155"/>
      <c r="L433" s="155"/>
    </row>
    <row r="434" spans="1:29" ht="27.75" customHeight="1">
      <c r="A434" s="317" t="s">
        <v>135</v>
      </c>
      <c r="B434" s="318"/>
      <c r="C434" s="317" t="s">
        <v>68</v>
      </c>
      <c r="D434" s="318"/>
      <c r="E434" s="183"/>
      <c r="F434" s="321" t="s">
        <v>136</v>
      </c>
      <c r="G434" s="322" t="s">
        <v>155</v>
      </c>
      <c r="H434" s="323"/>
      <c r="I434" s="323"/>
      <c r="J434" s="322" t="s">
        <v>154</v>
      </c>
      <c r="K434" s="323"/>
      <c r="L434" s="324"/>
      <c r="M434" s="92"/>
      <c r="O434" s="325"/>
      <c r="P434" s="325"/>
      <c r="Q434" s="325"/>
      <c r="R434" s="325"/>
      <c r="S434" s="316"/>
      <c r="T434" s="316"/>
      <c r="U434" s="316"/>
      <c r="V434" s="316"/>
      <c r="W434" s="316"/>
      <c r="X434" s="316"/>
      <c r="Y434" s="316"/>
      <c r="Z434" s="316"/>
      <c r="AA434" s="316"/>
      <c r="AB434" s="316"/>
      <c r="AC434" s="316"/>
    </row>
    <row r="435" spans="1:29" ht="125.25" customHeight="1">
      <c r="A435" s="319"/>
      <c r="B435" s="320"/>
      <c r="C435" s="319"/>
      <c r="D435" s="320"/>
      <c r="E435" s="184"/>
      <c r="F435" s="321"/>
      <c r="G435" s="153" t="s">
        <v>151</v>
      </c>
      <c r="H435" s="153" t="s">
        <v>152</v>
      </c>
      <c r="I435" s="153" t="s">
        <v>153</v>
      </c>
      <c r="J435" s="153" t="s">
        <v>151</v>
      </c>
      <c r="K435" s="153" t="s">
        <v>152</v>
      </c>
      <c r="L435" s="153" t="s">
        <v>153</v>
      </c>
      <c r="O435" s="325"/>
      <c r="P435" s="325"/>
      <c r="Q435" s="325"/>
      <c r="R435" s="325"/>
      <c r="S435" s="193"/>
      <c r="T435" s="193"/>
      <c r="U435" s="193"/>
      <c r="V435" s="193"/>
      <c r="W435" s="193"/>
      <c r="X435" s="193"/>
      <c r="Y435" s="193"/>
      <c r="Z435" s="193"/>
      <c r="AA435" s="193"/>
      <c r="AB435" s="193"/>
      <c r="AC435" s="193"/>
    </row>
    <row r="436" spans="1:29" ht="24.75" customHeight="1">
      <c r="A436" s="190" t="s">
        <v>128</v>
      </c>
      <c r="B436" s="142"/>
      <c r="C436" s="330" t="s">
        <v>129</v>
      </c>
      <c r="D436" s="330"/>
      <c r="E436" s="330"/>
      <c r="F436" s="330"/>
      <c r="G436" s="330"/>
      <c r="H436" s="330"/>
      <c r="I436" s="330"/>
      <c r="J436" s="330"/>
      <c r="K436" s="330"/>
      <c r="L436" s="330"/>
      <c r="M436" s="93"/>
      <c r="O436" s="156"/>
      <c r="P436" s="142"/>
      <c r="Q436" s="331"/>
      <c r="R436" s="331"/>
      <c r="S436" s="331"/>
      <c r="T436" s="331"/>
      <c r="U436" s="331"/>
      <c r="V436" s="331"/>
      <c r="W436" s="331"/>
      <c r="X436" s="331"/>
      <c r="Y436" s="331"/>
      <c r="Z436" s="331"/>
      <c r="AA436" s="331"/>
      <c r="AB436" s="331"/>
      <c r="AC436" s="331"/>
    </row>
    <row r="437" spans="1:29" ht="20.100000000000001" customHeight="1">
      <c r="A437" s="187">
        <v>1</v>
      </c>
      <c r="B437" s="185" t="s">
        <v>69</v>
      </c>
      <c r="C437" s="326" t="s">
        <v>70</v>
      </c>
      <c r="D437" s="326"/>
      <c r="E437" s="176"/>
      <c r="F437" s="144" t="s">
        <v>71</v>
      </c>
      <c r="G437" s="203" t="s">
        <v>156</v>
      </c>
      <c r="H437" s="202" t="s">
        <v>156</v>
      </c>
      <c r="I437" s="201">
        <v>1</v>
      </c>
      <c r="J437" s="202" t="s">
        <v>156</v>
      </c>
      <c r="K437" s="202" t="s">
        <v>156</v>
      </c>
      <c r="L437" s="201">
        <v>1</v>
      </c>
      <c r="M437" s="93"/>
      <c r="O437" s="195"/>
      <c r="P437" s="196"/>
      <c r="Q437" s="327"/>
      <c r="R437" s="327"/>
      <c r="S437" s="86"/>
      <c r="T437" s="86"/>
      <c r="U437" s="86"/>
      <c r="V437" s="86"/>
      <c r="W437" s="194"/>
      <c r="X437" s="194"/>
      <c r="Y437" s="194"/>
      <c r="Z437" s="194"/>
      <c r="AA437" s="194"/>
      <c r="AB437" s="194"/>
      <c r="AC437" s="194"/>
    </row>
    <row r="438" spans="1:29" ht="20.100000000000001" customHeight="1">
      <c r="A438" s="187">
        <v>2</v>
      </c>
      <c r="B438" s="185" t="s">
        <v>69</v>
      </c>
      <c r="C438" s="326" t="s">
        <v>72</v>
      </c>
      <c r="D438" s="326"/>
      <c r="E438" s="176"/>
      <c r="F438" s="144" t="s">
        <v>71</v>
      </c>
      <c r="G438" s="203" t="s">
        <v>156</v>
      </c>
      <c r="H438" s="202" t="s">
        <v>156</v>
      </c>
      <c r="I438" s="202" t="s">
        <v>156</v>
      </c>
      <c r="J438" s="202" t="s">
        <v>156</v>
      </c>
      <c r="K438" s="202" t="s">
        <v>156</v>
      </c>
      <c r="L438" s="202" t="s">
        <v>156</v>
      </c>
      <c r="M438" s="93"/>
      <c r="O438" s="195"/>
      <c r="P438" s="196"/>
      <c r="Q438" s="327"/>
      <c r="R438" s="327"/>
      <c r="S438" s="194"/>
      <c r="T438" s="194"/>
      <c r="U438" s="194"/>
      <c r="V438" s="86"/>
      <c r="W438" s="86"/>
      <c r="X438" s="86"/>
      <c r="Y438" s="86"/>
      <c r="Z438" s="194"/>
      <c r="AA438" s="194"/>
      <c r="AB438" s="194"/>
      <c r="AC438" s="194"/>
    </row>
    <row r="439" spans="1:29" ht="20.100000000000001" customHeight="1">
      <c r="A439" s="187">
        <v>3</v>
      </c>
      <c r="B439" s="185" t="s">
        <v>69</v>
      </c>
      <c r="C439" s="326" t="s">
        <v>73</v>
      </c>
      <c r="D439" s="326"/>
      <c r="E439" s="176"/>
      <c r="F439" s="144" t="s">
        <v>71</v>
      </c>
      <c r="G439" s="203" t="s">
        <v>156</v>
      </c>
      <c r="H439" s="202" t="s">
        <v>156</v>
      </c>
      <c r="I439" s="202" t="s">
        <v>156</v>
      </c>
      <c r="J439" s="202" t="s">
        <v>156</v>
      </c>
      <c r="K439" s="202" t="s">
        <v>156</v>
      </c>
      <c r="L439" s="202" t="s">
        <v>156</v>
      </c>
      <c r="M439" s="93"/>
      <c r="O439" s="195"/>
      <c r="P439" s="196"/>
      <c r="Q439" s="327"/>
      <c r="R439" s="327"/>
      <c r="S439" s="194"/>
      <c r="T439" s="86"/>
      <c r="U439" s="86"/>
      <c r="V439" s="86"/>
      <c r="W439" s="86"/>
      <c r="X439" s="194"/>
      <c r="Y439" s="194"/>
      <c r="Z439" s="194"/>
      <c r="AA439" s="194"/>
      <c r="AB439" s="194"/>
      <c r="AC439" s="194"/>
    </row>
    <row r="440" spans="1:29" ht="20.100000000000001" customHeight="1">
      <c r="A440" s="187">
        <v>4</v>
      </c>
      <c r="B440" s="185" t="s">
        <v>69</v>
      </c>
      <c r="C440" s="326" t="s">
        <v>98</v>
      </c>
      <c r="D440" s="326"/>
      <c r="E440" s="176"/>
      <c r="F440" s="144" t="s">
        <v>71</v>
      </c>
      <c r="G440" s="203" t="s">
        <v>156</v>
      </c>
      <c r="H440" s="202" t="s">
        <v>156</v>
      </c>
      <c r="I440" s="202" t="s">
        <v>156</v>
      </c>
      <c r="J440" s="202" t="s">
        <v>156</v>
      </c>
      <c r="K440" s="202" t="s">
        <v>156</v>
      </c>
      <c r="L440" s="202" t="s">
        <v>156</v>
      </c>
      <c r="M440" s="93"/>
      <c r="O440" s="195"/>
      <c r="P440" s="196"/>
      <c r="Q440" s="327"/>
      <c r="R440" s="327"/>
      <c r="S440" s="194"/>
      <c r="T440" s="194"/>
      <c r="U440" s="194"/>
      <c r="V440" s="194"/>
      <c r="W440" s="194"/>
      <c r="X440" s="194"/>
      <c r="Y440" s="194"/>
      <c r="Z440" s="86"/>
      <c r="AA440" s="86"/>
      <c r="AB440" s="86"/>
      <c r="AC440" s="86"/>
    </row>
    <row r="441" spans="1:29" ht="20.100000000000001" customHeight="1">
      <c r="A441" s="187">
        <v>5</v>
      </c>
      <c r="B441" s="185" t="s">
        <v>69</v>
      </c>
      <c r="C441" s="326" t="s">
        <v>74</v>
      </c>
      <c r="D441" s="326"/>
      <c r="E441" s="176"/>
      <c r="F441" s="144" t="s">
        <v>71</v>
      </c>
      <c r="G441" s="203" t="s">
        <v>156</v>
      </c>
      <c r="H441" s="202" t="s">
        <v>156</v>
      </c>
      <c r="I441" s="202" t="s">
        <v>156</v>
      </c>
      <c r="J441" s="202" t="s">
        <v>156</v>
      </c>
      <c r="K441" s="202" t="s">
        <v>156</v>
      </c>
      <c r="L441" s="202" t="s">
        <v>156</v>
      </c>
      <c r="M441" s="93"/>
      <c r="O441" s="195"/>
      <c r="P441" s="196"/>
      <c r="Q441" s="327"/>
      <c r="R441" s="327"/>
      <c r="S441" s="194"/>
      <c r="T441" s="194"/>
      <c r="U441" s="194"/>
      <c r="V441" s="194"/>
      <c r="W441" s="194"/>
      <c r="X441" s="194"/>
      <c r="Y441" s="194"/>
      <c r="Z441" s="194"/>
      <c r="AA441" s="194"/>
      <c r="AB441" s="194"/>
      <c r="AC441" s="194"/>
    </row>
    <row r="442" spans="1:29" ht="20.100000000000001" customHeight="1">
      <c r="A442" s="187">
        <v>6</v>
      </c>
      <c r="B442" s="185" t="s">
        <v>69</v>
      </c>
      <c r="C442" s="326" t="s">
        <v>75</v>
      </c>
      <c r="D442" s="326"/>
      <c r="E442" s="176"/>
      <c r="F442" s="144" t="s">
        <v>71</v>
      </c>
      <c r="G442" s="203" t="s">
        <v>156</v>
      </c>
      <c r="H442" s="202" t="s">
        <v>156</v>
      </c>
      <c r="I442" s="202" t="s">
        <v>156</v>
      </c>
      <c r="J442" s="202" t="s">
        <v>156</v>
      </c>
      <c r="K442" s="202" t="s">
        <v>156</v>
      </c>
      <c r="L442" s="202" t="s">
        <v>156</v>
      </c>
      <c r="M442" s="93"/>
      <c r="O442" s="195"/>
      <c r="P442" s="196"/>
      <c r="Q442" s="327"/>
      <c r="R442" s="327"/>
      <c r="S442" s="194"/>
      <c r="T442" s="194"/>
      <c r="U442" s="194"/>
      <c r="V442" s="194"/>
      <c r="W442" s="194"/>
      <c r="X442" s="194"/>
      <c r="Y442" s="194"/>
      <c r="Z442" s="194"/>
      <c r="AA442" s="194"/>
      <c r="AB442" s="194"/>
      <c r="AC442" s="194"/>
    </row>
    <row r="443" spans="1:29" ht="20.100000000000001" customHeight="1">
      <c r="A443" s="187">
        <v>7</v>
      </c>
      <c r="B443" s="185" t="s">
        <v>69</v>
      </c>
      <c r="C443" s="326" t="s">
        <v>76</v>
      </c>
      <c r="D443" s="326"/>
      <c r="E443" s="176"/>
      <c r="F443" s="144" t="s">
        <v>71</v>
      </c>
      <c r="G443" s="203" t="s">
        <v>156</v>
      </c>
      <c r="H443" s="202" t="s">
        <v>156</v>
      </c>
      <c r="I443" s="202" t="s">
        <v>156</v>
      </c>
      <c r="J443" s="202" t="s">
        <v>156</v>
      </c>
      <c r="K443" s="202" t="s">
        <v>156</v>
      </c>
      <c r="L443" s="202" t="s">
        <v>156</v>
      </c>
      <c r="M443" s="93"/>
      <c r="O443" s="195"/>
      <c r="P443" s="196"/>
      <c r="Q443" s="327"/>
      <c r="R443" s="327"/>
      <c r="S443" s="194"/>
      <c r="T443" s="194"/>
      <c r="U443" s="194"/>
      <c r="V443" s="194"/>
      <c r="W443" s="194"/>
      <c r="X443" s="194"/>
      <c r="Y443" s="194"/>
      <c r="Z443" s="194"/>
      <c r="AA443" s="194"/>
      <c r="AB443" s="194"/>
      <c r="AC443" s="194"/>
    </row>
    <row r="444" spans="1:29" ht="20.100000000000001" customHeight="1">
      <c r="A444" s="187">
        <v>8</v>
      </c>
      <c r="B444" s="185" t="s">
        <v>69</v>
      </c>
      <c r="C444" s="326" t="s">
        <v>99</v>
      </c>
      <c r="D444" s="326"/>
      <c r="E444" s="176"/>
      <c r="F444" s="144" t="s">
        <v>71</v>
      </c>
      <c r="G444" s="203" t="s">
        <v>156</v>
      </c>
      <c r="H444" s="202" t="s">
        <v>156</v>
      </c>
      <c r="I444" s="202" t="s">
        <v>156</v>
      </c>
      <c r="J444" s="202" t="s">
        <v>156</v>
      </c>
      <c r="K444" s="202" t="s">
        <v>156</v>
      </c>
      <c r="L444" s="202" t="s">
        <v>156</v>
      </c>
      <c r="M444" s="93"/>
      <c r="O444" s="195"/>
      <c r="P444" s="196"/>
      <c r="Q444" s="327"/>
      <c r="R444" s="327"/>
      <c r="S444" s="194"/>
      <c r="T444" s="194"/>
      <c r="U444" s="194"/>
      <c r="V444" s="194"/>
      <c r="W444" s="194"/>
      <c r="X444" s="194"/>
      <c r="Y444" s="194"/>
      <c r="Z444" s="194"/>
      <c r="AA444" s="194"/>
      <c r="AB444" s="194"/>
      <c r="AC444" s="194"/>
    </row>
    <row r="445" spans="1:29" ht="20.100000000000001" customHeight="1">
      <c r="A445" s="187">
        <v>9</v>
      </c>
      <c r="B445" s="185" t="s">
        <v>69</v>
      </c>
      <c r="C445" s="326" t="s">
        <v>77</v>
      </c>
      <c r="D445" s="326"/>
      <c r="E445" s="176"/>
      <c r="F445" s="144" t="s">
        <v>71</v>
      </c>
      <c r="G445" s="203" t="s">
        <v>156</v>
      </c>
      <c r="H445" s="202" t="s">
        <v>156</v>
      </c>
      <c r="I445" s="202" t="s">
        <v>156</v>
      </c>
      <c r="J445" s="202" t="s">
        <v>156</v>
      </c>
      <c r="K445" s="202" t="s">
        <v>156</v>
      </c>
      <c r="L445" s="202" t="s">
        <v>156</v>
      </c>
      <c r="M445" s="93"/>
      <c r="O445" s="195"/>
      <c r="P445" s="196"/>
      <c r="Q445" s="327"/>
      <c r="R445" s="327"/>
      <c r="S445" s="194"/>
      <c r="T445" s="194"/>
      <c r="U445" s="194"/>
      <c r="V445" s="194"/>
      <c r="W445" s="194"/>
      <c r="X445" s="194"/>
      <c r="Y445" s="194"/>
      <c r="Z445" s="194"/>
      <c r="AA445" s="194"/>
      <c r="AB445" s="194"/>
      <c r="AC445" s="194"/>
    </row>
    <row r="446" spans="1:29" ht="20.100000000000001" customHeight="1">
      <c r="A446" s="187">
        <v>10</v>
      </c>
      <c r="B446" s="185" t="s">
        <v>69</v>
      </c>
      <c r="C446" s="326" t="s">
        <v>78</v>
      </c>
      <c r="D446" s="326"/>
      <c r="E446" s="176"/>
      <c r="F446" s="144" t="s">
        <v>71</v>
      </c>
      <c r="G446" s="203" t="s">
        <v>156</v>
      </c>
      <c r="H446" s="202" t="s">
        <v>156</v>
      </c>
      <c r="I446" s="202" t="s">
        <v>156</v>
      </c>
      <c r="J446" s="202" t="s">
        <v>156</v>
      </c>
      <c r="K446" s="202" t="s">
        <v>156</v>
      </c>
      <c r="L446" s="202" t="s">
        <v>156</v>
      </c>
      <c r="M446" s="93"/>
      <c r="O446" s="195"/>
      <c r="P446" s="196"/>
      <c r="Q446" s="327"/>
      <c r="R446" s="327"/>
      <c r="S446" s="194"/>
      <c r="T446" s="194"/>
      <c r="U446" s="194"/>
      <c r="V446" s="194"/>
      <c r="W446" s="194"/>
      <c r="X446" s="194"/>
      <c r="Y446" s="194"/>
      <c r="Z446" s="194"/>
      <c r="AA446" s="194"/>
      <c r="AB446" s="194"/>
      <c r="AC446" s="194"/>
    </row>
    <row r="447" spans="1:29" ht="20.100000000000001" customHeight="1">
      <c r="A447" s="187">
        <v>11</v>
      </c>
      <c r="B447" s="185" t="s">
        <v>69</v>
      </c>
      <c r="C447" s="326" t="s">
        <v>79</v>
      </c>
      <c r="D447" s="326"/>
      <c r="E447" s="176"/>
      <c r="F447" s="144" t="s">
        <v>71</v>
      </c>
      <c r="G447" s="203" t="s">
        <v>156</v>
      </c>
      <c r="H447" s="202" t="s">
        <v>156</v>
      </c>
      <c r="I447" s="202" t="s">
        <v>156</v>
      </c>
      <c r="J447" s="202" t="s">
        <v>156</v>
      </c>
      <c r="K447" s="202" t="s">
        <v>156</v>
      </c>
      <c r="L447" s="202" t="s">
        <v>156</v>
      </c>
      <c r="M447" s="93"/>
      <c r="O447" s="195"/>
      <c r="P447" s="196"/>
      <c r="Q447" s="327"/>
      <c r="R447" s="327"/>
      <c r="S447" s="194"/>
      <c r="T447" s="194"/>
      <c r="U447" s="194"/>
      <c r="V447" s="194"/>
      <c r="W447" s="194"/>
      <c r="X447" s="194"/>
      <c r="Y447" s="194"/>
      <c r="Z447" s="194"/>
      <c r="AA447" s="194"/>
      <c r="AB447" s="194"/>
      <c r="AC447" s="194"/>
    </row>
    <row r="448" spans="1:29" ht="20.100000000000001" customHeight="1">
      <c r="A448" s="187">
        <v>12</v>
      </c>
      <c r="B448" s="185" t="s">
        <v>69</v>
      </c>
      <c r="C448" s="326" t="s">
        <v>100</v>
      </c>
      <c r="D448" s="326"/>
      <c r="E448" s="176"/>
      <c r="F448" s="144" t="s">
        <v>71</v>
      </c>
      <c r="G448" s="203" t="s">
        <v>156</v>
      </c>
      <c r="H448" s="202" t="s">
        <v>156</v>
      </c>
      <c r="I448" s="202" t="s">
        <v>156</v>
      </c>
      <c r="J448" s="202" t="s">
        <v>156</v>
      </c>
      <c r="K448" s="202" t="s">
        <v>156</v>
      </c>
      <c r="L448" s="202" t="s">
        <v>156</v>
      </c>
      <c r="M448" s="93"/>
      <c r="O448" s="195"/>
      <c r="P448" s="196"/>
      <c r="Q448" s="327"/>
      <c r="R448" s="327"/>
      <c r="S448" s="194"/>
      <c r="T448" s="194"/>
      <c r="U448" s="194"/>
      <c r="V448" s="194"/>
      <c r="W448" s="194"/>
      <c r="X448" s="194"/>
      <c r="Y448" s="194"/>
      <c r="Z448" s="194"/>
      <c r="AA448" s="194"/>
      <c r="AB448" s="194"/>
      <c r="AC448" s="194"/>
    </row>
    <row r="449" spans="1:29" ht="20.100000000000001" customHeight="1">
      <c r="A449" s="187">
        <v>13</v>
      </c>
      <c r="B449" s="185" t="s">
        <v>69</v>
      </c>
      <c r="C449" s="326" t="s">
        <v>80</v>
      </c>
      <c r="D449" s="326"/>
      <c r="E449" s="176"/>
      <c r="F449" s="144" t="s">
        <v>71</v>
      </c>
      <c r="G449" s="203" t="s">
        <v>156</v>
      </c>
      <c r="H449" s="202" t="s">
        <v>156</v>
      </c>
      <c r="I449" s="202" t="s">
        <v>156</v>
      </c>
      <c r="J449" s="202" t="s">
        <v>156</v>
      </c>
      <c r="K449" s="202" t="s">
        <v>156</v>
      </c>
      <c r="L449" s="202" t="s">
        <v>156</v>
      </c>
      <c r="M449" s="93"/>
      <c r="O449" s="195"/>
      <c r="P449" s="196"/>
      <c r="Q449" s="327"/>
      <c r="R449" s="327"/>
      <c r="S449" s="194"/>
      <c r="T449" s="194"/>
      <c r="U449" s="194"/>
      <c r="V449" s="194"/>
      <c r="W449" s="194"/>
      <c r="X449" s="194"/>
      <c r="Y449" s="194"/>
      <c r="Z449" s="194"/>
      <c r="AA449" s="194"/>
      <c r="AB449" s="194"/>
      <c r="AC449" s="194"/>
    </row>
    <row r="450" spans="1:29" ht="20.100000000000001" customHeight="1">
      <c r="A450" s="187">
        <v>14</v>
      </c>
      <c r="B450" s="185" t="s">
        <v>69</v>
      </c>
      <c r="C450" s="326" t="s">
        <v>91</v>
      </c>
      <c r="D450" s="326"/>
      <c r="E450" s="176"/>
      <c r="F450" s="144" t="s">
        <v>71</v>
      </c>
      <c r="G450" s="203" t="s">
        <v>156</v>
      </c>
      <c r="H450" s="202" t="s">
        <v>156</v>
      </c>
      <c r="I450" s="202" t="s">
        <v>156</v>
      </c>
      <c r="J450" s="202" t="s">
        <v>156</v>
      </c>
      <c r="K450" s="202" t="s">
        <v>156</v>
      </c>
      <c r="L450" s="202" t="s">
        <v>156</v>
      </c>
      <c r="M450" s="93"/>
      <c r="O450" s="195"/>
      <c r="P450" s="196"/>
      <c r="Q450" s="327"/>
      <c r="R450" s="327"/>
      <c r="S450" s="194"/>
      <c r="T450" s="194"/>
      <c r="U450" s="194"/>
      <c r="V450" s="194"/>
      <c r="W450" s="194"/>
      <c r="X450" s="194"/>
      <c r="Y450" s="194"/>
      <c r="Z450" s="194"/>
      <c r="AA450" s="194"/>
      <c r="AB450" s="194"/>
      <c r="AC450" s="194"/>
    </row>
    <row r="451" spans="1:29" ht="20.100000000000001" customHeight="1">
      <c r="A451" s="187">
        <v>15</v>
      </c>
      <c r="B451" s="185" t="s">
        <v>69</v>
      </c>
      <c r="C451" s="326" t="s">
        <v>81</v>
      </c>
      <c r="D451" s="326"/>
      <c r="E451" s="176"/>
      <c r="F451" s="144" t="s">
        <v>71</v>
      </c>
      <c r="G451" s="203" t="s">
        <v>156</v>
      </c>
      <c r="H451" s="202" t="s">
        <v>156</v>
      </c>
      <c r="I451" s="202" t="s">
        <v>156</v>
      </c>
      <c r="J451" s="202" t="s">
        <v>156</v>
      </c>
      <c r="K451" s="202" t="s">
        <v>156</v>
      </c>
      <c r="L451" s="202" t="s">
        <v>156</v>
      </c>
      <c r="M451" s="93"/>
      <c r="O451" s="195"/>
      <c r="P451" s="196"/>
      <c r="Q451" s="327"/>
      <c r="R451" s="327"/>
      <c r="S451" s="194"/>
      <c r="T451" s="194"/>
      <c r="U451" s="194"/>
      <c r="V451" s="194"/>
      <c r="W451" s="194"/>
      <c r="X451" s="194"/>
      <c r="Y451" s="194"/>
      <c r="Z451" s="194"/>
      <c r="AA451" s="194"/>
      <c r="AB451" s="194"/>
      <c r="AC451" s="194"/>
    </row>
    <row r="452" spans="1:29" ht="20.100000000000001" customHeight="1">
      <c r="A452" s="187">
        <v>16</v>
      </c>
      <c r="B452" s="185" t="s">
        <v>69</v>
      </c>
      <c r="C452" s="326" t="s">
        <v>101</v>
      </c>
      <c r="D452" s="326"/>
      <c r="E452" s="151"/>
      <c r="F452" s="144" t="s">
        <v>71</v>
      </c>
      <c r="G452" s="203" t="s">
        <v>156</v>
      </c>
      <c r="H452" s="202" t="s">
        <v>156</v>
      </c>
      <c r="I452" s="202" t="s">
        <v>156</v>
      </c>
      <c r="J452" s="202" t="s">
        <v>156</v>
      </c>
      <c r="K452" s="202" t="s">
        <v>156</v>
      </c>
      <c r="L452" s="202" t="s">
        <v>156</v>
      </c>
      <c r="M452" s="93"/>
      <c r="N452" s="219"/>
      <c r="O452" s="195"/>
      <c r="P452" s="196"/>
      <c r="Q452" s="327"/>
      <c r="R452" s="327"/>
      <c r="S452" s="197"/>
      <c r="T452" s="197"/>
      <c r="U452" s="197"/>
      <c r="V452" s="197"/>
      <c r="W452" s="197"/>
      <c r="X452" s="197"/>
      <c r="Y452" s="197"/>
      <c r="Z452" s="197"/>
      <c r="AA452" s="197"/>
      <c r="AB452" s="197"/>
      <c r="AC452" s="197"/>
    </row>
    <row r="453" spans="1:29" ht="20.100000000000001" customHeight="1">
      <c r="A453" s="187">
        <v>17</v>
      </c>
      <c r="B453" s="186" t="s">
        <v>69</v>
      </c>
      <c r="C453" s="326" t="s">
        <v>141</v>
      </c>
      <c r="D453" s="326"/>
      <c r="E453" s="151"/>
      <c r="F453" s="144" t="s">
        <v>71</v>
      </c>
      <c r="G453" s="203" t="s">
        <v>156</v>
      </c>
      <c r="H453" s="202" t="s">
        <v>156</v>
      </c>
      <c r="I453" s="202" t="s">
        <v>156</v>
      </c>
      <c r="J453" s="202" t="s">
        <v>156</v>
      </c>
      <c r="K453" s="202" t="s">
        <v>156</v>
      </c>
      <c r="L453" s="202" t="s">
        <v>156</v>
      </c>
      <c r="M453" s="93"/>
      <c r="N453" s="219"/>
      <c r="O453" s="195"/>
      <c r="P453" s="104"/>
      <c r="Q453" s="327"/>
      <c r="R453" s="327"/>
      <c r="S453" s="197"/>
      <c r="T453" s="197"/>
      <c r="U453" s="197"/>
      <c r="V453" s="197"/>
      <c r="W453" s="197"/>
      <c r="X453" s="197"/>
      <c r="Y453" s="197"/>
      <c r="Z453" s="197"/>
      <c r="AA453" s="197"/>
      <c r="AB453" s="197"/>
      <c r="AC453" s="197"/>
    </row>
    <row r="454" spans="1:29" ht="20.100000000000001" customHeight="1">
      <c r="A454" s="187">
        <v>18</v>
      </c>
      <c r="B454" s="186" t="s">
        <v>69</v>
      </c>
      <c r="C454" s="326" t="s">
        <v>142</v>
      </c>
      <c r="D454" s="326"/>
      <c r="E454" s="151"/>
      <c r="F454" s="144" t="s">
        <v>71</v>
      </c>
      <c r="G454" s="203" t="s">
        <v>156</v>
      </c>
      <c r="H454" s="202" t="s">
        <v>156</v>
      </c>
      <c r="I454" s="202" t="s">
        <v>156</v>
      </c>
      <c r="J454" s="202" t="s">
        <v>156</v>
      </c>
      <c r="K454" s="202" t="s">
        <v>156</v>
      </c>
      <c r="L454" s="202" t="s">
        <v>156</v>
      </c>
      <c r="M454" s="93"/>
      <c r="N454" s="219"/>
      <c r="O454" s="195"/>
      <c r="P454" s="104"/>
      <c r="Q454" s="327"/>
      <c r="R454" s="327"/>
      <c r="S454" s="197"/>
      <c r="T454" s="197"/>
      <c r="U454" s="197"/>
      <c r="V454" s="197"/>
      <c r="W454" s="197"/>
      <c r="X454" s="197"/>
      <c r="Y454" s="197"/>
      <c r="Z454" s="197"/>
      <c r="AA454" s="197"/>
      <c r="AB454" s="197"/>
      <c r="AC454" s="197"/>
    </row>
    <row r="455" spans="1:29" ht="20.100000000000001" customHeight="1">
      <c r="A455" s="187">
        <v>19</v>
      </c>
      <c r="B455" s="186" t="s">
        <v>69</v>
      </c>
      <c r="C455" s="326" t="s">
        <v>143</v>
      </c>
      <c r="D455" s="326"/>
      <c r="E455" s="151"/>
      <c r="F455" s="144" t="s">
        <v>71</v>
      </c>
      <c r="G455" s="203" t="s">
        <v>156</v>
      </c>
      <c r="H455" s="202" t="s">
        <v>156</v>
      </c>
      <c r="I455" s="202" t="s">
        <v>156</v>
      </c>
      <c r="J455" s="202" t="s">
        <v>156</v>
      </c>
      <c r="K455" s="202" t="s">
        <v>156</v>
      </c>
      <c r="L455" s="202" t="s">
        <v>156</v>
      </c>
      <c r="M455" s="93"/>
      <c r="N455" s="219"/>
      <c r="O455" s="195"/>
      <c r="P455" s="104"/>
      <c r="Q455" s="327"/>
      <c r="R455" s="327"/>
      <c r="S455" s="197"/>
      <c r="T455" s="197"/>
      <c r="U455" s="197"/>
      <c r="V455" s="197"/>
      <c r="W455" s="197"/>
      <c r="X455" s="197"/>
      <c r="Y455" s="197"/>
      <c r="Z455" s="197"/>
      <c r="AA455" s="197"/>
      <c r="AB455" s="197"/>
      <c r="AC455" s="197"/>
    </row>
    <row r="456" spans="1:29" ht="20.100000000000001" customHeight="1">
      <c r="A456" s="187">
        <v>20</v>
      </c>
      <c r="B456" s="186" t="s">
        <v>69</v>
      </c>
      <c r="C456" s="326" t="s">
        <v>102</v>
      </c>
      <c r="D456" s="326"/>
      <c r="E456" s="150"/>
      <c r="F456" s="154" t="s">
        <v>71</v>
      </c>
      <c r="G456" s="203" t="s">
        <v>156</v>
      </c>
      <c r="H456" s="202" t="s">
        <v>156</v>
      </c>
      <c r="I456" s="202" t="s">
        <v>156</v>
      </c>
      <c r="J456" s="202" t="s">
        <v>156</v>
      </c>
      <c r="K456" s="202" t="s">
        <v>156</v>
      </c>
      <c r="L456" s="202" t="s">
        <v>156</v>
      </c>
      <c r="M456" s="93"/>
      <c r="N456" s="219"/>
      <c r="O456" s="195"/>
      <c r="P456" s="104"/>
      <c r="Q456" s="327"/>
      <c r="R456" s="327"/>
      <c r="S456" s="197"/>
      <c r="T456" s="197"/>
      <c r="U456" s="197"/>
      <c r="V456" s="197"/>
      <c r="W456" s="197"/>
      <c r="X456" s="197"/>
      <c r="Y456" s="197"/>
      <c r="Z456" s="197"/>
      <c r="AA456" s="197"/>
      <c r="AB456" s="197"/>
      <c r="AC456" s="197"/>
    </row>
    <row r="457" spans="1:29" ht="24.75" customHeight="1">
      <c r="A457" s="190" t="s">
        <v>128</v>
      </c>
      <c r="B457" s="142"/>
      <c r="C457" s="330" t="s">
        <v>130</v>
      </c>
      <c r="D457" s="330"/>
      <c r="E457" s="330"/>
      <c r="F457" s="330"/>
      <c r="G457" s="330"/>
      <c r="H457" s="330"/>
      <c r="I457" s="330"/>
      <c r="J457" s="330"/>
      <c r="K457" s="330"/>
      <c r="L457" s="330"/>
      <c r="M457" s="93"/>
      <c r="O457" s="156"/>
      <c r="P457" s="142"/>
      <c r="Q457" s="331"/>
      <c r="R457" s="331"/>
      <c r="S457" s="331"/>
      <c r="T457" s="331"/>
      <c r="U457" s="331"/>
      <c r="V457" s="331"/>
      <c r="W457" s="331"/>
      <c r="X457" s="331"/>
      <c r="Y457" s="331"/>
      <c r="Z457" s="331"/>
      <c r="AA457" s="331"/>
      <c r="AB457" s="331"/>
      <c r="AC457" s="331"/>
    </row>
    <row r="458" spans="1:29" ht="33" customHeight="1">
      <c r="A458" s="189">
        <v>21</v>
      </c>
      <c r="B458" s="188" t="s">
        <v>69</v>
      </c>
      <c r="C458" s="307" t="s">
        <v>82</v>
      </c>
      <c r="D458" s="308"/>
      <c r="E458" s="182"/>
      <c r="F458" s="191" t="s">
        <v>71</v>
      </c>
      <c r="G458" s="201">
        <v>58</v>
      </c>
      <c r="H458" s="201">
        <v>40</v>
      </c>
      <c r="I458" s="201">
        <v>21</v>
      </c>
      <c r="J458" s="201">
        <v>58</v>
      </c>
      <c r="K458" s="201">
        <v>40</v>
      </c>
      <c r="L458" s="201">
        <v>21</v>
      </c>
      <c r="M458" s="89"/>
      <c r="N458" s="219"/>
      <c r="O458" s="199"/>
      <c r="P458" s="200"/>
      <c r="Q458" s="309"/>
      <c r="R458" s="309"/>
      <c r="S458" s="86"/>
      <c r="T458" s="86"/>
      <c r="U458" s="86"/>
      <c r="V458" s="86"/>
      <c r="W458" s="86"/>
      <c r="X458" s="86"/>
      <c r="Y458" s="86"/>
      <c r="Z458" s="86"/>
      <c r="AA458" s="86"/>
      <c r="AB458" s="86"/>
      <c r="AC458" s="86"/>
    </row>
    <row r="459" spans="1:29" ht="33" customHeight="1">
      <c r="A459" s="189">
        <v>22</v>
      </c>
      <c r="B459" s="188" t="s">
        <v>69</v>
      </c>
      <c r="C459" s="307" t="s">
        <v>103</v>
      </c>
      <c r="D459" s="308"/>
      <c r="E459" s="179"/>
      <c r="F459" s="191" t="s">
        <v>71</v>
      </c>
      <c r="G459" s="201">
        <v>9</v>
      </c>
      <c r="H459" s="201">
        <v>9</v>
      </c>
      <c r="I459" s="201">
        <v>7</v>
      </c>
      <c r="J459" s="201">
        <v>9</v>
      </c>
      <c r="K459" s="201">
        <v>9</v>
      </c>
      <c r="L459" s="201">
        <v>7</v>
      </c>
      <c r="M459" s="89"/>
      <c r="N459" s="219"/>
      <c r="O459" s="199"/>
      <c r="P459" s="200"/>
      <c r="Q459" s="309"/>
      <c r="R459" s="309"/>
      <c r="S459" s="86"/>
      <c r="T459" s="86"/>
      <c r="U459" s="86"/>
      <c r="V459" s="86"/>
      <c r="W459" s="86"/>
      <c r="X459" s="86"/>
      <c r="Y459" s="86"/>
      <c r="Z459" s="86"/>
      <c r="AA459" s="86"/>
      <c r="AB459" s="86"/>
      <c r="AC459" s="86"/>
    </row>
    <row r="460" spans="1:29" ht="33" customHeight="1">
      <c r="A460" s="189">
        <v>23</v>
      </c>
      <c r="B460" s="188" t="s">
        <v>69</v>
      </c>
      <c r="C460" s="307" t="s">
        <v>104</v>
      </c>
      <c r="D460" s="308"/>
      <c r="E460" s="179"/>
      <c r="F460" s="191" t="s">
        <v>71</v>
      </c>
      <c r="G460" s="201">
        <v>5</v>
      </c>
      <c r="H460" s="201">
        <v>1</v>
      </c>
      <c r="I460" s="201">
        <v>1</v>
      </c>
      <c r="J460" s="201">
        <v>5</v>
      </c>
      <c r="K460" s="201">
        <v>1</v>
      </c>
      <c r="L460" s="201">
        <v>1</v>
      </c>
      <c r="M460" s="89"/>
      <c r="N460" s="219"/>
      <c r="O460" s="199"/>
      <c r="P460" s="200"/>
      <c r="Q460" s="309"/>
      <c r="R460" s="309"/>
      <c r="S460" s="86"/>
      <c r="T460" s="86"/>
      <c r="U460" s="86"/>
      <c r="V460" s="86"/>
      <c r="W460" s="86"/>
      <c r="X460" s="86"/>
      <c r="Y460" s="86"/>
      <c r="Z460" s="86"/>
      <c r="AA460" s="86"/>
      <c r="AB460" s="86"/>
      <c r="AC460" s="86"/>
    </row>
    <row r="461" spans="1:29" ht="27.75" customHeight="1">
      <c r="A461" s="317" t="s">
        <v>135</v>
      </c>
      <c r="B461" s="318"/>
      <c r="C461" s="317" t="s">
        <v>68</v>
      </c>
      <c r="D461" s="318"/>
      <c r="E461" s="183"/>
      <c r="F461" s="321" t="s">
        <v>136</v>
      </c>
      <c r="G461" s="322" t="s">
        <v>155</v>
      </c>
      <c r="H461" s="323"/>
      <c r="I461" s="323"/>
      <c r="J461" s="322" t="s">
        <v>154</v>
      </c>
      <c r="K461" s="323"/>
      <c r="L461" s="324"/>
      <c r="M461" s="92"/>
      <c r="O461" s="325"/>
      <c r="P461" s="325"/>
      <c r="Q461" s="325"/>
      <c r="R461" s="325"/>
      <c r="S461" s="316"/>
      <c r="T461" s="316"/>
      <c r="U461" s="316"/>
      <c r="V461" s="316"/>
      <c r="W461" s="316"/>
      <c r="X461" s="316"/>
      <c r="Y461" s="316"/>
      <c r="Z461" s="316"/>
      <c r="AA461" s="316"/>
      <c r="AB461" s="316"/>
      <c r="AC461" s="316"/>
    </row>
    <row r="462" spans="1:29" ht="125.25" customHeight="1">
      <c r="A462" s="319"/>
      <c r="B462" s="320"/>
      <c r="C462" s="319"/>
      <c r="D462" s="320"/>
      <c r="E462" s="184"/>
      <c r="F462" s="321"/>
      <c r="G462" s="153" t="s">
        <v>151</v>
      </c>
      <c r="H462" s="153" t="s">
        <v>152</v>
      </c>
      <c r="I462" s="153" t="s">
        <v>153</v>
      </c>
      <c r="J462" s="153" t="s">
        <v>151</v>
      </c>
      <c r="K462" s="153" t="s">
        <v>152</v>
      </c>
      <c r="L462" s="153" t="s">
        <v>153</v>
      </c>
      <c r="O462" s="325"/>
      <c r="P462" s="325"/>
      <c r="Q462" s="325"/>
      <c r="R462" s="325"/>
      <c r="S462" s="193"/>
      <c r="T462" s="193"/>
      <c r="U462" s="193"/>
      <c r="V462" s="193"/>
      <c r="W462" s="193"/>
      <c r="X462" s="193"/>
      <c r="Y462" s="193"/>
      <c r="Z462" s="193"/>
      <c r="AA462" s="193"/>
      <c r="AB462" s="193"/>
      <c r="AC462" s="193"/>
    </row>
    <row r="463" spans="1:29" ht="30" customHeight="1">
      <c r="A463" s="189">
        <v>24</v>
      </c>
      <c r="B463" s="188" t="s">
        <v>69</v>
      </c>
      <c r="C463" s="307" t="s">
        <v>131</v>
      </c>
      <c r="D463" s="308"/>
      <c r="E463" s="179"/>
      <c r="F463" s="191" t="s">
        <v>71</v>
      </c>
      <c r="G463" s="202" t="s">
        <v>156</v>
      </c>
      <c r="H463" s="202" t="s">
        <v>156</v>
      </c>
      <c r="I463" s="202" t="s">
        <v>156</v>
      </c>
      <c r="J463" s="202" t="s">
        <v>156</v>
      </c>
      <c r="K463" s="202" t="s">
        <v>156</v>
      </c>
      <c r="L463" s="202" t="s">
        <v>156</v>
      </c>
      <c r="M463" s="89"/>
      <c r="N463" s="219"/>
      <c r="O463" s="199"/>
      <c r="P463" s="200"/>
      <c r="Q463" s="309"/>
      <c r="R463" s="309"/>
      <c r="S463" s="86"/>
      <c r="T463" s="86"/>
      <c r="U463" s="86"/>
      <c r="V463" s="86"/>
      <c r="W463" s="86"/>
      <c r="X463" s="86"/>
      <c r="Y463" s="86"/>
      <c r="Z463" s="86"/>
      <c r="AA463" s="86"/>
      <c r="AB463" s="86"/>
      <c r="AC463" s="86"/>
    </row>
    <row r="464" spans="1:29" ht="30" customHeight="1">
      <c r="A464" s="189">
        <v>25</v>
      </c>
      <c r="B464" s="188" t="s">
        <v>69</v>
      </c>
      <c r="C464" s="307" t="s">
        <v>83</v>
      </c>
      <c r="D464" s="308"/>
      <c r="E464" s="179"/>
      <c r="F464" s="191" t="s">
        <v>71</v>
      </c>
      <c r="G464" s="201">
        <v>25</v>
      </c>
      <c r="H464" s="201">
        <v>40</v>
      </c>
      <c r="I464" s="201">
        <v>22</v>
      </c>
      <c r="J464" s="201">
        <v>25</v>
      </c>
      <c r="K464" s="201">
        <v>40</v>
      </c>
      <c r="L464" s="201">
        <v>22</v>
      </c>
      <c r="M464" s="89"/>
      <c r="N464" s="219"/>
      <c r="O464" s="199"/>
      <c r="P464" s="200"/>
      <c r="Q464" s="309"/>
      <c r="R464" s="309"/>
      <c r="S464" s="86"/>
      <c r="T464" s="86"/>
      <c r="U464" s="86"/>
      <c r="V464" s="86"/>
      <c r="W464" s="86"/>
      <c r="X464" s="86"/>
      <c r="Y464" s="86"/>
      <c r="Z464" s="86"/>
      <c r="AA464" s="86"/>
      <c r="AB464" s="86"/>
      <c r="AC464" s="86"/>
    </row>
    <row r="465" spans="1:29" ht="30" customHeight="1">
      <c r="A465" s="189">
        <v>26</v>
      </c>
      <c r="B465" s="188" t="s">
        <v>69</v>
      </c>
      <c r="C465" s="307" t="s">
        <v>84</v>
      </c>
      <c r="D465" s="308"/>
      <c r="E465" s="179"/>
      <c r="F465" s="191" t="s">
        <v>71</v>
      </c>
      <c r="G465" s="201">
        <v>5</v>
      </c>
      <c r="H465" s="202" t="s">
        <v>156</v>
      </c>
      <c r="I465" s="202" t="s">
        <v>156</v>
      </c>
      <c r="J465" s="201">
        <v>5</v>
      </c>
      <c r="K465" s="202" t="s">
        <v>156</v>
      </c>
      <c r="L465" s="202" t="s">
        <v>156</v>
      </c>
      <c r="M465" s="89"/>
      <c r="N465" s="219"/>
      <c r="O465" s="199"/>
      <c r="P465" s="200"/>
      <c r="Q465" s="309"/>
      <c r="R465" s="309"/>
      <c r="S465" s="86"/>
      <c r="T465" s="86"/>
      <c r="U465" s="86"/>
      <c r="V465" s="86"/>
      <c r="W465" s="86"/>
      <c r="X465" s="86"/>
      <c r="Y465" s="86"/>
      <c r="Z465" s="86"/>
      <c r="AA465" s="86"/>
      <c r="AB465" s="86"/>
      <c r="AC465" s="86"/>
    </row>
    <row r="466" spans="1:29" ht="30" customHeight="1">
      <c r="A466" s="189">
        <v>27</v>
      </c>
      <c r="B466" s="188" t="s">
        <v>69</v>
      </c>
      <c r="C466" s="307" t="s">
        <v>85</v>
      </c>
      <c r="D466" s="308"/>
      <c r="E466" s="179"/>
      <c r="F466" s="191" t="s">
        <v>71</v>
      </c>
      <c r="G466" s="201">
        <v>3</v>
      </c>
      <c r="H466" s="201">
        <v>1</v>
      </c>
      <c r="I466" s="201">
        <v>8</v>
      </c>
      <c r="J466" s="201">
        <v>3</v>
      </c>
      <c r="K466" s="201">
        <v>1</v>
      </c>
      <c r="L466" s="201">
        <v>8</v>
      </c>
      <c r="M466" s="89"/>
      <c r="N466" s="219"/>
      <c r="O466" s="199"/>
      <c r="P466" s="200"/>
      <c r="Q466" s="309"/>
      <c r="R466" s="309"/>
      <c r="S466" s="86"/>
      <c r="T466" s="86"/>
      <c r="U466" s="86"/>
      <c r="V466" s="86"/>
      <c r="W466" s="86"/>
      <c r="X466" s="86"/>
      <c r="Y466" s="86"/>
      <c r="Z466" s="86"/>
      <c r="AA466" s="86"/>
      <c r="AB466" s="86"/>
      <c r="AC466" s="86"/>
    </row>
    <row r="467" spans="1:29" ht="30" customHeight="1">
      <c r="A467" s="189">
        <v>28</v>
      </c>
      <c r="B467" s="188" t="s">
        <v>69</v>
      </c>
      <c r="C467" s="307" t="s">
        <v>132</v>
      </c>
      <c r="D467" s="308"/>
      <c r="E467" s="179"/>
      <c r="F467" s="191" t="s">
        <v>71</v>
      </c>
      <c r="G467" s="202" t="s">
        <v>156</v>
      </c>
      <c r="H467" s="202" t="s">
        <v>156</v>
      </c>
      <c r="I467" s="202" t="s">
        <v>156</v>
      </c>
      <c r="J467" s="202" t="s">
        <v>156</v>
      </c>
      <c r="K467" s="202" t="s">
        <v>156</v>
      </c>
      <c r="L467" s="202" t="s">
        <v>156</v>
      </c>
      <c r="M467" s="89"/>
      <c r="N467" s="219"/>
      <c r="O467" s="199"/>
      <c r="P467" s="200"/>
      <c r="Q467" s="309"/>
      <c r="R467" s="309"/>
      <c r="S467" s="86"/>
      <c r="T467" s="86"/>
      <c r="U467" s="86"/>
      <c r="V467" s="86"/>
      <c r="W467" s="86"/>
      <c r="X467" s="86"/>
      <c r="Y467" s="86"/>
      <c r="Z467" s="86"/>
      <c r="AA467" s="86"/>
      <c r="AB467" s="86"/>
      <c r="AC467" s="86"/>
    </row>
    <row r="468" spans="1:29" ht="30" customHeight="1">
      <c r="A468" s="189">
        <v>29</v>
      </c>
      <c r="B468" s="188" t="s">
        <v>69</v>
      </c>
      <c r="C468" s="307" t="s">
        <v>86</v>
      </c>
      <c r="D468" s="308"/>
      <c r="E468" s="179"/>
      <c r="F468" s="191" t="s">
        <v>71</v>
      </c>
      <c r="G468" s="201">
        <v>10</v>
      </c>
      <c r="H468" s="201">
        <v>12</v>
      </c>
      <c r="I468" s="201">
        <v>9</v>
      </c>
      <c r="J468" s="201">
        <v>10</v>
      </c>
      <c r="K468" s="201">
        <v>12</v>
      </c>
      <c r="L468" s="201">
        <v>9</v>
      </c>
      <c r="M468" s="89"/>
      <c r="N468" s="219"/>
      <c r="O468" s="199"/>
      <c r="P468" s="200"/>
      <c r="Q468" s="309"/>
      <c r="R468" s="309"/>
      <c r="S468" s="86"/>
      <c r="T468" s="86"/>
      <c r="U468" s="86"/>
      <c r="V468" s="86"/>
      <c r="W468" s="86"/>
      <c r="X468" s="86"/>
      <c r="Y468" s="86"/>
      <c r="Z468" s="86"/>
      <c r="AA468" s="86"/>
      <c r="AB468" s="86"/>
      <c r="AC468" s="86"/>
    </row>
    <row r="469" spans="1:29" ht="30" customHeight="1">
      <c r="A469" s="189">
        <v>30</v>
      </c>
      <c r="B469" s="188" t="s">
        <v>69</v>
      </c>
      <c r="C469" s="307" t="s">
        <v>87</v>
      </c>
      <c r="D469" s="308"/>
      <c r="E469" s="179"/>
      <c r="F469" s="191" t="s">
        <v>71</v>
      </c>
      <c r="G469" s="202" t="s">
        <v>156</v>
      </c>
      <c r="H469" s="202" t="s">
        <v>156</v>
      </c>
      <c r="I469" s="202" t="s">
        <v>156</v>
      </c>
      <c r="J469" s="202" t="s">
        <v>156</v>
      </c>
      <c r="K469" s="202" t="s">
        <v>156</v>
      </c>
      <c r="L469" s="202" t="s">
        <v>156</v>
      </c>
      <c r="M469" s="89"/>
      <c r="N469" s="219"/>
      <c r="O469" s="199"/>
      <c r="P469" s="200"/>
      <c r="Q469" s="309"/>
      <c r="R469" s="309"/>
      <c r="S469" s="86"/>
      <c r="T469" s="86"/>
      <c r="U469" s="86"/>
      <c r="V469" s="86"/>
      <c r="W469" s="86"/>
      <c r="X469" s="86"/>
      <c r="Y469" s="86"/>
      <c r="Z469" s="86"/>
      <c r="AA469" s="86"/>
      <c r="AB469" s="86"/>
      <c r="AC469" s="86"/>
    </row>
    <row r="470" spans="1:29" ht="30" customHeight="1">
      <c r="A470" s="189">
        <v>31</v>
      </c>
      <c r="B470" s="188" t="s">
        <v>69</v>
      </c>
      <c r="C470" s="307" t="s">
        <v>105</v>
      </c>
      <c r="D470" s="308"/>
      <c r="E470" s="179"/>
      <c r="F470" s="191" t="s">
        <v>71</v>
      </c>
      <c r="G470" s="201">
        <v>2</v>
      </c>
      <c r="H470" s="203" t="s">
        <v>156</v>
      </c>
      <c r="I470" s="201">
        <v>8</v>
      </c>
      <c r="J470" s="201">
        <v>2</v>
      </c>
      <c r="K470" s="203" t="s">
        <v>156</v>
      </c>
      <c r="L470" s="201">
        <v>8</v>
      </c>
      <c r="M470" s="89"/>
      <c r="N470" s="219"/>
      <c r="O470" s="199"/>
      <c r="P470" s="200"/>
      <c r="Q470" s="309"/>
      <c r="R470" s="309"/>
      <c r="S470" s="86"/>
      <c r="T470" s="86"/>
      <c r="U470" s="86"/>
      <c r="V470" s="86"/>
      <c r="W470" s="86"/>
      <c r="X470" s="86"/>
      <c r="Y470" s="86"/>
      <c r="Z470" s="86"/>
      <c r="AA470" s="86"/>
      <c r="AB470" s="86"/>
      <c r="AC470" s="86"/>
    </row>
    <row r="471" spans="1:29" ht="30" customHeight="1">
      <c r="A471" s="189">
        <v>32</v>
      </c>
      <c r="B471" s="188" t="s">
        <v>69</v>
      </c>
      <c r="C471" s="307" t="s">
        <v>133</v>
      </c>
      <c r="D471" s="308"/>
      <c r="E471" s="179"/>
      <c r="F471" s="191" t="s">
        <v>71</v>
      </c>
      <c r="G471" s="202" t="s">
        <v>156</v>
      </c>
      <c r="H471" s="202" t="s">
        <v>156</v>
      </c>
      <c r="I471" s="202" t="s">
        <v>156</v>
      </c>
      <c r="J471" s="202" t="s">
        <v>156</v>
      </c>
      <c r="K471" s="202" t="s">
        <v>156</v>
      </c>
      <c r="L471" s="202" t="s">
        <v>156</v>
      </c>
      <c r="M471" s="89"/>
      <c r="N471" s="219"/>
      <c r="O471" s="199"/>
      <c r="P471" s="200"/>
      <c r="Q471" s="309"/>
      <c r="R471" s="309"/>
      <c r="S471" s="86"/>
      <c r="T471" s="86"/>
      <c r="U471" s="86"/>
      <c r="V471" s="86"/>
      <c r="W471" s="86"/>
      <c r="X471" s="86"/>
      <c r="Y471" s="86"/>
      <c r="Z471" s="86"/>
      <c r="AA471" s="86"/>
      <c r="AB471" s="86"/>
      <c r="AC471" s="86"/>
    </row>
    <row r="472" spans="1:29" ht="30" customHeight="1">
      <c r="A472" s="189">
        <v>33</v>
      </c>
      <c r="B472" s="188" t="s">
        <v>69</v>
      </c>
      <c r="C472" s="307" t="s">
        <v>88</v>
      </c>
      <c r="D472" s="308"/>
      <c r="E472" s="179"/>
      <c r="F472" s="191" t="s">
        <v>71</v>
      </c>
      <c r="G472" s="201">
        <v>3</v>
      </c>
      <c r="H472" s="201">
        <v>7</v>
      </c>
      <c r="I472" s="201">
        <v>7</v>
      </c>
      <c r="J472" s="201">
        <v>3</v>
      </c>
      <c r="K472" s="201">
        <v>7</v>
      </c>
      <c r="L472" s="201">
        <v>7</v>
      </c>
      <c r="M472" s="89"/>
      <c r="N472" s="219"/>
      <c r="O472" s="199"/>
      <c r="P472" s="200"/>
      <c r="Q472" s="309"/>
      <c r="R472" s="309"/>
      <c r="S472" s="86"/>
      <c r="T472" s="86"/>
      <c r="U472" s="86"/>
      <c r="V472" s="86"/>
      <c r="W472" s="86"/>
      <c r="X472" s="86"/>
      <c r="Y472" s="86"/>
      <c r="Z472" s="86"/>
      <c r="AA472" s="86"/>
      <c r="AB472" s="86"/>
      <c r="AC472" s="86"/>
    </row>
    <row r="473" spans="1:29" ht="30" customHeight="1">
      <c r="A473" s="189">
        <v>34</v>
      </c>
      <c r="B473" s="188" t="s">
        <v>69</v>
      </c>
      <c r="C473" s="307" t="s">
        <v>89</v>
      </c>
      <c r="D473" s="308"/>
      <c r="E473" s="179"/>
      <c r="F473" s="191" t="s">
        <v>71</v>
      </c>
      <c r="G473" s="202" t="s">
        <v>156</v>
      </c>
      <c r="H473" s="202" t="s">
        <v>156</v>
      </c>
      <c r="I473" s="202" t="s">
        <v>156</v>
      </c>
      <c r="J473" s="202" t="s">
        <v>156</v>
      </c>
      <c r="K473" s="202" t="s">
        <v>156</v>
      </c>
      <c r="L473" s="202" t="s">
        <v>156</v>
      </c>
      <c r="M473" s="89"/>
      <c r="N473" s="219"/>
      <c r="O473" s="199"/>
      <c r="P473" s="200"/>
      <c r="Q473" s="309"/>
      <c r="R473" s="309"/>
      <c r="S473" s="86"/>
      <c r="T473" s="86"/>
      <c r="U473" s="86"/>
      <c r="V473" s="86"/>
      <c r="W473" s="86"/>
      <c r="X473" s="86"/>
      <c r="Y473" s="86"/>
      <c r="Z473" s="86"/>
      <c r="AA473" s="86"/>
      <c r="AB473" s="86"/>
      <c r="AC473" s="86"/>
    </row>
    <row r="474" spans="1:29" ht="30" customHeight="1">
      <c r="A474" s="189">
        <v>35</v>
      </c>
      <c r="B474" s="188" t="s">
        <v>69</v>
      </c>
      <c r="C474" s="307" t="s">
        <v>140</v>
      </c>
      <c r="D474" s="308"/>
      <c r="E474" s="179"/>
      <c r="F474" s="191" t="s">
        <v>71</v>
      </c>
      <c r="G474" s="202" t="s">
        <v>156</v>
      </c>
      <c r="H474" s="202" t="s">
        <v>156</v>
      </c>
      <c r="I474" s="201">
        <v>3</v>
      </c>
      <c r="J474" s="202" t="s">
        <v>156</v>
      </c>
      <c r="K474" s="202" t="s">
        <v>156</v>
      </c>
      <c r="L474" s="201">
        <v>3</v>
      </c>
      <c r="M474" s="89"/>
      <c r="N474" s="220"/>
      <c r="O474" s="199"/>
      <c r="P474" s="200"/>
      <c r="Q474" s="309"/>
      <c r="R474" s="309"/>
      <c r="S474" s="86"/>
      <c r="T474" s="86"/>
      <c r="U474" s="86"/>
      <c r="V474" s="86"/>
      <c r="W474" s="86"/>
      <c r="X474" s="86"/>
      <c r="Y474" s="86"/>
      <c r="Z474" s="86"/>
      <c r="AA474" s="86"/>
      <c r="AB474" s="86"/>
      <c r="AC474" s="86"/>
    </row>
    <row r="475" spans="1:29" ht="30" customHeight="1">
      <c r="A475" s="189">
        <v>36</v>
      </c>
      <c r="B475" s="188" t="s">
        <v>69</v>
      </c>
      <c r="C475" s="307" t="s">
        <v>134</v>
      </c>
      <c r="D475" s="308"/>
      <c r="E475" s="179"/>
      <c r="F475" s="191" t="s">
        <v>71</v>
      </c>
      <c r="G475" s="202" t="s">
        <v>156</v>
      </c>
      <c r="H475" s="202" t="s">
        <v>156</v>
      </c>
      <c r="I475" s="202" t="s">
        <v>156</v>
      </c>
      <c r="J475" s="202" t="s">
        <v>156</v>
      </c>
      <c r="K475" s="202" t="s">
        <v>156</v>
      </c>
      <c r="L475" s="202" t="s">
        <v>156</v>
      </c>
      <c r="M475" s="89"/>
      <c r="N475" s="220"/>
      <c r="O475" s="199"/>
      <c r="P475" s="200"/>
      <c r="Q475" s="309"/>
      <c r="R475" s="309"/>
      <c r="S475" s="86"/>
      <c r="T475" s="86"/>
      <c r="U475" s="86"/>
      <c r="V475" s="86"/>
      <c r="W475" s="86"/>
      <c r="X475" s="86"/>
      <c r="Y475" s="86"/>
      <c r="Z475" s="86"/>
      <c r="AA475" s="86"/>
      <c r="AB475" s="86"/>
      <c r="AC475" s="86"/>
    </row>
    <row r="476" spans="1:29" ht="30" customHeight="1">
      <c r="A476" s="189">
        <v>37</v>
      </c>
      <c r="B476" s="188" t="s">
        <v>69</v>
      </c>
      <c r="C476" s="307" t="s">
        <v>90</v>
      </c>
      <c r="D476" s="308"/>
      <c r="E476" s="179"/>
      <c r="F476" s="191" t="s">
        <v>71</v>
      </c>
      <c r="G476" s="202" t="s">
        <v>156</v>
      </c>
      <c r="H476" s="202" t="s">
        <v>156</v>
      </c>
      <c r="I476" s="202" t="s">
        <v>156</v>
      </c>
      <c r="J476" s="202" t="s">
        <v>156</v>
      </c>
      <c r="K476" s="202" t="s">
        <v>156</v>
      </c>
      <c r="L476" s="202" t="s">
        <v>156</v>
      </c>
      <c r="M476" s="89"/>
      <c r="N476" s="220"/>
      <c r="O476" s="199"/>
      <c r="P476" s="200"/>
      <c r="Q476" s="309"/>
      <c r="R476" s="309"/>
      <c r="S476" s="86"/>
      <c r="T476" s="86"/>
      <c r="U476" s="86"/>
      <c r="V476" s="86"/>
      <c r="W476" s="86"/>
      <c r="X476" s="86"/>
      <c r="Y476" s="86"/>
      <c r="Z476" s="86"/>
      <c r="AA476" s="86"/>
      <c r="AB476" s="86"/>
      <c r="AC476" s="86"/>
    </row>
    <row r="477" spans="1:29" ht="30" customHeight="1">
      <c r="A477" s="189">
        <v>38</v>
      </c>
      <c r="B477" s="188" t="s">
        <v>69</v>
      </c>
      <c r="C477" s="307" t="s">
        <v>106</v>
      </c>
      <c r="D477" s="308"/>
      <c r="E477" s="150"/>
      <c r="F477" s="191" t="s">
        <v>71</v>
      </c>
      <c r="G477" s="202" t="s">
        <v>156</v>
      </c>
      <c r="H477" s="202" t="s">
        <v>156</v>
      </c>
      <c r="I477" s="202" t="s">
        <v>156</v>
      </c>
      <c r="J477" s="202" t="s">
        <v>156</v>
      </c>
      <c r="K477" s="202" t="s">
        <v>156</v>
      </c>
      <c r="L477" s="202" t="s">
        <v>156</v>
      </c>
      <c r="M477" s="89"/>
      <c r="N477" s="220"/>
      <c r="O477" s="199"/>
      <c r="P477" s="200"/>
      <c r="Q477" s="309"/>
      <c r="R477" s="309"/>
      <c r="S477" s="86"/>
      <c r="T477" s="86"/>
      <c r="U477" s="86"/>
      <c r="V477" s="86"/>
      <c r="W477" s="86"/>
      <c r="X477" s="86"/>
      <c r="Y477" s="86"/>
      <c r="Z477" s="86"/>
      <c r="AA477" s="86"/>
      <c r="AB477" s="86"/>
      <c r="AC477" s="86"/>
    </row>
    <row r="478" spans="1:29" ht="25.5" customHeight="1">
      <c r="A478" s="310" t="s">
        <v>92</v>
      </c>
      <c r="B478" s="310"/>
      <c r="C478" s="310"/>
      <c r="D478" s="310"/>
      <c r="E478" s="310"/>
      <c r="F478" s="310"/>
      <c r="G478" s="310"/>
      <c r="H478" s="310"/>
      <c r="I478" s="310"/>
      <c r="J478" s="310"/>
      <c r="K478" s="310"/>
      <c r="L478" s="310"/>
      <c r="M478" s="92"/>
    </row>
    <row r="479" spans="1:29" ht="19.5" customHeight="1">
      <c r="A479" s="139"/>
      <c r="B479" s="139"/>
      <c r="C479" s="140"/>
      <c r="D479" s="140" t="s">
        <v>145</v>
      </c>
      <c r="E479" s="140"/>
      <c r="F479" s="152" t="s">
        <v>54</v>
      </c>
      <c r="G479" s="152"/>
      <c r="H479" s="152"/>
      <c r="I479" s="152"/>
      <c r="J479" s="152" t="s">
        <v>144</v>
      </c>
      <c r="K479" s="152"/>
      <c r="L479" s="140"/>
      <c r="M479" s="94"/>
    </row>
    <row r="480" spans="1:29" ht="28.5" customHeight="1">
      <c r="A480" s="310" t="s">
        <v>93</v>
      </c>
      <c r="B480" s="310"/>
      <c r="C480" s="310"/>
      <c r="D480" s="310"/>
      <c r="E480" s="310"/>
      <c r="F480" s="310"/>
      <c r="G480" s="310"/>
      <c r="H480" s="310"/>
      <c r="I480" s="310"/>
      <c r="J480" s="310"/>
      <c r="K480" s="310"/>
      <c r="L480" s="310"/>
      <c r="M480" s="92"/>
      <c r="N480" s="311"/>
      <c r="O480" s="311"/>
      <c r="P480" s="311"/>
    </row>
    <row r="481" spans="1:16" ht="20.25" customHeight="1">
      <c r="A481" s="139"/>
      <c r="B481" s="139"/>
      <c r="C481" s="139"/>
      <c r="D481" s="140" t="s">
        <v>145</v>
      </c>
      <c r="E481" s="140"/>
      <c r="F481" s="152" t="s">
        <v>54</v>
      </c>
      <c r="G481" s="152"/>
      <c r="H481" s="152"/>
      <c r="I481" s="152"/>
      <c r="J481" s="152" t="s">
        <v>144</v>
      </c>
      <c r="K481" s="152"/>
      <c r="L481" s="139"/>
      <c r="M481" s="94"/>
      <c r="N481" s="221"/>
      <c r="O481" s="95"/>
      <c r="P481" s="95"/>
    </row>
    <row r="482" spans="1:16" ht="26.25" customHeight="1">
      <c r="A482" s="312" t="s">
        <v>94</v>
      </c>
      <c r="B482" s="312"/>
      <c r="C482" s="312"/>
      <c r="D482" s="312"/>
      <c r="E482" s="312"/>
      <c r="F482" s="312"/>
      <c r="G482" s="312"/>
      <c r="H482" s="312"/>
      <c r="I482" s="312"/>
      <c r="J482" s="312"/>
      <c r="K482" s="312"/>
      <c r="L482" s="312"/>
      <c r="M482" s="92"/>
    </row>
    <row r="483" spans="1:16" ht="22.5" customHeight="1">
      <c r="A483" s="120"/>
      <c r="B483" s="120"/>
      <c r="C483" s="120"/>
      <c r="D483" s="120"/>
      <c r="E483" s="120"/>
      <c r="F483" s="120"/>
      <c r="G483" s="120"/>
      <c r="H483" s="120"/>
      <c r="I483" s="120"/>
      <c r="J483" s="120"/>
      <c r="K483" s="120"/>
      <c r="L483" s="120"/>
      <c r="M483" s="94"/>
    </row>
    <row r="484" spans="1:16" ht="22.5" customHeight="1">
      <c r="A484" s="313" t="s">
        <v>95</v>
      </c>
      <c r="B484" s="313"/>
      <c r="C484" s="313"/>
      <c r="D484" s="313"/>
      <c r="E484" s="313"/>
      <c r="F484" s="313"/>
      <c r="G484" s="313"/>
      <c r="H484" s="313"/>
      <c r="I484" s="313"/>
      <c r="J484" s="313"/>
      <c r="K484" s="313"/>
      <c r="L484" s="313"/>
      <c r="M484" s="92"/>
    </row>
    <row r="485" spans="1:16" ht="19.5" customHeight="1">
      <c r="A485" s="97"/>
      <c r="B485" s="97"/>
      <c r="C485" s="145"/>
      <c r="D485" s="97"/>
      <c r="E485" s="97"/>
      <c r="F485" s="97"/>
      <c r="G485" s="97"/>
      <c r="H485" s="97"/>
      <c r="I485" s="97"/>
      <c r="J485" s="97"/>
      <c r="K485" s="97"/>
      <c r="L485" s="97"/>
      <c r="M485" s="94"/>
    </row>
    <row r="486" spans="1:16" ht="5.25" customHeight="1">
      <c r="A486" s="94"/>
      <c r="B486" s="94"/>
      <c r="C486" s="146"/>
      <c r="D486" s="94"/>
      <c r="E486" s="94"/>
      <c r="F486" s="94"/>
      <c r="G486" s="94"/>
      <c r="H486" s="94"/>
      <c r="I486" s="94"/>
      <c r="J486" s="94"/>
      <c r="K486" s="94"/>
      <c r="L486" s="94"/>
      <c r="M486" s="94"/>
    </row>
    <row r="487" spans="1:16" ht="16.5" customHeight="1">
      <c r="A487" s="314" t="s">
        <v>96</v>
      </c>
      <c r="B487" s="314"/>
      <c r="C487" s="314"/>
      <c r="D487" s="314"/>
      <c r="E487" s="98"/>
      <c r="F487" s="98"/>
      <c r="G487" s="98"/>
      <c r="H487" s="315" t="s">
        <v>97</v>
      </c>
      <c r="I487" s="315"/>
      <c r="J487" s="315"/>
      <c r="K487" s="315"/>
      <c r="L487" s="315"/>
      <c r="M487" s="94"/>
    </row>
    <row r="488" spans="1:16" ht="95.1" customHeight="1">
      <c r="A488" s="99"/>
      <c r="B488" s="101" t="str">
        <f>B418</f>
        <v>Ông Huỳnh Phước Hải        ….............</v>
      </c>
      <c r="C488" s="147"/>
      <c r="D488" s="99"/>
      <c r="E488" s="81"/>
      <c r="F488" s="100"/>
      <c r="G488" s="100"/>
      <c r="H488" s="306" t="str">
        <f>H418</f>
        <v>Ông Phạm Tấn Việt          …..................</v>
      </c>
      <c r="I488" s="306"/>
      <c r="J488" s="306"/>
      <c r="K488" s="306"/>
      <c r="L488" s="306"/>
      <c r="M488" s="94"/>
    </row>
    <row r="489" spans="1:16" ht="49.5" customHeight="1">
      <c r="A489" s="99"/>
      <c r="B489" s="99"/>
      <c r="C489" s="147"/>
      <c r="D489" s="99"/>
      <c r="E489" s="81"/>
      <c r="F489" s="100"/>
      <c r="G489" s="100"/>
      <c r="H489" s="100"/>
      <c r="I489" s="100"/>
      <c r="J489" s="99"/>
      <c r="K489" s="99"/>
      <c r="L489" s="99"/>
      <c r="M489" s="94"/>
    </row>
    <row r="490" spans="1:16" ht="21.75" customHeight="1">
      <c r="A490" s="348" t="s">
        <v>165</v>
      </c>
      <c r="B490" s="348"/>
      <c r="C490" s="348"/>
      <c r="D490" s="348"/>
      <c r="E490" s="348"/>
      <c r="F490" s="348"/>
      <c r="G490" s="348"/>
      <c r="H490" s="348"/>
      <c r="I490" s="348"/>
      <c r="J490" s="348"/>
      <c r="K490" s="348"/>
      <c r="L490" s="348"/>
      <c r="M490" s="82"/>
    </row>
    <row r="491" spans="1:16" ht="19.5">
      <c r="A491" s="84" t="str">
        <f>"Ngày "&amp;N492&amp;" tháng "&amp;O3&amp;" năm "&amp;P3&amp;""</f>
        <v>Ngày 08 tháng 07 năm 2026</v>
      </c>
      <c r="B491" s="84"/>
      <c r="C491" s="85"/>
      <c r="N491" s="216"/>
      <c r="O491" s="20"/>
      <c r="P491" s="20"/>
    </row>
    <row r="492" spans="1:16" ht="16.5">
      <c r="A492" s="337" t="s">
        <v>57</v>
      </c>
      <c r="B492" s="337"/>
      <c r="C492" s="337"/>
      <c r="D492" s="311"/>
      <c r="E492" s="311"/>
      <c r="F492" s="311"/>
      <c r="G492" s="95"/>
      <c r="H492" s="95"/>
      <c r="I492" s="95"/>
      <c r="J492" s="95"/>
      <c r="K492" s="95"/>
      <c r="L492" s="95"/>
      <c r="N492" s="217" t="s">
        <v>170</v>
      </c>
      <c r="O492" s="214"/>
      <c r="P492" s="17"/>
    </row>
    <row r="493" spans="1:16" ht="15.75" customHeight="1">
      <c r="A493" s="338"/>
      <c r="B493" s="338"/>
      <c r="C493" s="338"/>
      <c r="D493" s="339" t="s">
        <v>58</v>
      </c>
      <c r="E493" s="340"/>
      <c r="F493" s="340"/>
      <c r="G493" s="340"/>
      <c r="H493" s="341"/>
      <c r="I493" s="339" t="s">
        <v>59</v>
      </c>
      <c r="J493" s="340"/>
      <c r="K493" s="340"/>
      <c r="L493" s="341"/>
    </row>
    <row r="494" spans="1:16" ht="19.5" customHeight="1">
      <c r="A494" s="342" t="s">
        <v>60</v>
      </c>
      <c r="B494" s="342"/>
      <c r="C494" s="342"/>
      <c r="D494" s="343" t="s">
        <v>54</v>
      </c>
      <c r="E494" s="344"/>
      <c r="F494" s="344"/>
      <c r="G494" s="344"/>
      <c r="H494" s="345"/>
      <c r="I494" s="343" t="s">
        <v>54</v>
      </c>
      <c r="J494" s="344"/>
      <c r="K494" s="344"/>
      <c r="L494" s="345"/>
    </row>
    <row r="495" spans="1:16" ht="22.5" customHeight="1">
      <c r="A495" s="342" t="s">
        <v>61</v>
      </c>
      <c r="B495" s="342"/>
      <c r="C495" s="342"/>
      <c r="D495" s="343" t="s">
        <v>163</v>
      </c>
      <c r="E495" s="344"/>
      <c r="F495" s="344"/>
      <c r="G495" s="344"/>
      <c r="H495" s="345"/>
      <c r="I495" s="343" t="str">
        <f>D495</f>
        <v>31° - 34°</v>
      </c>
      <c r="J495" s="344"/>
      <c r="K495" s="344"/>
      <c r="L495" s="345"/>
    </row>
    <row r="496" spans="1:16" s="87" customFormat="1" ht="19.5" customHeight="1">
      <c r="A496" s="310" t="s">
        <v>62</v>
      </c>
      <c r="B496" s="310"/>
      <c r="C496" s="310"/>
      <c r="D496" s="310"/>
      <c r="E496" s="310"/>
      <c r="F496" s="310"/>
      <c r="G496" s="310"/>
      <c r="H496" s="310"/>
      <c r="I496" s="310"/>
      <c r="J496" s="310"/>
      <c r="K496" s="310"/>
      <c r="L496" s="310"/>
      <c r="M496" s="85"/>
      <c r="N496" s="218"/>
    </row>
    <row r="497" spans="1:29" s="87" customFormat="1" ht="15.75">
      <c r="A497" s="332" t="s">
        <v>63</v>
      </c>
      <c r="B497" s="332"/>
      <c r="C497" s="332"/>
      <c r="D497" s="332"/>
      <c r="E497" s="332"/>
      <c r="F497" s="332"/>
      <c r="G497" s="332"/>
      <c r="H497" s="332"/>
      <c r="I497" s="332"/>
      <c r="J497" s="332"/>
      <c r="K497" s="332"/>
      <c r="L497" s="332"/>
      <c r="M497" s="85"/>
      <c r="N497" s="218"/>
    </row>
    <row r="498" spans="1:29" s="87" customFormat="1" ht="20.100000000000001" customHeight="1">
      <c r="A498" s="88"/>
      <c r="B498" s="88"/>
      <c r="C498" s="333" t="s">
        <v>64</v>
      </c>
      <c r="D498" s="334"/>
      <c r="E498" s="334"/>
      <c r="F498" s="334"/>
      <c r="G498" s="334"/>
      <c r="H498" s="334"/>
      <c r="I498" s="334"/>
      <c r="J498" s="334"/>
      <c r="K498" s="334"/>
      <c r="L498" s="334"/>
      <c r="M498" s="85"/>
      <c r="N498" s="218"/>
    </row>
    <row r="499" spans="1:29" s="87" customFormat="1" ht="20.100000000000001" customHeight="1">
      <c r="A499" s="88"/>
      <c r="B499" s="88"/>
      <c r="C499" s="333" t="s">
        <v>65</v>
      </c>
      <c r="D499" s="334"/>
      <c r="E499" s="334"/>
      <c r="F499" s="334"/>
      <c r="G499" s="334"/>
      <c r="H499" s="334"/>
      <c r="I499" s="334"/>
      <c r="J499" s="334"/>
      <c r="K499" s="334"/>
      <c r="L499" s="334"/>
      <c r="M499" s="85"/>
      <c r="N499" s="218"/>
    </row>
    <row r="500" spans="1:29" s="87" customFormat="1" ht="17.25" customHeight="1">
      <c r="A500" s="335" t="s">
        <v>66</v>
      </c>
      <c r="B500" s="335"/>
      <c r="C500" s="335"/>
      <c r="D500" s="335"/>
      <c r="E500" s="335"/>
      <c r="F500" s="335"/>
      <c r="G500" s="335"/>
      <c r="H500" s="335"/>
      <c r="I500" s="335"/>
      <c r="J500" s="335"/>
      <c r="K500" s="335"/>
      <c r="L500" s="335"/>
      <c r="M500" s="85"/>
      <c r="N500" s="218"/>
    </row>
    <row r="501" spans="1:29" s="87" customFormat="1" ht="7.5" customHeight="1">
      <c r="A501" s="119"/>
      <c r="B501" s="119"/>
      <c r="C501" s="119"/>
      <c r="D501" s="119"/>
      <c r="E501" s="119"/>
      <c r="F501" s="119"/>
      <c r="G501" s="119"/>
      <c r="H501" s="119"/>
      <c r="I501" s="119"/>
      <c r="J501" s="119"/>
      <c r="K501" s="119"/>
      <c r="L501" s="119"/>
      <c r="M501" s="85"/>
      <c r="N501" s="218"/>
    </row>
    <row r="502" spans="1:29" ht="15.75">
      <c r="A502" s="336" t="s">
        <v>67</v>
      </c>
      <c r="B502" s="336"/>
      <c r="C502" s="336"/>
      <c r="D502" s="336"/>
      <c r="E502" s="336"/>
      <c r="F502" s="336"/>
      <c r="G502" s="336"/>
      <c r="H502" s="336"/>
      <c r="I502" s="336"/>
      <c r="J502" s="336"/>
      <c r="K502" s="336"/>
      <c r="L502" s="336"/>
    </row>
    <row r="503" spans="1:29" ht="2.25" customHeight="1">
      <c r="A503" s="141"/>
      <c r="B503" s="141"/>
      <c r="C503" s="141"/>
      <c r="D503" s="141"/>
      <c r="E503" s="141"/>
      <c r="F503" s="141"/>
      <c r="G503" s="155"/>
      <c r="H503" s="155"/>
      <c r="I503" s="155"/>
      <c r="J503" s="155"/>
      <c r="K503" s="155"/>
      <c r="L503" s="155"/>
    </row>
    <row r="504" spans="1:29" ht="27.75" customHeight="1">
      <c r="A504" s="317" t="s">
        <v>135</v>
      </c>
      <c r="B504" s="318"/>
      <c r="C504" s="317" t="s">
        <v>68</v>
      </c>
      <c r="D504" s="318"/>
      <c r="E504" s="183"/>
      <c r="F504" s="321" t="s">
        <v>136</v>
      </c>
      <c r="G504" s="322" t="s">
        <v>155</v>
      </c>
      <c r="H504" s="323"/>
      <c r="I504" s="323"/>
      <c r="J504" s="322" t="s">
        <v>154</v>
      </c>
      <c r="K504" s="323"/>
      <c r="L504" s="324"/>
      <c r="M504" s="92"/>
      <c r="O504" s="325"/>
      <c r="P504" s="325"/>
      <c r="Q504" s="325"/>
      <c r="R504" s="325"/>
      <c r="S504" s="316"/>
      <c r="T504" s="316"/>
      <c r="U504" s="316"/>
      <c r="V504" s="316"/>
      <c r="W504" s="316"/>
      <c r="X504" s="316"/>
      <c r="Y504" s="316"/>
      <c r="Z504" s="316"/>
      <c r="AA504" s="316"/>
      <c r="AB504" s="316"/>
      <c r="AC504" s="316"/>
    </row>
    <row r="505" spans="1:29" ht="125.25" customHeight="1">
      <c r="A505" s="319"/>
      <c r="B505" s="320"/>
      <c r="C505" s="319"/>
      <c r="D505" s="320"/>
      <c r="E505" s="184"/>
      <c r="F505" s="321"/>
      <c r="G505" s="153" t="s">
        <v>151</v>
      </c>
      <c r="H505" s="153" t="s">
        <v>152</v>
      </c>
      <c r="I505" s="153" t="s">
        <v>153</v>
      </c>
      <c r="J505" s="153" t="s">
        <v>151</v>
      </c>
      <c r="K505" s="153" t="s">
        <v>152</v>
      </c>
      <c r="L505" s="153" t="s">
        <v>153</v>
      </c>
      <c r="O505" s="325"/>
      <c r="P505" s="325"/>
      <c r="Q505" s="325"/>
      <c r="R505" s="325"/>
      <c r="S505" s="193"/>
      <c r="T505" s="193"/>
      <c r="U505" s="193"/>
      <c r="V505" s="193"/>
      <c r="W505" s="193"/>
      <c r="X505" s="193"/>
      <c r="Y505" s="193"/>
      <c r="Z505" s="193"/>
      <c r="AA505" s="193"/>
      <c r="AB505" s="193"/>
      <c r="AC505" s="193"/>
    </row>
    <row r="506" spans="1:29" ht="24.75" customHeight="1">
      <c r="A506" s="190" t="s">
        <v>128</v>
      </c>
      <c r="B506" s="142"/>
      <c r="C506" s="330" t="s">
        <v>129</v>
      </c>
      <c r="D506" s="330"/>
      <c r="E506" s="330"/>
      <c r="F506" s="330"/>
      <c r="G506" s="330"/>
      <c r="H506" s="330"/>
      <c r="I506" s="330"/>
      <c r="J506" s="330"/>
      <c r="K506" s="330"/>
      <c r="L506" s="330"/>
      <c r="M506" s="93"/>
      <c r="O506" s="156"/>
      <c r="P506" s="142"/>
      <c r="Q506" s="331"/>
      <c r="R506" s="331"/>
      <c r="S506" s="331"/>
      <c r="T506" s="331"/>
      <c r="U506" s="331"/>
      <c r="V506" s="331"/>
      <c r="W506" s="331"/>
      <c r="X506" s="331"/>
      <c r="Y506" s="331"/>
      <c r="Z506" s="331"/>
      <c r="AA506" s="331"/>
      <c r="AB506" s="331"/>
      <c r="AC506" s="331"/>
    </row>
    <row r="507" spans="1:29" ht="20.100000000000001" customHeight="1">
      <c r="A507" s="187">
        <v>1</v>
      </c>
      <c r="B507" s="185" t="s">
        <v>69</v>
      </c>
      <c r="C507" s="326" t="s">
        <v>70</v>
      </c>
      <c r="D507" s="326"/>
      <c r="E507" s="176"/>
      <c r="F507" s="144" t="s">
        <v>71</v>
      </c>
      <c r="G507" s="203" t="s">
        <v>156</v>
      </c>
      <c r="H507" s="202" t="s">
        <v>156</v>
      </c>
      <c r="I507" s="201">
        <v>1</v>
      </c>
      <c r="J507" s="202" t="s">
        <v>156</v>
      </c>
      <c r="K507" s="202" t="s">
        <v>156</v>
      </c>
      <c r="L507" s="201">
        <v>1</v>
      </c>
      <c r="M507" s="93"/>
      <c r="O507" s="195"/>
      <c r="P507" s="196"/>
      <c r="Q507" s="327"/>
      <c r="R507" s="327"/>
      <c r="S507" s="86"/>
      <c r="T507" s="86"/>
      <c r="U507" s="86"/>
      <c r="V507" s="86"/>
      <c r="W507" s="194"/>
      <c r="X507" s="194"/>
      <c r="Y507" s="194"/>
      <c r="Z507" s="194"/>
      <c r="AA507" s="194"/>
      <c r="AB507" s="194"/>
      <c r="AC507" s="194"/>
    </row>
    <row r="508" spans="1:29" ht="20.100000000000001" customHeight="1">
      <c r="A508" s="187">
        <v>2</v>
      </c>
      <c r="B508" s="185" t="s">
        <v>69</v>
      </c>
      <c r="C508" s="326" t="s">
        <v>72</v>
      </c>
      <c r="D508" s="326"/>
      <c r="E508" s="176"/>
      <c r="F508" s="144" t="s">
        <v>71</v>
      </c>
      <c r="G508" s="203" t="s">
        <v>156</v>
      </c>
      <c r="H508" s="202" t="s">
        <v>156</v>
      </c>
      <c r="I508" s="202" t="s">
        <v>156</v>
      </c>
      <c r="J508" s="202" t="s">
        <v>156</v>
      </c>
      <c r="K508" s="202" t="s">
        <v>156</v>
      </c>
      <c r="L508" s="202" t="s">
        <v>156</v>
      </c>
      <c r="M508" s="93"/>
      <c r="O508" s="195"/>
      <c r="P508" s="196"/>
      <c r="Q508" s="327"/>
      <c r="R508" s="327"/>
      <c r="S508" s="194"/>
      <c r="T508" s="194"/>
      <c r="U508" s="194"/>
      <c r="V508" s="86"/>
      <c r="W508" s="86"/>
      <c r="X508" s="86"/>
      <c r="Y508" s="86"/>
      <c r="Z508" s="194"/>
      <c r="AA508" s="194"/>
      <c r="AB508" s="194"/>
      <c r="AC508" s="194"/>
    </row>
    <row r="509" spans="1:29" ht="20.100000000000001" customHeight="1">
      <c r="A509" s="187">
        <v>3</v>
      </c>
      <c r="B509" s="185" t="s">
        <v>69</v>
      </c>
      <c r="C509" s="326" t="s">
        <v>73</v>
      </c>
      <c r="D509" s="326"/>
      <c r="E509" s="176"/>
      <c r="F509" s="144" t="s">
        <v>71</v>
      </c>
      <c r="G509" s="203" t="s">
        <v>156</v>
      </c>
      <c r="H509" s="202" t="s">
        <v>156</v>
      </c>
      <c r="I509" s="202" t="s">
        <v>156</v>
      </c>
      <c r="J509" s="202" t="s">
        <v>156</v>
      </c>
      <c r="K509" s="202" t="s">
        <v>156</v>
      </c>
      <c r="L509" s="202" t="s">
        <v>156</v>
      </c>
      <c r="M509" s="93"/>
      <c r="O509" s="195"/>
      <c r="P509" s="196"/>
      <c r="Q509" s="327"/>
      <c r="R509" s="327"/>
      <c r="S509" s="194"/>
      <c r="T509" s="86"/>
      <c r="U509" s="86"/>
      <c r="V509" s="86"/>
      <c r="W509" s="86"/>
      <c r="X509" s="194"/>
      <c r="Y509" s="194"/>
      <c r="Z509" s="194"/>
      <c r="AA509" s="194"/>
      <c r="AB509" s="194"/>
      <c r="AC509" s="194"/>
    </row>
    <row r="510" spans="1:29" ht="20.100000000000001" customHeight="1">
      <c r="A510" s="187">
        <v>4</v>
      </c>
      <c r="B510" s="185" t="s">
        <v>69</v>
      </c>
      <c r="C510" s="326" t="s">
        <v>98</v>
      </c>
      <c r="D510" s="326"/>
      <c r="E510" s="176"/>
      <c r="F510" s="144" t="s">
        <v>71</v>
      </c>
      <c r="G510" s="203" t="s">
        <v>156</v>
      </c>
      <c r="H510" s="202" t="s">
        <v>156</v>
      </c>
      <c r="I510" s="202" t="s">
        <v>156</v>
      </c>
      <c r="J510" s="202" t="s">
        <v>156</v>
      </c>
      <c r="K510" s="202" t="s">
        <v>156</v>
      </c>
      <c r="L510" s="202" t="s">
        <v>156</v>
      </c>
      <c r="M510" s="93"/>
      <c r="O510" s="195"/>
      <c r="P510" s="196"/>
      <c r="Q510" s="327"/>
      <c r="R510" s="327"/>
      <c r="S510" s="194"/>
      <c r="T510" s="194"/>
      <c r="U510" s="194"/>
      <c r="V510" s="194"/>
      <c r="W510" s="194"/>
      <c r="X510" s="194"/>
      <c r="Y510" s="194"/>
      <c r="Z510" s="86"/>
      <c r="AA510" s="86"/>
      <c r="AB510" s="86"/>
      <c r="AC510" s="86"/>
    </row>
    <row r="511" spans="1:29" ht="20.100000000000001" customHeight="1">
      <c r="A511" s="187">
        <v>5</v>
      </c>
      <c r="B511" s="185" t="s">
        <v>69</v>
      </c>
      <c r="C511" s="326" t="s">
        <v>74</v>
      </c>
      <c r="D511" s="326"/>
      <c r="E511" s="176"/>
      <c r="F511" s="144" t="s">
        <v>71</v>
      </c>
      <c r="G511" s="203" t="s">
        <v>156</v>
      </c>
      <c r="H511" s="202" t="s">
        <v>156</v>
      </c>
      <c r="I511" s="202" t="s">
        <v>156</v>
      </c>
      <c r="J511" s="202" t="s">
        <v>156</v>
      </c>
      <c r="K511" s="202" t="s">
        <v>156</v>
      </c>
      <c r="L511" s="202" t="s">
        <v>156</v>
      </c>
      <c r="M511" s="93"/>
      <c r="O511" s="195"/>
      <c r="P511" s="196"/>
      <c r="Q511" s="327"/>
      <c r="R511" s="327"/>
      <c r="S511" s="194"/>
      <c r="T511" s="194"/>
      <c r="U511" s="194"/>
      <c r="V511" s="194"/>
      <c r="W511" s="194"/>
      <c r="X511" s="194"/>
      <c r="Y511" s="194"/>
      <c r="Z511" s="194"/>
      <c r="AA511" s="194"/>
      <c r="AB511" s="194"/>
      <c r="AC511" s="194"/>
    </row>
    <row r="512" spans="1:29" ht="20.100000000000001" customHeight="1">
      <c r="A512" s="187">
        <v>6</v>
      </c>
      <c r="B512" s="185" t="s">
        <v>69</v>
      </c>
      <c r="C512" s="326" t="s">
        <v>75</v>
      </c>
      <c r="D512" s="326"/>
      <c r="E512" s="176"/>
      <c r="F512" s="144" t="s">
        <v>71</v>
      </c>
      <c r="G512" s="203" t="s">
        <v>156</v>
      </c>
      <c r="H512" s="202" t="s">
        <v>156</v>
      </c>
      <c r="I512" s="202" t="s">
        <v>156</v>
      </c>
      <c r="J512" s="202" t="s">
        <v>156</v>
      </c>
      <c r="K512" s="202" t="s">
        <v>156</v>
      </c>
      <c r="L512" s="202" t="s">
        <v>156</v>
      </c>
      <c r="M512" s="93"/>
      <c r="O512" s="195"/>
      <c r="P512" s="196"/>
      <c r="Q512" s="327"/>
      <c r="R512" s="327"/>
      <c r="S512" s="194"/>
      <c r="T512" s="194"/>
      <c r="U512" s="194"/>
      <c r="V512" s="194"/>
      <c r="W512" s="194"/>
      <c r="X512" s="194"/>
      <c r="Y512" s="194"/>
      <c r="Z512" s="194"/>
      <c r="AA512" s="194"/>
      <c r="AB512" s="194"/>
      <c r="AC512" s="194"/>
    </row>
    <row r="513" spans="1:29" ht="20.100000000000001" customHeight="1">
      <c r="A513" s="187">
        <v>7</v>
      </c>
      <c r="B513" s="185" t="s">
        <v>69</v>
      </c>
      <c r="C513" s="326" t="s">
        <v>76</v>
      </c>
      <c r="D513" s="326"/>
      <c r="E513" s="176"/>
      <c r="F513" s="144" t="s">
        <v>71</v>
      </c>
      <c r="G513" s="203" t="s">
        <v>156</v>
      </c>
      <c r="H513" s="202" t="s">
        <v>156</v>
      </c>
      <c r="I513" s="202" t="s">
        <v>156</v>
      </c>
      <c r="J513" s="202" t="s">
        <v>156</v>
      </c>
      <c r="K513" s="202" t="s">
        <v>156</v>
      </c>
      <c r="L513" s="202" t="s">
        <v>156</v>
      </c>
      <c r="M513" s="93"/>
      <c r="O513" s="195"/>
      <c r="P513" s="196"/>
      <c r="Q513" s="327"/>
      <c r="R513" s="327"/>
      <c r="S513" s="194"/>
      <c r="T513" s="194"/>
      <c r="U513" s="194"/>
      <c r="V513" s="194"/>
      <c r="W513" s="194"/>
      <c r="X513" s="194"/>
      <c r="Y513" s="194"/>
      <c r="Z513" s="194"/>
      <c r="AA513" s="194"/>
      <c r="AB513" s="194"/>
      <c r="AC513" s="194"/>
    </row>
    <row r="514" spans="1:29" ht="20.100000000000001" customHeight="1">
      <c r="A514" s="187">
        <v>8</v>
      </c>
      <c r="B514" s="185" t="s">
        <v>69</v>
      </c>
      <c r="C514" s="326" t="s">
        <v>99</v>
      </c>
      <c r="D514" s="326"/>
      <c r="E514" s="176"/>
      <c r="F514" s="144" t="s">
        <v>71</v>
      </c>
      <c r="G514" s="203" t="s">
        <v>156</v>
      </c>
      <c r="H514" s="202" t="s">
        <v>156</v>
      </c>
      <c r="I514" s="202" t="s">
        <v>156</v>
      </c>
      <c r="J514" s="202" t="s">
        <v>156</v>
      </c>
      <c r="K514" s="202" t="s">
        <v>156</v>
      </c>
      <c r="L514" s="202" t="s">
        <v>156</v>
      </c>
      <c r="M514" s="93"/>
      <c r="O514" s="195"/>
      <c r="P514" s="196"/>
      <c r="Q514" s="327"/>
      <c r="R514" s="327"/>
      <c r="S514" s="194"/>
      <c r="T514" s="194"/>
      <c r="U514" s="194"/>
      <c r="V514" s="194"/>
      <c r="W514" s="194"/>
      <c r="X514" s="194"/>
      <c r="Y514" s="194"/>
      <c r="Z514" s="194"/>
      <c r="AA514" s="194"/>
      <c r="AB514" s="194"/>
      <c r="AC514" s="194"/>
    </row>
    <row r="515" spans="1:29" ht="20.100000000000001" customHeight="1">
      <c r="A515" s="187">
        <v>9</v>
      </c>
      <c r="B515" s="185" t="s">
        <v>69</v>
      </c>
      <c r="C515" s="326" t="s">
        <v>77</v>
      </c>
      <c r="D515" s="326"/>
      <c r="E515" s="176"/>
      <c r="F515" s="144" t="s">
        <v>71</v>
      </c>
      <c r="G515" s="203" t="s">
        <v>156</v>
      </c>
      <c r="H515" s="202" t="s">
        <v>156</v>
      </c>
      <c r="I515" s="202" t="s">
        <v>156</v>
      </c>
      <c r="J515" s="202" t="s">
        <v>156</v>
      </c>
      <c r="K515" s="202" t="s">
        <v>156</v>
      </c>
      <c r="L515" s="202" t="s">
        <v>156</v>
      </c>
      <c r="M515" s="93"/>
      <c r="O515" s="195"/>
      <c r="P515" s="196"/>
      <c r="Q515" s="327"/>
      <c r="R515" s="327"/>
      <c r="S515" s="194"/>
      <c r="T515" s="194"/>
      <c r="U515" s="194"/>
      <c r="V515" s="194"/>
      <c r="W515" s="194"/>
      <c r="X515" s="194"/>
      <c r="Y515" s="194"/>
      <c r="Z515" s="194"/>
      <c r="AA515" s="194"/>
      <c r="AB515" s="194"/>
      <c r="AC515" s="194"/>
    </row>
    <row r="516" spans="1:29" ht="20.100000000000001" customHeight="1">
      <c r="A516" s="187">
        <v>10</v>
      </c>
      <c r="B516" s="185" t="s">
        <v>69</v>
      </c>
      <c r="C516" s="326" t="s">
        <v>78</v>
      </c>
      <c r="D516" s="326"/>
      <c r="E516" s="176"/>
      <c r="F516" s="144" t="s">
        <v>71</v>
      </c>
      <c r="G516" s="203" t="s">
        <v>156</v>
      </c>
      <c r="H516" s="202" t="s">
        <v>156</v>
      </c>
      <c r="I516" s="202" t="s">
        <v>156</v>
      </c>
      <c r="J516" s="202" t="s">
        <v>156</v>
      </c>
      <c r="K516" s="202" t="s">
        <v>156</v>
      </c>
      <c r="L516" s="202" t="s">
        <v>156</v>
      </c>
      <c r="M516" s="93"/>
      <c r="O516" s="195"/>
      <c r="P516" s="196"/>
      <c r="Q516" s="327"/>
      <c r="R516" s="327"/>
      <c r="S516" s="194"/>
      <c r="T516" s="194"/>
      <c r="U516" s="194"/>
      <c r="V516" s="194"/>
      <c r="W516" s="194"/>
      <c r="X516" s="194"/>
      <c r="Y516" s="194"/>
      <c r="Z516" s="194"/>
      <c r="AA516" s="194"/>
      <c r="AB516" s="194"/>
      <c r="AC516" s="194"/>
    </row>
    <row r="517" spans="1:29" ht="20.100000000000001" customHeight="1">
      <c r="A517" s="187">
        <v>11</v>
      </c>
      <c r="B517" s="185" t="s">
        <v>69</v>
      </c>
      <c r="C517" s="326" t="s">
        <v>79</v>
      </c>
      <c r="D517" s="326"/>
      <c r="E517" s="176"/>
      <c r="F517" s="144" t="s">
        <v>71</v>
      </c>
      <c r="G517" s="203" t="s">
        <v>156</v>
      </c>
      <c r="H517" s="202" t="s">
        <v>156</v>
      </c>
      <c r="I517" s="202" t="s">
        <v>156</v>
      </c>
      <c r="J517" s="202" t="s">
        <v>156</v>
      </c>
      <c r="K517" s="202" t="s">
        <v>156</v>
      </c>
      <c r="L517" s="202" t="s">
        <v>156</v>
      </c>
      <c r="M517" s="93"/>
      <c r="O517" s="195"/>
      <c r="P517" s="196"/>
      <c r="Q517" s="327"/>
      <c r="R517" s="327"/>
      <c r="S517" s="194"/>
      <c r="T517" s="194"/>
      <c r="U517" s="194"/>
      <c r="V517" s="194"/>
      <c r="W517" s="194"/>
      <c r="X517" s="194"/>
      <c r="Y517" s="194"/>
      <c r="Z517" s="194"/>
      <c r="AA517" s="194"/>
      <c r="AB517" s="194"/>
      <c r="AC517" s="194"/>
    </row>
    <row r="518" spans="1:29" ht="20.100000000000001" customHeight="1">
      <c r="A518" s="187">
        <v>12</v>
      </c>
      <c r="B518" s="185" t="s">
        <v>69</v>
      </c>
      <c r="C518" s="326" t="s">
        <v>100</v>
      </c>
      <c r="D518" s="326"/>
      <c r="E518" s="176"/>
      <c r="F518" s="144" t="s">
        <v>71</v>
      </c>
      <c r="G518" s="203" t="s">
        <v>156</v>
      </c>
      <c r="H518" s="202" t="s">
        <v>156</v>
      </c>
      <c r="I518" s="202" t="s">
        <v>156</v>
      </c>
      <c r="J518" s="202" t="s">
        <v>156</v>
      </c>
      <c r="K518" s="202" t="s">
        <v>156</v>
      </c>
      <c r="L518" s="202" t="s">
        <v>156</v>
      </c>
      <c r="M518" s="93"/>
      <c r="O518" s="195"/>
      <c r="P518" s="196"/>
      <c r="Q518" s="327"/>
      <c r="R518" s="327"/>
      <c r="S518" s="194"/>
      <c r="T518" s="194"/>
      <c r="U518" s="194"/>
      <c r="V518" s="194"/>
      <c r="W518" s="194"/>
      <c r="X518" s="194"/>
      <c r="Y518" s="194"/>
      <c r="Z518" s="194"/>
      <c r="AA518" s="194"/>
      <c r="AB518" s="194"/>
      <c r="AC518" s="194"/>
    </row>
    <row r="519" spans="1:29" ht="20.100000000000001" customHeight="1">
      <c r="A519" s="187">
        <v>13</v>
      </c>
      <c r="B519" s="185" t="s">
        <v>69</v>
      </c>
      <c r="C519" s="326" t="s">
        <v>80</v>
      </c>
      <c r="D519" s="326"/>
      <c r="E519" s="176"/>
      <c r="F519" s="144" t="s">
        <v>71</v>
      </c>
      <c r="G519" s="203" t="s">
        <v>156</v>
      </c>
      <c r="H519" s="202" t="s">
        <v>156</v>
      </c>
      <c r="I519" s="202" t="s">
        <v>156</v>
      </c>
      <c r="J519" s="202" t="s">
        <v>156</v>
      </c>
      <c r="K519" s="202" t="s">
        <v>156</v>
      </c>
      <c r="L519" s="202" t="s">
        <v>156</v>
      </c>
      <c r="M519" s="93"/>
      <c r="O519" s="195"/>
      <c r="P519" s="196"/>
      <c r="Q519" s="327"/>
      <c r="R519" s="327"/>
      <c r="S519" s="194"/>
      <c r="T519" s="194"/>
      <c r="U519" s="194"/>
      <c r="V519" s="194"/>
      <c r="W519" s="194"/>
      <c r="X519" s="194"/>
      <c r="Y519" s="194"/>
      <c r="Z519" s="194"/>
      <c r="AA519" s="194"/>
      <c r="AB519" s="194"/>
      <c r="AC519" s="194"/>
    </row>
    <row r="520" spans="1:29" ht="20.100000000000001" customHeight="1">
      <c r="A520" s="187">
        <v>14</v>
      </c>
      <c r="B520" s="185" t="s">
        <v>69</v>
      </c>
      <c r="C520" s="326" t="s">
        <v>91</v>
      </c>
      <c r="D520" s="326"/>
      <c r="E520" s="176"/>
      <c r="F520" s="144" t="s">
        <v>71</v>
      </c>
      <c r="G520" s="203" t="s">
        <v>156</v>
      </c>
      <c r="H520" s="202" t="s">
        <v>156</v>
      </c>
      <c r="I520" s="202" t="s">
        <v>156</v>
      </c>
      <c r="J520" s="202" t="s">
        <v>156</v>
      </c>
      <c r="K520" s="202" t="s">
        <v>156</v>
      </c>
      <c r="L520" s="202" t="s">
        <v>156</v>
      </c>
      <c r="M520" s="93"/>
      <c r="O520" s="195"/>
      <c r="P520" s="196"/>
      <c r="Q520" s="327"/>
      <c r="R520" s="327"/>
      <c r="S520" s="194"/>
      <c r="T520" s="194"/>
      <c r="U520" s="194"/>
      <c r="V520" s="194"/>
      <c r="W520" s="194"/>
      <c r="X520" s="194"/>
      <c r="Y520" s="194"/>
      <c r="Z520" s="194"/>
      <c r="AA520" s="194"/>
      <c r="AB520" s="194"/>
      <c r="AC520" s="194"/>
    </row>
    <row r="521" spans="1:29" ht="20.100000000000001" customHeight="1">
      <c r="A521" s="187">
        <v>15</v>
      </c>
      <c r="B521" s="185" t="s">
        <v>69</v>
      </c>
      <c r="C521" s="326" t="s">
        <v>81</v>
      </c>
      <c r="D521" s="326"/>
      <c r="E521" s="176"/>
      <c r="F521" s="144" t="s">
        <v>71</v>
      </c>
      <c r="G521" s="203" t="s">
        <v>156</v>
      </c>
      <c r="H521" s="202" t="s">
        <v>156</v>
      </c>
      <c r="I521" s="202" t="s">
        <v>156</v>
      </c>
      <c r="J521" s="202" t="s">
        <v>156</v>
      </c>
      <c r="K521" s="202" t="s">
        <v>156</v>
      </c>
      <c r="L521" s="202" t="s">
        <v>156</v>
      </c>
      <c r="M521" s="93"/>
      <c r="O521" s="195"/>
      <c r="P521" s="196"/>
      <c r="Q521" s="327"/>
      <c r="R521" s="327"/>
      <c r="S521" s="194"/>
      <c r="T521" s="194"/>
      <c r="U521" s="194"/>
      <c r="V521" s="194"/>
      <c r="W521" s="194"/>
      <c r="X521" s="194"/>
      <c r="Y521" s="194"/>
      <c r="Z521" s="194"/>
      <c r="AA521" s="194"/>
      <c r="AB521" s="194"/>
      <c r="AC521" s="194"/>
    </row>
    <row r="522" spans="1:29" ht="20.100000000000001" customHeight="1">
      <c r="A522" s="187">
        <v>16</v>
      </c>
      <c r="B522" s="185" t="s">
        <v>69</v>
      </c>
      <c r="C522" s="326" t="s">
        <v>101</v>
      </c>
      <c r="D522" s="326"/>
      <c r="E522" s="151"/>
      <c r="F522" s="144" t="s">
        <v>71</v>
      </c>
      <c r="G522" s="203" t="s">
        <v>156</v>
      </c>
      <c r="H522" s="202" t="s">
        <v>156</v>
      </c>
      <c r="I522" s="202" t="s">
        <v>156</v>
      </c>
      <c r="J522" s="202" t="s">
        <v>156</v>
      </c>
      <c r="K522" s="202" t="s">
        <v>156</v>
      </c>
      <c r="L522" s="202" t="s">
        <v>156</v>
      </c>
      <c r="M522" s="93"/>
      <c r="N522" s="219"/>
      <c r="O522" s="195"/>
      <c r="P522" s="196"/>
      <c r="Q522" s="327"/>
      <c r="R522" s="327"/>
      <c r="S522" s="197"/>
      <c r="T522" s="197"/>
      <c r="U522" s="197"/>
      <c r="V522" s="197"/>
      <c r="W522" s="197"/>
      <c r="X522" s="197"/>
      <c r="Y522" s="197"/>
      <c r="Z522" s="197"/>
      <c r="AA522" s="197"/>
      <c r="AB522" s="197"/>
      <c r="AC522" s="197"/>
    </row>
    <row r="523" spans="1:29" ht="20.100000000000001" customHeight="1">
      <c r="A523" s="187">
        <v>17</v>
      </c>
      <c r="B523" s="186" t="s">
        <v>69</v>
      </c>
      <c r="C523" s="326" t="s">
        <v>141</v>
      </c>
      <c r="D523" s="326"/>
      <c r="E523" s="151"/>
      <c r="F523" s="144" t="s">
        <v>71</v>
      </c>
      <c r="G523" s="203" t="s">
        <v>156</v>
      </c>
      <c r="H523" s="202" t="s">
        <v>156</v>
      </c>
      <c r="I523" s="202" t="s">
        <v>156</v>
      </c>
      <c r="J523" s="202" t="s">
        <v>156</v>
      </c>
      <c r="K523" s="202" t="s">
        <v>156</v>
      </c>
      <c r="L523" s="202" t="s">
        <v>156</v>
      </c>
      <c r="M523" s="93"/>
      <c r="N523" s="219"/>
      <c r="O523" s="195"/>
      <c r="P523" s="104"/>
      <c r="Q523" s="327"/>
      <c r="R523" s="327"/>
      <c r="S523" s="197"/>
      <c r="T523" s="197"/>
      <c r="U523" s="197"/>
      <c r="V523" s="197"/>
      <c r="W523" s="197"/>
      <c r="X523" s="197"/>
      <c r="Y523" s="197"/>
      <c r="Z523" s="197"/>
      <c r="AA523" s="197"/>
      <c r="AB523" s="197"/>
      <c r="AC523" s="197"/>
    </row>
    <row r="524" spans="1:29" ht="20.100000000000001" customHeight="1">
      <c r="A524" s="187">
        <v>18</v>
      </c>
      <c r="B524" s="186" t="s">
        <v>69</v>
      </c>
      <c r="C524" s="326" t="s">
        <v>142</v>
      </c>
      <c r="D524" s="326"/>
      <c r="E524" s="151"/>
      <c r="F524" s="144" t="s">
        <v>71</v>
      </c>
      <c r="G524" s="203" t="s">
        <v>156</v>
      </c>
      <c r="H524" s="202" t="s">
        <v>156</v>
      </c>
      <c r="I524" s="202" t="s">
        <v>156</v>
      </c>
      <c r="J524" s="202" t="s">
        <v>156</v>
      </c>
      <c r="K524" s="202" t="s">
        <v>156</v>
      </c>
      <c r="L524" s="202" t="s">
        <v>156</v>
      </c>
      <c r="M524" s="93"/>
      <c r="N524" s="219"/>
      <c r="O524" s="195"/>
      <c r="P524" s="104"/>
      <c r="Q524" s="327"/>
      <c r="R524" s="327"/>
      <c r="S524" s="197"/>
      <c r="T524" s="197"/>
      <c r="U524" s="197"/>
      <c r="V524" s="197"/>
      <c r="W524" s="197"/>
      <c r="X524" s="197"/>
      <c r="Y524" s="197"/>
      <c r="Z524" s="197"/>
      <c r="AA524" s="197"/>
      <c r="AB524" s="197"/>
      <c r="AC524" s="197"/>
    </row>
    <row r="525" spans="1:29" ht="20.100000000000001" customHeight="1">
      <c r="A525" s="187">
        <v>19</v>
      </c>
      <c r="B525" s="186" t="s">
        <v>69</v>
      </c>
      <c r="C525" s="326" t="s">
        <v>143</v>
      </c>
      <c r="D525" s="326"/>
      <c r="E525" s="151"/>
      <c r="F525" s="144" t="s">
        <v>71</v>
      </c>
      <c r="G525" s="203" t="s">
        <v>156</v>
      </c>
      <c r="H525" s="202" t="s">
        <v>156</v>
      </c>
      <c r="I525" s="202" t="s">
        <v>156</v>
      </c>
      <c r="J525" s="202" t="s">
        <v>156</v>
      </c>
      <c r="K525" s="202" t="s">
        <v>156</v>
      </c>
      <c r="L525" s="202" t="s">
        <v>156</v>
      </c>
      <c r="M525" s="93"/>
      <c r="N525" s="219"/>
      <c r="O525" s="195"/>
      <c r="P525" s="104"/>
      <c r="Q525" s="327"/>
      <c r="R525" s="327"/>
      <c r="S525" s="197"/>
      <c r="T525" s="197"/>
      <c r="U525" s="197"/>
      <c r="V525" s="197"/>
      <c r="W525" s="197"/>
      <c r="X525" s="197"/>
      <c r="Y525" s="197"/>
      <c r="Z525" s="197"/>
      <c r="AA525" s="197"/>
      <c r="AB525" s="197"/>
      <c r="AC525" s="197"/>
    </row>
    <row r="526" spans="1:29" ht="20.100000000000001" customHeight="1">
      <c r="A526" s="187">
        <v>20</v>
      </c>
      <c r="B526" s="186" t="s">
        <v>69</v>
      </c>
      <c r="C526" s="326" t="s">
        <v>102</v>
      </c>
      <c r="D526" s="326"/>
      <c r="E526" s="150"/>
      <c r="F526" s="154" t="s">
        <v>71</v>
      </c>
      <c r="G526" s="203" t="s">
        <v>156</v>
      </c>
      <c r="H526" s="202" t="s">
        <v>156</v>
      </c>
      <c r="I526" s="202" t="s">
        <v>156</v>
      </c>
      <c r="J526" s="202" t="s">
        <v>156</v>
      </c>
      <c r="K526" s="202" t="s">
        <v>156</v>
      </c>
      <c r="L526" s="202" t="s">
        <v>156</v>
      </c>
      <c r="M526" s="93"/>
      <c r="N526" s="219"/>
      <c r="O526" s="195"/>
      <c r="P526" s="104"/>
      <c r="Q526" s="327"/>
      <c r="R526" s="327"/>
      <c r="S526" s="197"/>
      <c r="T526" s="197"/>
      <c r="U526" s="197"/>
      <c r="V526" s="197"/>
      <c r="W526" s="197"/>
      <c r="X526" s="197"/>
      <c r="Y526" s="197"/>
      <c r="Z526" s="197"/>
      <c r="AA526" s="197"/>
      <c r="AB526" s="197"/>
      <c r="AC526" s="197"/>
    </row>
    <row r="527" spans="1:29" ht="24.75" customHeight="1">
      <c r="A527" s="190" t="s">
        <v>128</v>
      </c>
      <c r="B527" s="142"/>
      <c r="C527" s="330" t="s">
        <v>130</v>
      </c>
      <c r="D527" s="330"/>
      <c r="E527" s="330"/>
      <c r="F527" s="330"/>
      <c r="G527" s="330"/>
      <c r="H527" s="330"/>
      <c r="I527" s="330"/>
      <c r="J527" s="330"/>
      <c r="K527" s="330"/>
      <c r="L527" s="330"/>
      <c r="M527" s="93"/>
      <c r="O527" s="156"/>
      <c r="P527" s="142"/>
      <c r="Q527" s="331"/>
      <c r="R527" s="331"/>
      <c r="S527" s="331"/>
      <c r="T527" s="331"/>
      <c r="U527" s="331"/>
      <c r="V527" s="331"/>
      <c r="W527" s="331"/>
      <c r="X527" s="331"/>
      <c r="Y527" s="331"/>
      <c r="Z527" s="331"/>
      <c r="AA527" s="331"/>
      <c r="AB527" s="331"/>
      <c r="AC527" s="331"/>
    </row>
    <row r="528" spans="1:29" ht="33" customHeight="1">
      <c r="A528" s="189">
        <v>21</v>
      </c>
      <c r="B528" s="188" t="s">
        <v>69</v>
      </c>
      <c r="C528" s="307" t="s">
        <v>82</v>
      </c>
      <c r="D528" s="308"/>
      <c r="E528" s="182"/>
      <c r="F528" s="191" t="s">
        <v>71</v>
      </c>
      <c r="G528" s="201">
        <v>58</v>
      </c>
      <c r="H528" s="201">
        <v>40</v>
      </c>
      <c r="I528" s="201">
        <v>21</v>
      </c>
      <c r="J528" s="201">
        <v>58</v>
      </c>
      <c r="K528" s="201">
        <v>40</v>
      </c>
      <c r="L528" s="201">
        <v>21</v>
      </c>
      <c r="M528" s="89"/>
      <c r="N528" s="219"/>
      <c r="O528" s="199"/>
      <c r="P528" s="200"/>
      <c r="Q528" s="309"/>
      <c r="R528" s="309"/>
      <c r="S528" s="86"/>
      <c r="T528" s="86"/>
      <c r="U528" s="86"/>
      <c r="V528" s="86"/>
      <c r="W528" s="86"/>
      <c r="X528" s="86"/>
      <c r="Y528" s="86"/>
      <c r="Z528" s="86"/>
      <c r="AA528" s="86"/>
      <c r="AB528" s="86"/>
      <c r="AC528" s="86"/>
    </row>
    <row r="529" spans="1:29" ht="33" customHeight="1">
      <c r="A529" s="189">
        <v>22</v>
      </c>
      <c r="B529" s="188" t="s">
        <v>69</v>
      </c>
      <c r="C529" s="307" t="s">
        <v>103</v>
      </c>
      <c r="D529" s="308"/>
      <c r="E529" s="179"/>
      <c r="F529" s="191" t="s">
        <v>71</v>
      </c>
      <c r="G529" s="201">
        <v>9</v>
      </c>
      <c r="H529" s="201">
        <v>9</v>
      </c>
      <c r="I529" s="201">
        <v>7</v>
      </c>
      <c r="J529" s="201">
        <v>9</v>
      </c>
      <c r="K529" s="201">
        <v>9</v>
      </c>
      <c r="L529" s="201">
        <v>7</v>
      </c>
      <c r="M529" s="89"/>
      <c r="N529" s="219"/>
      <c r="O529" s="199"/>
      <c r="P529" s="200"/>
      <c r="Q529" s="309"/>
      <c r="R529" s="309"/>
      <c r="S529" s="86"/>
      <c r="T529" s="86"/>
      <c r="U529" s="86"/>
      <c r="V529" s="86"/>
      <c r="W529" s="86"/>
      <c r="X529" s="86"/>
      <c r="Y529" s="86"/>
      <c r="Z529" s="86"/>
      <c r="AA529" s="86"/>
      <c r="AB529" s="86"/>
      <c r="AC529" s="86"/>
    </row>
    <row r="530" spans="1:29" ht="33" customHeight="1">
      <c r="A530" s="189">
        <v>23</v>
      </c>
      <c r="B530" s="188" t="s">
        <v>69</v>
      </c>
      <c r="C530" s="307" t="s">
        <v>104</v>
      </c>
      <c r="D530" s="308"/>
      <c r="E530" s="179"/>
      <c r="F530" s="191" t="s">
        <v>71</v>
      </c>
      <c r="G530" s="201">
        <v>5</v>
      </c>
      <c r="H530" s="201">
        <v>1</v>
      </c>
      <c r="I530" s="201">
        <v>1</v>
      </c>
      <c r="J530" s="201">
        <v>5</v>
      </c>
      <c r="K530" s="201">
        <v>1</v>
      </c>
      <c r="L530" s="201">
        <v>1</v>
      </c>
      <c r="M530" s="89"/>
      <c r="N530" s="219"/>
      <c r="O530" s="199"/>
      <c r="P530" s="200"/>
      <c r="Q530" s="309"/>
      <c r="R530" s="309"/>
      <c r="S530" s="86"/>
      <c r="T530" s="86"/>
      <c r="U530" s="86"/>
      <c r="V530" s="86"/>
      <c r="W530" s="86"/>
      <c r="X530" s="86"/>
      <c r="Y530" s="86"/>
      <c r="Z530" s="86"/>
      <c r="AA530" s="86"/>
      <c r="AB530" s="86"/>
      <c r="AC530" s="86"/>
    </row>
    <row r="531" spans="1:29" ht="27.75" customHeight="1">
      <c r="A531" s="317" t="s">
        <v>135</v>
      </c>
      <c r="B531" s="318"/>
      <c r="C531" s="317" t="s">
        <v>68</v>
      </c>
      <c r="D531" s="318"/>
      <c r="E531" s="183"/>
      <c r="F531" s="321" t="s">
        <v>136</v>
      </c>
      <c r="G531" s="322" t="s">
        <v>155</v>
      </c>
      <c r="H531" s="323"/>
      <c r="I531" s="323"/>
      <c r="J531" s="322" t="s">
        <v>154</v>
      </c>
      <c r="K531" s="323"/>
      <c r="L531" s="324"/>
      <c r="M531" s="92"/>
      <c r="O531" s="325"/>
      <c r="P531" s="325"/>
      <c r="Q531" s="325"/>
      <c r="R531" s="325"/>
      <c r="S531" s="316"/>
      <c r="T531" s="316"/>
      <c r="U531" s="316"/>
      <c r="V531" s="316"/>
      <c r="W531" s="316"/>
      <c r="X531" s="316"/>
      <c r="Y531" s="316"/>
      <c r="Z531" s="316"/>
      <c r="AA531" s="316"/>
      <c r="AB531" s="316"/>
      <c r="AC531" s="316"/>
    </row>
    <row r="532" spans="1:29" ht="125.25" customHeight="1">
      <c r="A532" s="319"/>
      <c r="B532" s="320"/>
      <c r="C532" s="319"/>
      <c r="D532" s="320"/>
      <c r="E532" s="184"/>
      <c r="F532" s="321"/>
      <c r="G532" s="153" t="s">
        <v>151</v>
      </c>
      <c r="H532" s="153" t="s">
        <v>152</v>
      </c>
      <c r="I532" s="153" t="s">
        <v>153</v>
      </c>
      <c r="J532" s="153" t="s">
        <v>151</v>
      </c>
      <c r="K532" s="153" t="s">
        <v>152</v>
      </c>
      <c r="L532" s="153" t="s">
        <v>153</v>
      </c>
      <c r="O532" s="325"/>
      <c r="P532" s="325"/>
      <c r="Q532" s="325"/>
      <c r="R532" s="325"/>
      <c r="S532" s="193"/>
      <c r="T532" s="193"/>
      <c r="U532" s="193"/>
      <c r="V532" s="193"/>
      <c r="W532" s="193"/>
      <c r="X532" s="193"/>
      <c r="Y532" s="193"/>
      <c r="Z532" s="193"/>
      <c r="AA532" s="193"/>
      <c r="AB532" s="193"/>
      <c r="AC532" s="193"/>
    </row>
    <row r="533" spans="1:29" ht="30" customHeight="1">
      <c r="A533" s="189">
        <v>24</v>
      </c>
      <c r="B533" s="188" t="s">
        <v>69</v>
      </c>
      <c r="C533" s="307" t="s">
        <v>131</v>
      </c>
      <c r="D533" s="308"/>
      <c r="E533" s="179"/>
      <c r="F533" s="191" t="s">
        <v>71</v>
      </c>
      <c r="G533" s="202" t="s">
        <v>156</v>
      </c>
      <c r="H533" s="202" t="s">
        <v>156</v>
      </c>
      <c r="I533" s="202" t="s">
        <v>156</v>
      </c>
      <c r="J533" s="202" t="s">
        <v>156</v>
      </c>
      <c r="K533" s="202" t="s">
        <v>156</v>
      </c>
      <c r="L533" s="202" t="s">
        <v>156</v>
      </c>
      <c r="M533" s="89"/>
      <c r="N533" s="219"/>
      <c r="O533" s="199"/>
      <c r="P533" s="200"/>
      <c r="Q533" s="309"/>
      <c r="R533" s="309"/>
      <c r="S533" s="86"/>
      <c r="T533" s="86"/>
      <c r="U533" s="86"/>
      <c r="V533" s="86"/>
      <c r="W533" s="86"/>
      <c r="X533" s="86"/>
      <c r="Y533" s="86"/>
      <c r="Z533" s="86"/>
      <c r="AA533" s="86"/>
      <c r="AB533" s="86"/>
      <c r="AC533" s="86"/>
    </row>
    <row r="534" spans="1:29" ht="30" customHeight="1">
      <c r="A534" s="189">
        <v>25</v>
      </c>
      <c r="B534" s="188" t="s">
        <v>69</v>
      </c>
      <c r="C534" s="307" t="s">
        <v>83</v>
      </c>
      <c r="D534" s="308"/>
      <c r="E534" s="179"/>
      <c r="F534" s="191" t="s">
        <v>71</v>
      </c>
      <c r="G534" s="201">
        <v>25</v>
      </c>
      <c r="H534" s="201">
        <v>40</v>
      </c>
      <c r="I534" s="201">
        <v>22</v>
      </c>
      <c r="J534" s="201">
        <v>25</v>
      </c>
      <c r="K534" s="201">
        <v>40</v>
      </c>
      <c r="L534" s="201">
        <v>22</v>
      </c>
      <c r="M534" s="89"/>
      <c r="N534" s="219"/>
      <c r="O534" s="199"/>
      <c r="P534" s="200"/>
      <c r="Q534" s="309"/>
      <c r="R534" s="309"/>
      <c r="S534" s="86"/>
      <c r="T534" s="86"/>
      <c r="U534" s="86"/>
      <c r="V534" s="86"/>
      <c r="W534" s="86"/>
      <c r="X534" s="86"/>
      <c r="Y534" s="86"/>
      <c r="Z534" s="86"/>
      <c r="AA534" s="86"/>
      <c r="AB534" s="86"/>
      <c r="AC534" s="86"/>
    </row>
    <row r="535" spans="1:29" ht="30" customHeight="1">
      <c r="A535" s="189">
        <v>26</v>
      </c>
      <c r="B535" s="188" t="s">
        <v>69</v>
      </c>
      <c r="C535" s="307" t="s">
        <v>84</v>
      </c>
      <c r="D535" s="308"/>
      <c r="E535" s="179"/>
      <c r="F535" s="191" t="s">
        <v>71</v>
      </c>
      <c r="G535" s="201">
        <v>5</v>
      </c>
      <c r="H535" s="202" t="s">
        <v>156</v>
      </c>
      <c r="I535" s="202" t="s">
        <v>156</v>
      </c>
      <c r="J535" s="201">
        <v>5</v>
      </c>
      <c r="K535" s="202" t="s">
        <v>156</v>
      </c>
      <c r="L535" s="202" t="s">
        <v>156</v>
      </c>
      <c r="M535" s="89"/>
      <c r="N535" s="219"/>
      <c r="O535" s="199"/>
      <c r="P535" s="200"/>
      <c r="Q535" s="309"/>
      <c r="R535" s="309"/>
      <c r="S535" s="86"/>
      <c r="T535" s="86"/>
      <c r="U535" s="86"/>
      <c r="V535" s="86"/>
      <c r="W535" s="86"/>
      <c r="X535" s="86"/>
      <c r="Y535" s="86"/>
      <c r="Z535" s="86"/>
      <c r="AA535" s="86"/>
      <c r="AB535" s="86"/>
      <c r="AC535" s="86"/>
    </row>
    <row r="536" spans="1:29" ht="30" customHeight="1">
      <c r="A536" s="189">
        <v>27</v>
      </c>
      <c r="B536" s="188" t="s">
        <v>69</v>
      </c>
      <c r="C536" s="307" t="s">
        <v>85</v>
      </c>
      <c r="D536" s="308"/>
      <c r="E536" s="179"/>
      <c r="F536" s="191" t="s">
        <v>71</v>
      </c>
      <c r="G536" s="201">
        <v>3</v>
      </c>
      <c r="H536" s="201">
        <v>1</v>
      </c>
      <c r="I536" s="201">
        <v>8</v>
      </c>
      <c r="J536" s="201">
        <v>3</v>
      </c>
      <c r="K536" s="201">
        <v>1</v>
      </c>
      <c r="L536" s="201">
        <v>8</v>
      </c>
      <c r="M536" s="89"/>
      <c r="N536" s="219"/>
      <c r="O536" s="199"/>
      <c r="P536" s="200"/>
      <c r="Q536" s="309"/>
      <c r="R536" s="309"/>
      <c r="S536" s="86"/>
      <c r="T536" s="86"/>
      <c r="U536" s="86"/>
      <c r="V536" s="86"/>
      <c r="W536" s="86"/>
      <c r="X536" s="86"/>
      <c r="Y536" s="86"/>
      <c r="Z536" s="86"/>
      <c r="AA536" s="86"/>
      <c r="AB536" s="86"/>
      <c r="AC536" s="86"/>
    </row>
    <row r="537" spans="1:29" ht="30" customHeight="1">
      <c r="A537" s="189">
        <v>28</v>
      </c>
      <c r="B537" s="188" t="s">
        <v>69</v>
      </c>
      <c r="C537" s="307" t="s">
        <v>132</v>
      </c>
      <c r="D537" s="308"/>
      <c r="E537" s="179"/>
      <c r="F537" s="191" t="s">
        <v>71</v>
      </c>
      <c r="G537" s="202" t="s">
        <v>156</v>
      </c>
      <c r="H537" s="202" t="s">
        <v>156</v>
      </c>
      <c r="I537" s="202" t="s">
        <v>156</v>
      </c>
      <c r="J537" s="202" t="s">
        <v>156</v>
      </c>
      <c r="K537" s="202" t="s">
        <v>156</v>
      </c>
      <c r="L537" s="202" t="s">
        <v>156</v>
      </c>
      <c r="M537" s="89"/>
      <c r="N537" s="219"/>
      <c r="O537" s="199"/>
      <c r="P537" s="200"/>
      <c r="Q537" s="309"/>
      <c r="R537" s="309"/>
      <c r="S537" s="86"/>
      <c r="T537" s="86"/>
      <c r="U537" s="86"/>
      <c r="V537" s="86"/>
      <c r="W537" s="86"/>
      <c r="X537" s="86"/>
      <c r="Y537" s="86"/>
      <c r="Z537" s="86"/>
      <c r="AA537" s="86"/>
      <c r="AB537" s="86"/>
      <c r="AC537" s="86"/>
    </row>
    <row r="538" spans="1:29" ht="30" customHeight="1">
      <c r="A538" s="189">
        <v>29</v>
      </c>
      <c r="B538" s="188" t="s">
        <v>69</v>
      </c>
      <c r="C538" s="307" t="s">
        <v>86</v>
      </c>
      <c r="D538" s="308"/>
      <c r="E538" s="179"/>
      <c r="F538" s="191" t="s">
        <v>71</v>
      </c>
      <c r="G538" s="201">
        <v>10</v>
      </c>
      <c r="H538" s="201">
        <v>12</v>
      </c>
      <c r="I538" s="201">
        <v>9</v>
      </c>
      <c r="J538" s="201">
        <v>10</v>
      </c>
      <c r="K538" s="201">
        <v>12</v>
      </c>
      <c r="L538" s="201">
        <v>9</v>
      </c>
      <c r="M538" s="89"/>
      <c r="N538" s="219"/>
      <c r="O538" s="199"/>
      <c r="P538" s="200"/>
      <c r="Q538" s="309"/>
      <c r="R538" s="309"/>
      <c r="S538" s="86"/>
      <c r="T538" s="86"/>
      <c r="U538" s="86"/>
      <c r="V538" s="86"/>
      <c r="W538" s="86"/>
      <c r="X538" s="86"/>
      <c r="Y538" s="86"/>
      <c r="Z538" s="86"/>
      <c r="AA538" s="86"/>
      <c r="AB538" s="86"/>
      <c r="AC538" s="86"/>
    </row>
    <row r="539" spans="1:29" ht="30" customHeight="1">
      <c r="A539" s="189">
        <v>30</v>
      </c>
      <c r="B539" s="188" t="s">
        <v>69</v>
      </c>
      <c r="C539" s="307" t="s">
        <v>87</v>
      </c>
      <c r="D539" s="308"/>
      <c r="E539" s="179"/>
      <c r="F539" s="191" t="s">
        <v>71</v>
      </c>
      <c r="G539" s="202" t="s">
        <v>156</v>
      </c>
      <c r="H539" s="202" t="s">
        <v>156</v>
      </c>
      <c r="I539" s="202" t="s">
        <v>156</v>
      </c>
      <c r="J539" s="202" t="s">
        <v>156</v>
      </c>
      <c r="K539" s="202" t="s">
        <v>156</v>
      </c>
      <c r="L539" s="202" t="s">
        <v>156</v>
      </c>
      <c r="M539" s="89"/>
      <c r="N539" s="219"/>
      <c r="O539" s="199"/>
      <c r="P539" s="200"/>
      <c r="Q539" s="309"/>
      <c r="R539" s="309"/>
      <c r="S539" s="86"/>
      <c r="T539" s="86"/>
      <c r="U539" s="86"/>
      <c r="V539" s="86"/>
      <c r="W539" s="86"/>
      <c r="X539" s="86"/>
      <c r="Y539" s="86"/>
      <c r="Z539" s="86"/>
      <c r="AA539" s="86"/>
      <c r="AB539" s="86"/>
      <c r="AC539" s="86"/>
    </row>
    <row r="540" spans="1:29" ht="30" customHeight="1">
      <c r="A540" s="189">
        <v>31</v>
      </c>
      <c r="B540" s="188" t="s">
        <v>69</v>
      </c>
      <c r="C540" s="307" t="s">
        <v>105</v>
      </c>
      <c r="D540" s="308"/>
      <c r="E540" s="179"/>
      <c r="F540" s="191" t="s">
        <v>71</v>
      </c>
      <c r="G540" s="201">
        <v>2</v>
      </c>
      <c r="H540" s="203" t="s">
        <v>156</v>
      </c>
      <c r="I540" s="201">
        <v>8</v>
      </c>
      <c r="J540" s="201">
        <v>2</v>
      </c>
      <c r="K540" s="203" t="s">
        <v>156</v>
      </c>
      <c r="L540" s="201">
        <v>8</v>
      </c>
      <c r="M540" s="89"/>
      <c r="N540" s="219"/>
      <c r="O540" s="199"/>
      <c r="P540" s="200"/>
      <c r="Q540" s="309"/>
      <c r="R540" s="309"/>
      <c r="S540" s="86"/>
      <c r="T540" s="86"/>
      <c r="U540" s="86"/>
      <c r="V540" s="86"/>
      <c r="W540" s="86"/>
      <c r="X540" s="86"/>
      <c r="Y540" s="86"/>
      <c r="Z540" s="86"/>
      <c r="AA540" s="86"/>
      <c r="AB540" s="86"/>
      <c r="AC540" s="86"/>
    </row>
    <row r="541" spans="1:29" ht="30" customHeight="1">
      <c r="A541" s="189">
        <v>32</v>
      </c>
      <c r="B541" s="188" t="s">
        <v>69</v>
      </c>
      <c r="C541" s="307" t="s">
        <v>133</v>
      </c>
      <c r="D541" s="308"/>
      <c r="E541" s="179"/>
      <c r="F541" s="191" t="s">
        <v>71</v>
      </c>
      <c r="G541" s="202" t="s">
        <v>156</v>
      </c>
      <c r="H541" s="202" t="s">
        <v>156</v>
      </c>
      <c r="I541" s="202" t="s">
        <v>156</v>
      </c>
      <c r="J541" s="202" t="s">
        <v>156</v>
      </c>
      <c r="K541" s="202" t="s">
        <v>156</v>
      </c>
      <c r="L541" s="202" t="s">
        <v>156</v>
      </c>
      <c r="M541" s="89"/>
      <c r="N541" s="219"/>
      <c r="O541" s="199"/>
      <c r="P541" s="200"/>
      <c r="Q541" s="309"/>
      <c r="R541" s="309"/>
      <c r="S541" s="86"/>
      <c r="T541" s="86"/>
      <c r="U541" s="86"/>
      <c r="V541" s="86"/>
      <c r="W541" s="86"/>
      <c r="X541" s="86"/>
      <c r="Y541" s="86"/>
      <c r="Z541" s="86"/>
      <c r="AA541" s="86"/>
      <c r="AB541" s="86"/>
      <c r="AC541" s="86"/>
    </row>
    <row r="542" spans="1:29" ht="30" customHeight="1">
      <c r="A542" s="189">
        <v>33</v>
      </c>
      <c r="B542" s="188" t="s">
        <v>69</v>
      </c>
      <c r="C542" s="307" t="s">
        <v>88</v>
      </c>
      <c r="D542" s="308"/>
      <c r="E542" s="179"/>
      <c r="F542" s="191" t="s">
        <v>71</v>
      </c>
      <c r="G542" s="201">
        <v>3</v>
      </c>
      <c r="H542" s="201">
        <v>7</v>
      </c>
      <c r="I542" s="201">
        <v>7</v>
      </c>
      <c r="J542" s="201">
        <v>3</v>
      </c>
      <c r="K542" s="201">
        <v>7</v>
      </c>
      <c r="L542" s="201">
        <v>7</v>
      </c>
      <c r="M542" s="89"/>
      <c r="N542" s="219"/>
      <c r="O542" s="199"/>
      <c r="P542" s="200"/>
      <c r="Q542" s="309"/>
      <c r="R542" s="309"/>
      <c r="S542" s="86"/>
      <c r="T542" s="86"/>
      <c r="U542" s="86"/>
      <c r="V542" s="86"/>
      <c r="W542" s="86"/>
      <c r="X542" s="86"/>
      <c r="Y542" s="86"/>
      <c r="Z542" s="86"/>
      <c r="AA542" s="86"/>
      <c r="AB542" s="86"/>
      <c r="AC542" s="86"/>
    </row>
    <row r="543" spans="1:29" ht="30" customHeight="1">
      <c r="A543" s="189">
        <v>34</v>
      </c>
      <c r="B543" s="188" t="s">
        <v>69</v>
      </c>
      <c r="C543" s="307" t="s">
        <v>89</v>
      </c>
      <c r="D543" s="308"/>
      <c r="E543" s="179"/>
      <c r="F543" s="191" t="s">
        <v>71</v>
      </c>
      <c r="G543" s="202" t="s">
        <v>156</v>
      </c>
      <c r="H543" s="202" t="s">
        <v>156</v>
      </c>
      <c r="I543" s="202" t="s">
        <v>156</v>
      </c>
      <c r="J543" s="202" t="s">
        <v>156</v>
      </c>
      <c r="K543" s="202" t="s">
        <v>156</v>
      </c>
      <c r="L543" s="202" t="s">
        <v>156</v>
      </c>
      <c r="M543" s="89"/>
      <c r="N543" s="219"/>
      <c r="O543" s="199"/>
      <c r="P543" s="200"/>
      <c r="Q543" s="309"/>
      <c r="R543" s="309"/>
      <c r="S543" s="86"/>
      <c r="T543" s="86"/>
      <c r="U543" s="86"/>
      <c r="V543" s="86"/>
      <c r="W543" s="86"/>
      <c r="X543" s="86"/>
      <c r="Y543" s="86"/>
      <c r="Z543" s="86"/>
      <c r="AA543" s="86"/>
      <c r="AB543" s="86"/>
      <c r="AC543" s="86"/>
    </row>
    <row r="544" spans="1:29" ht="30" customHeight="1">
      <c r="A544" s="189">
        <v>35</v>
      </c>
      <c r="B544" s="188" t="s">
        <v>69</v>
      </c>
      <c r="C544" s="307" t="s">
        <v>140</v>
      </c>
      <c r="D544" s="308"/>
      <c r="E544" s="179"/>
      <c r="F544" s="191" t="s">
        <v>71</v>
      </c>
      <c r="G544" s="202" t="s">
        <v>156</v>
      </c>
      <c r="H544" s="202" t="s">
        <v>156</v>
      </c>
      <c r="I544" s="201">
        <v>3</v>
      </c>
      <c r="J544" s="202" t="s">
        <v>156</v>
      </c>
      <c r="K544" s="202" t="s">
        <v>156</v>
      </c>
      <c r="L544" s="201">
        <v>3</v>
      </c>
      <c r="M544" s="89"/>
      <c r="N544" s="220"/>
      <c r="O544" s="199"/>
      <c r="P544" s="200"/>
      <c r="Q544" s="309"/>
      <c r="R544" s="309"/>
      <c r="S544" s="86"/>
      <c r="T544" s="86"/>
      <c r="U544" s="86"/>
      <c r="V544" s="86"/>
      <c r="W544" s="86"/>
      <c r="X544" s="86"/>
      <c r="Y544" s="86"/>
      <c r="Z544" s="86"/>
      <c r="AA544" s="86"/>
      <c r="AB544" s="86"/>
      <c r="AC544" s="86"/>
    </row>
    <row r="545" spans="1:29" ht="30" customHeight="1">
      <c r="A545" s="189">
        <v>36</v>
      </c>
      <c r="B545" s="188" t="s">
        <v>69</v>
      </c>
      <c r="C545" s="307" t="s">
        <v>134</v>
      </c>
      <c r="D545" s="308"/>
      <c r="E545" s="179"/>
      <c r="F545" s="191" t="s">
        <v>71</v>
      </c>
      <c r="G545" s="202" t="s">
        <v>156</v>
      </c>
      <c r="H545" s="202" t="s">
        <v>156</v>
      </c>
      <c r="I545" s="202" t="s">
        <v>156</v>
      </c>
      <c r="J545" s="202" t="s">
        <v>156</v>
      </c>
      <c r="K545" s="202" t="s">
        <v>156</v>
      </c>
      <c r="L545" s="202" t="s">
        <v>156</v>
      </c>
      <c r="M545" s="89"/>
      <c r="N545" s="220"/>
      <c r="O545" s="199"/>
      <c r="P545" s="200"/>
      <c r="Q545" s="309"/>
      <c r="R545" s="309"/>
      <c r="S545" s="86"/>
      <c r="T545" s="86"/>
      <c r="U545" s="86"/>
      <c r="V545" s="86"/>
      <c r="W545" s="86"/>
      <c r="X545" s="86"/>
      <c r="Y545" s="86"/>
      <c r="Z545" s="86"/>
      <c r="AA545" s="86"/>
      <c r="AB545" s="86"/>
      <c r="AC545" s="86"/>
    </row>
    <row r="546" spans="1:29" ht="30" customHeight="1">
      <c r="A546" s="189">
        <v>37</v>
      </c>
      <c r="B546" s="188" t="s">
        <v>69</v>
      </c>
      <c r="C546" s="307" t="s">
        <v>90</v>
      </c>
      <c r="D546" s="308"/>
      <c r="E546" s="179"/>
      <c r="F546" s="191" t="s">
        <v>71</v>
      </c>
      <c r="G546" s="202" t="s">
        <v>156</v>
      </c>
      <c r="H546" s="202" t="s">
        <v>156</v>
      </c>
      <c r="I546" s="202" t="s">
        <v>156</v>
      </c>
      <c r="J546" s="202" t="s">
        <v>156</v>
      </c>
      <c r="K546" s="202" t="s">
        <v>156</v>
      </c>
      <c r="L546" s="202" t="s">
        <v>156</v>
      </c>
      <c r="M546" s="89"/>
      <c r="N546" s="220"/>
      <c r="O546" s="199"/>
      <c r="P546" s="200"/>
      <c r="Q546" s="309"/>
      <c r="R546" s="309"/>
      <c r="S546" s="86"/>
      <c r="T546" s="86"/>
      <c r="U546" s="86"/>
      <c r="V546" s="86"/>
      <c r="W546" s="86"/>
      <c r="X546" s="86"/>
      <c r="Y546" s="86"/>
      <c r="Z546" s="86"/>
      <c r="AA546" s="86"/>
      <c r="AB546" s="86"/>
      <c r="AC546" s="86"/>
    </row>
    <row r="547" spans="1:29" ht="30" customHeight="1">
      <c r="A547" s="189">
        <v>38</v>
      </c>
      <c r="B547" s="188" t="s">
        <v>69</v>
      </c>
      <c r="C547" s="307" t="s">
        <v>106</v>
      </c>
      <c r="D547" s="308"/>
      <c r="E547" s="150"/>
      <c r="F547" s="191" t="s">
        <v>71</v>
      </c>
      <c r="G547" s="202" t="s">
        <v>156</v>
      </c>
      <c r="H547" s="202" t="s">
        <v>156</v>
      </c>
      <c r="I547" s="202" t="s">
        <v>156</v>
      </c>
      <c r="J547" s="202" t="s">
        <v>156</v>
      </c>
      <c r="K547" s="202" t="s">
        <v>156</v>
      </c>
      <c r="L547" s="202" t="s">
        <v>156</v>
      </c>
      <c r="M547" s="89"/>
      <c r="N547" s="220"/>
      <c r="O547" s="199"/>
      <c r="P547" s="200"/>
      <c r="Q547" s="309"/>
      <c r="R547" s="309"/>
      <c r="S547" s="86"/>
      <c r="T547" s="86"/>
      <c r="U547" s="86"/>
      <c r="V547" s="86"/>
      <c r="W547" s="86"/>
      <c r="X547" s="86"/>
      <c r="Y547" s="86"/>
      <c r="Z547" s="86"/>
      <c r="AA547" s="86"/>
      <c r="AB547" s="86"/>
      <c r="AC547" s="86"/>
    </row>
    <row r="548" spans="1:29" ht="25.5" customHeight="1">
      <c r="A548" s="310" t="s">
        <v>92</v>
      </c>
      <c r="B548" s="310"/>
      <c r="C548" s="310"/>
      <c r="D548" s="310"/>
      <c r="E548" s="310"/>
      <c r="F548" s="310"/>
      <c r="G548" s="310"/>
      <c r="H548" s="310"/>
      <c r="I548" s="310"/>
      <c r="J548" s="310"/>
      <c r="K548" s="310"/>
      <c r="L548" s="310"/>
      <c r="M548" s="92"/>
    </row>
    <row r="549" spans="1:29" ht="19.5" customHeight="1">
      <c r="A549" s="139"/>
      <c r="B549" s="139"/>
      <c r="C549" s="140"/>
      <c r="D549" s="140" t="s">
        <v>145</v>
      </c>
      <c r="E549" s="140"/>
      <c r="F549" s="152" t="s">
        <v>54</v>
      </c>
      <c r="G549" s="152"/>
      <c r="H549" s="152"/>
      <c r="I549" s="152"/>
      <c r="J549" s="152" t="s">
        <v>144</v>
      </c>
      <c r="K549" s="152"/>
      <c r="L549" s="140"/>
      <c r="M549" s="94"/>
    </row>
    <row r="550" spans="1:29" ht="28.5" customHeight="1">
      <c r="A550" s="310" t="s">
        <v>93</v>
      </c>
      <c r="B550" s="310"/>
      <c r="C550" s="310"/>
      <c r="D550" s="310"/>
      <c r="E550" s="310"/>
      <c r="F550" s="310"/>
      <c r="G550" s="310"/>
      <c r="H550" s="310"/>
      <c r="I550" s="310"/>
      <c r="J550" s="310"/>
      <c r="K550" s="310"/>
      <c r="L550" s="310"/>
      <c r="M550" s="92"/>
      <c r="N550" s="311"/>
      <c r="O550" s="311"/>
      <c r="P550" s="311"/>
    </row>
    <row r="551" spans="1:29" ht="20.25" customHeight="1">
      <c r="A551" s="139"/>
      <c r="B551" s="139"/>
      <c r="C551" s="139"/>
      <c r="D551" s="140" t="s">
        <v>145</v>
      </c>
      <c r="E551" s="140"/>
      <c r="F551" s="152" t="s">
        <v>54</v>
      </c>
      <c r="G551" s="152"/>
      <c r="H551" s="152"/>
      <c r="I551" s="152"/>
      <c r="J551" s="152" t="s">
        <v>144</v>
      </c>
      <c r="K551" s="152"/>
      <c r="L551" s="139"/>
      <c r="M551" s="94"/>
      <c r="N551" s="221"/>
      <c r="O551" s="95"/>
      <c r="P551" s="95"/>
    </row>
    <row r="552" spans="1:29" ht="26.25" customHeight="1">
      <c r="A552" s="312" t="s">
        <v>94</v>
      </c>
      <c r="B552" s="312"/>
      <c r="C552" s="312"/>
      <c r="D552" s="312"/>
      <c r="E552" s="312"/>
      <c r="F552" s="312"/>
      <c r="G552" s="312"/>
      <c r="H552" s="312"/>
      <c r="I552" s="312"/>
      <c r="J552" s="312"/>
      <c r="K552" s="312"/>
      <c r="L552" s="312"/>
      <c r="M552" s="92"/>
    </row>
    <row r="553" spans="1:29" ht="22.5" customHeight="1">
      <c r="A553" s="120"/>
      <c r="B553" s="120"/>
      <c r="C553" s="120"/>
      <c r="D553" s="120"/>
      <c r="E553" s="120"/>
      <c r="F553" s="120"/>
      <c r="G553" s="120"/>
      <c r="H553" s="120"/>
      <c r="I553" s="120"/>
      <c r="J553" s="120"/>
      <c r="K553" s="120"/>
      <c r="L553" s="120"/>
      <c r="M553" s="94"/>
    </row>
    <row r="554" spans="1:29" ht="22.5" customHeight="1">
      <c r="A554" s="313" t="s">
        <v>95</v>
      </c>
      <c r="B554" s="313"/>
      <c r="C554" s="313"/>
      <c r="D554" s="313"/>
      <c r="E554" s="313"/>
      <c r="F554" s="313"/>
      <c r="G554" s="313"/>
      <c r="H554" s="313"/>
      <c r="I554" s="313"/>
      <c r="J554" s="313"/>
      <c r="K554" s="313"/>
      <c r="L554" s="313"/>
      <c r="M554" s="92"/>
    </row>
    <row r="555" spans="1:29" ht="19.5" customHeight="1">
      <c r="A555" s="97"/>
      <c r="B555" s="97"/>
      <c r="C555" s="145"/>
      <c r="D555" s="97"/>
      <c r="E555" s="97"/>
      <c r="F555" s="97"/>
      <c r="G555" s="97"/>
      <c r="H555" s="97"/>
      <c r="I555" s="97"/>
      <c r="J555" s="97"/>
      <c r="K555" s="97"/>
      <c r="L555" s="97"/>
      <c r="M555" s="94"/>
    </row>
    <row r="556" spans="1:29" ht="5.25" customHeight="1">
      <c r="A556" s="94"/>
      <c r="B556" s="94"/>
      <c r="C556" s="146"/>
      <c r="D556" s="94"/>
      <c r="E556" s="94"/>
      <c r="F556" s="94"/>
      <c r="G556" s="94"/>
      <c r="H556" s="94"/>
      <c r="I556" s="94"/>
      <c r="J556" s="94"/>
      <c r="K556" s="94"/>
      <c r="L556" s="94"/>
      <c r="M556" s="94"/>
    </row>
    <row r="557" spans="1:29" ht="16.5" customHeight="1">
      <c r="A557" s="314" t="s">
        <v>96</v>
      </c>
      <c r="B557" s="314"/>
      <c r="C557" s="314"/>
      <c r="D557" s="314"/>
      <c r="E557" s="98"/>
      <c r="F557" s="98"/>
      <c r="G557" s="98"/>
      <c r="H557" s="315" t="s">
        <v>97</v>
      </c>
      <c r="I557" s="315"/>
      <c r="J557" s="315"/>
      <c r="K557" s="315"/>
      <c r="L557" s="315"/>
      <c r="M557" s="94"/>
    </row>
    <row r="558" spans="1:29" ht="95.1" customHeight="1">
      <c r="A558" s="99"/>
      <c r="B558" s="101" t="str">
        <f>B488</f>
        <v>Ông Huỳnh Phước Hải        ….............</v>
      </c>
      <c r="C558" s="147"/>
      <c r="D558" s="99"/>
      <c r="E558" s="81"/>
      <c r="F558" s="100"/>
      <c r="G558" s="100"/>
      <c r="H558" s="306" t="str">
        <f>H488</f>
        <v>Ông Phạm Tấn Việt          …..................</v>
      </c>
      <c r="I558" s="306"/>
      <c r="J558" s="306"/>
      <c r="K558" s="306"/>
      <c r="L558" s="306"/>
      <c r="M558" s="94"/>
    </row>
    <row r="559" spans="1:29" ht="49.5" customHeight="1">
      <c r="A559" s="99"/>
      <c r="B559" s="99"/>
      <c r="C559" s="147"/>
      <c r="D559" s="99"/>
      <c r="E559" s="81"/>
      <c r="F559" s="100"/>
      <c r="G559" s="100"/>
      <c r="H559" s="100"/>
      <c r="I559" s="100"/>
      <c r="J559" s="99"/>
      <c r="K559" s="99"/>
      <c r="L559" s="99"/>
      <c r="M559" s="94"/>
    </row>
    <row r="560" spans="1:29" ht="21.75" customHeight="1">
      <c r="A560" s="346" t="s">
        <v>165</v>
      </c>
      <c r="B560" s="346"/>
      <c r="C560" s="346"/>
      <c r="D560" s="346"/>
      <c r="E560" s="346"/>
      <c r="F560" s="346"/>
      <c r="G560" s="346"/>
      <c r="H560" s="346"/>
      <c r="I560" s="346"/>
      <c r="J560" s="346"/>
      <c r="K560" s="346"/>
      <c r="L560" s="346"/>
      <c r="M560" s="82"/>
    </row>
    <row r="561" spans="1:29" ht="19.5">
      <c r="A561" s="84" t="str">
        <f>"Ngày "&amp;N562&amp;" tháng "&amp;O422&amp;" năm "&amp;P422&amp;""</f>
        <v xml:space="preserve">Ngày 09 tháng  năm </v>
      </c>
      <c r="B561" s="84"/>
      <c r="C561" s="85"/>
      <c r="N561" s="216"/>
      <c r="O561" s="20"/>
      <c r="P561" s="20"/>
    </row>
    <row r="562" spans="1:29" ht="16.5">
      <c r="A562" s="337" t="s">
        <v>57</v>
      </c>
      <c r="B562" s="337"/>
      <c r="C562" s="337"/>
      <c r="D562" s="311"/>
      <c r="E562" s="311"/>
      <c r="F562" s="311"/>
      <c r="G562" s="95"/>
      <c r="H562" s="95"/>
      <c r="I562" s="95"/>
      <c r="J562" s="95"/>
      <c r="K562" s="95"/>
      <c r="L562" s="95"/>
      <c r="N562" s="217" t="s">
        <v>171</v>
      </c>
      <c r="O562" s="214"/>
      <c r="P562" s="17"/>
    </row>
    <row r="563" spans="1:29" ht="15.75" customHeight="1">
      <c r="A563" s="338"/>
      <c r="B563" s="338"/>
      <c r="C563" s="338"/>
      <c r="D563" s="339" t="s">
        <v>58</v>
      </c>
      <c r="E563" s="340"/>
      <c r="F563" s="340"/>
      <c r="G563" s="340"/>
      <c r="H563" s="341"/>
      <c r="I563" s="339" t="s">
        <v>59</v>
      </c>
      <c r="J563" s="340"/>
      <c r="K563" s="340"/>
      <c r="L563" s="341"/>
    </row>
    <row r="564" spans="1:29" ht="19.5" customHeight="1">
      <c r="A564" s="342" t="s">
        <v>60</v>
      </c>
      <c r="B564" s="342"/>
      <c r="C564" s="342"/>
      <c r="D564" s="343" t="s">
        <v>54</v>
      </c>
      <c r="E564" s="344"/>
      <c r="F564" s="344"/>
      <c r="G564" s="344"/>
      <c r="H564" s="345"/>
      <c r="I564" s="343" t="s">
        <v>54</v>
      </c>
      <c r="J564" s="344"/>
      <c r="K564" s="344"/>
      <c r="L564" s="345"/>
    </row>
    <row r="565" spans="1:29" ht="22.5" customHeight="1">
      <c r="A565" s="342" t="s">
        <v>61</v>
      </c>
      <c r="B565" s="342"/>
      <c r="C565" s="342"/>
      <c r="D565" s="343" t="s">
        <v>163</v>
      </c>
      <c r="E565" s="344"/>
      <c r="F565" s="344"/>
      <c r="G565" s="344"/>
      <c r="H565" s="345"/>
      <c r="I565" s="343" t="str">
        <f>D565</f>
        <v>31° - 34°</v>
      </c>
      <c r="J565" s="344"/>
      <c r="K565" s="344"/>
      <c r="L565" s="345"/>
    </row>
    <row r="566" spans="1:29" s="87" customFormat="1" ht="15.75">
      <c r="A566" s="310" t="s">
        <v>62</v>
      </c>
      <c r="B566" s="310"/>
      <c r="C566" s="310"/>
      <c r="D566" s="310"/>
      <c r="E566" s="310"/>
      <c r="F566" s="310"/>
      <c r="G566" s="310"/>
      <c r="H566" s="310"/>
      <c r="I566" s="310"/>
      <c r="J566" s="310"/>
      <c r="K566" s="310"/>
      <c r="L566" s="310"/>
      <c r="M566" s="85"/>
      <c r="N566" s="218"/>
    </row>
    <row r="567" spans="1:29" s="87" customFormat="1" ht="15.75">
      <c r="A567" s="332" t="s">
        <v>63</v>
      </c>
      <c r="B567" s="332"/>
      <c r="C567" s="332"/>
      <c r="D567" s="332"/>
      <c r="E567" s="332"/>
      <c r="F567" s="332"/>
      <c r="G567" s="332"/>
      <c r="H567" s="332"/>
      <c r="I567" s="332"/>
      <c r="J567" s="332"/>
      <c r="K567" s="332"/>
      <c r="L567" s="332"/>
      <c r="M567" s="85"/>
      <c r="N567" s="218"/>
    </row>
    <row r="568" spans="1:29" s="87" customFormat="1" ht="20.100000000000001" customHeight="1">
      <c r="A568" s="88"/>
      <c r="B568" s="88"/>
      <c r="C568" s="333" t="s">
        <v>64</v>
      </c>
      <c r="D568" s="334"/>
      <c r="E568" s="334"/>
      <c r="F568" s="334"/>
      <c r="G568" s="334"/>
      <c r="H568" s="334"/>
      <c r="I568" s="334"/>
      <c r="J568" s="334"/>
      <c r="K568" s="334"/>
      <c r="L568" s="334"/>
      <c r="M568" s="85"/>
      <c r="N568" s="218"/>
    </row>
    <row r="569" spans="1:29" s="87" customFormat="1" ht="20.100000000000001" customHeight="1">
      <c r="A569" s="88"/>
      <c r="B569" s="88"/>
      <c r="C569" s="333" t="s">
        <v>65</v>
      </c>
      <c r="D569" s="334"/>
      <c r="E569" s="334"/>
      <c r="F569" s="334"/>
      <c r="G569" s="334"/>
      <c r="H569" s="334"/>
      <c r="I569" s="334"/>
      <c r="J569" s="334"/>
      <c r="K569" s="334"/>
      <c r="L569" s="334"/>
      <c r="M569" s="85"/>
      <c r="N569" s="218"/>
    </row>
    <row r="570" spans="1:29" s="87" customFormat="1" ht="17.25" customHeight="1">
      <c r="A570" s="335" t="s">
        <v>66</v>
      </c>
      <c r="B570" s="335"/>
      <c r="C570" s="335"/>
      <c r="D570" s="335"/>
      <c r="E570" s="335"/>
      <c r="F570" s="335"/>
      <c r="G570" s="335"/>
      <c r="H570" s="335"/>
      <c r="I570" s="335"/>
      <c r="J570" s="335"/>
      <c r="K570" s="335"/>
      <c r="L570" s="335"/>
      <c r="M570" s="85"/>
      <c r="N570" s="218"/>
    </row>
    <row r="571" spans="1:29" s="87" customFormat="1" ht="7.5" customHeight="1">
      <c r="A571" s="119"/>
      <c r="B571" s="119"/>
      <c r="C571" s="119"/>
      <c r="D571" s="119"/>
      <c r="E571" s="119"/>
      <c r="F571" s="119"/>
      <c r="G571" s="119"/>
      <c r="H571" s="119"/>
      <c r="I571" s="119"/>
      <c r="J571" s="119"/>
      <c r="K571" s="119"/>
      <c r="L571" s="119"/>
      <c r="M571" s="85"/>
      <c r="N571" s="218"/>
    </row>
    <row r="572" spans="1:29" ht="15.75">
      <c r="A572" s="336" t="s">
        <v>67</v>
      </c>
      <c r="B572" s="336"/>
      <c r="C572" s="336"/>
      <c r="D572" s="336"/>
      <c r="E572" s="336"/>
      <c r="F572" s="336"/>
      <c r="G572" s="336"/>
      <c r="H572" s="336"/>
      <c r="I572" s="336"/>
      <c r="J572" s="336"/>
      <c r="K572" s="336"/>
      <c r="L572" s="336"/>
    </row>
    <row r="573" spans="1:29" ht="2.25" customHeight="1">
      <c r="A573" s="141"/>
      <c r="B573" s="141"/>
      <c r="C573" s="141"/>
      <c r="D573" s="141"/>
      <c r="E573" s="141"/>
      <c r="F573" s="141"/>
      <c r="G573" s="155"/>
      <c r="H573" s="155"/>
      <c r="I573" s="155"/>
      <c r="J573" s="155"/>
      <c r="K573" s="155"/>
      <c r="L573" s="155"/>
    </row>
    <row r="574" spans="1:29" ht="27.75" customHeight="1">
      <c r="A574" s="317" t="s">
        <v>135</v>
      </c>
      <c r="B574" s="318"/>
      <c r="C574" s="317" t="s">
        <v>68</v>
      </c>
      <c r="D574" s="318"/>
      <c r="E574" s="183"/>
      <c r="F574" s="321" t="s">
        <v>136</v>
      </c>
      <c r="G574" s="322" t="s">
        <v>155</v>
      </c>
      <c r="H574" s="323"/>
      <c r="I574" s="323"/>
      <c r="J574" s="322" t="s">
        <v>154</v>
      </c>
      <c r="K574" s="323"/>
      <c r="L574" s="324"/>
      <c r="M574" s="92"/>
      <c r="O574" s="325"/>
      <c r="P574" s="325"/>
      <c r="Q574" s="325"/>
      <c r="R574" s="325"/>
      <c r="S574" s="316"/>
      <c r="T574" s="316"/>
      <c r="U574" s="316"/>
      <c r="V574" s="316"/>
      <c r="W574" s="316"/>
      <c r="X574" s="316"/>
      <c r="Y574" s="316"/>
      <c r="Z574" s="316"/>
      <c r="AA574" s="316"/>
      <c r="AB574" s="316"/>
      <c r="AC574" s="316"/>
    </row>
    <row r="575" spans="1:29" ht="125.25" customHeight="1">
      <c r="A575" s="319"/>
      <c r="B575" s="320"/>
      <c r="C575" s="319"/>
      <c r="D575" s="320"/>
      <c r="E575" s="184"/>
      <c r="F575" s="321"/>
      <c r="G575" s="153" t="s">
        <v>151</v>
      </c>
      <c r="H575" s="153" t="s">
        <v>152</v>
      </c>
      <c r="I575" s="153" t="s">
        <v>153</v>
      </c>
      <c r="J575" s="153" t="s">
        <v>151</v>
      </c>
      <c r="K575" s="153" t="s">
        <v>152</v>
      </c>
      <c r="L575" s="153" t="s">
        <v>153</v>
      </c>
      <c r="O575" s="325"/>
      <c r="P575" s="325"/>
      <c r="Q575" s="325"/>
      <c r="R575" s="325"/>
      <c r="S575" s="193"/>
      <c r="T575" s="193"/>
      <c r="U575" s="193"/>
      <c r="V575" s="193"/>
      <c r="W575" s="193"/>
      <c r="X575" s="193"/>
      <c r="Y575" s="193"/>
      <c r="Z575" s="193"/>
      <c r="AA575" s="193"/>
      <c r="AB575" s="193"/>
      <c r="AC575" s="193"/>
    </row>
    <row r="576" spans="1:29" ht="24.75" customHeight="1">
      <c r="A576" s="190" t="s">
        <v>128</v>
      </c>
      <c r="B576" s="142"/>
      <c r="C576" s="330" t="s">
        <v>129</v>
      </c>
      <c r="D576" s="330"/>
      <c r="E576" s="330"/>
      <c r="F576" s="330"/>
      <c r="G576" s="330"/>
      <c r="H576" s="330"/>
      <c r="I576" s="330"/>
      <c r="J576" s="330"/>
      <c r="K576" s="330"/>
      <c r="L576" s="330"/>
      <c r="M576" s="93"/>
      <c r="O576" s="156"/>
      <c r="P576" s="142"/>
      <c r="Q576" s="331"/>
      <c r="R576" s="331"/>
      <c r="S576" s="331"/>
      <c r="T576" s="331"/>
      <c r="U576" s="331"/>
      <c r="V576" s="331"/>
      <c r="W576" s="331"/>
      <c r="X576" s="331"/>
      <c r="Y576" s="331"/>
      <c r="Z576" s="331"/>
      <c r="AA576" s="331"/>
      <c r="AB576" s="331"/>
      <c r="AC576" s="331"/>
    </row>
    <row r="577" spans="1:29" ht="21" customHeight="1">
      <c r="A577" s="187">
        <v>1</v>
      </c>
      <c r="B577" s="185" t="s">
        <v>69</v>
      </c>
      <c r="C577" s="326" t="s">
        <v>70</v>
      </c>
      <c r="D577" s="326"/>
      <c r="E577" s="176"/>
      <c r="F577" s="144" t="s">
        <v>71</v>
      </c>
      <c r="G577" s="203" t="s">
        <v>156</v>
      </c>
      <c r="H577" s="202" t="s">
        <v>156</v>
      </c>
      <c r="I577" s="201">
        <v>1</v>
      </c>
      <c r="J577" s="202" t="s">
        <v>156</v>
      </c>
      <c r="K577" s="202" t="s">
        <v>156</v>
      </c>
      <c r="L577" s="201">
        <v>1</v>
      </c>
      <c r="M577" s="93"/>
      <c r="O577" s="195"/>
      <c r="P577" s="196"/>
      <c r="Q577" s="327"/>
      <c r="R577" s="327"/>
      <c r="S577" s="86"/>
      <c r="T577" s="86"/>
      <c r="U577" s="86"/>
      <c r="V577" s="86"/>
      <c r="W577" s="194"/>
      <c r="X577" s="194"/>
      <c r="Y577" s="194"/>
      <c r="Z577" s="194"/>
      <c r="AA577" s="194"/>
      <c r="AB577" s="194"/>
      <c r="AC577" s="194"/>
    </row>
    <row r="578" spans="1:29" ht="21" customHeight="1">
      <c r="A578" s="187">
        <v>2</v>
      </c>
      <c r="B578" s="185" t="s">
        <v>69</v>
      </c>
      <c r="C578" s="326" t="s">
        <v>72</v>
      </c>
      <c r="D578" s="326"/>
      <c r="E578" s="176"/>
      <c r="F578" s="144" t="s">
        <v>71</v>
      </c>
      <c r="G578" s="203" t="s">
        <v>156</v>
      </c>
      <c r="H578" s="202" t="s">
        <v>156</v>
      </c>
      <c r="I578" s="202" t="s">
        <v>156</v>
      </c>
      <c r="J578" s="202" t="s">
        <v>156</v>
      </c>
      <c r="K578" s="202" t="s">
        <v>156</v>
      </c>
      <c r="L578" s="202" t="s">
        <v>156</v>
      </c>
      <c r="M578" s="93"/>
      <c r="O578" s="195"/>
      <c r="P578" s="196"/>
      <c r="Q578" s="327"/>
      <c r="R578" s="327"/>
      <c r="S578" s="194"/>
      <c r="T578" s="194"/>
      <c r="U578" s="194"/>
      <c r="V578" s="86"/>
      <c r="W578" s="86"/>
      <c r="X578" s="86"/>
      <c r="Y578" s="86"/>
      <c r="Z578" s="194"/>
      <c r="AA578" s="194"/>
      <c r="AB578" s="194"/>
      <c r="AC578" s="194"/>
    </row>
    <row r="579" spans="1:29" ht="21" customHeight="1">
      <c r="A579" s="187">
        <v>3</v>
      </c>
      <c r="B579" s="185" t="s">
        <v>69</v>
      </c>
      <c r="C579" s="326" t="s">
        <v>73</v>
      </c>
      <c r="D579" s="326"/>
      <c r="E579" s="176"/>
      <c r="F579" s="144" t="s">
        <v>71</v>
      </c>
      <c r="G579" s="203" t="s">
        <v>156</v>
      </c>
      <c r="H579" s="202" t="s">
        <v>156</v>
      </c>
      <c r="I579" s="202" t="s">
        <v>156</v>
      </c>
      <c r="J579" s="202" t="s">
        <v>156</v>
      </c>
      <c r="K579" s="202" t="s">
        <v>156</v>
      </c>
      <c r="L579" s="202" t="s">
        <v>156</v>
      </c>
      <c r="M579" s="93"/>
      <c r="O579" s="195"/>
      <c r="P579" s="196"/>
      <c r="Q579" s="327"/>
      <c r="R579" s="327"/>
      <c r="S579" s="194"/>
      <c r="T579" s="86"/>
      <c r="U579" s="86"/>
      <c r="V579" s="86"/>
      <c r="W579" s="86"/>
      <c r="X579" s="194"/>
      <c r="Y579" s="194"/>
      <c r="Z579" s="194"/>
      <c r="AA579" s="194"/>
      <c r="AB579" s="194"/>
      <c r="AC579" s="194"/>
    </row>
    <row r="580" spans="1:29" ht="21" customHeight="1">
      <c r="A580" s="187">
        <v>4</v>
      </c>
      <c r="B580" s="185" t="s">
        <v>69</v>
      </c>
      <c r="C580" s="326" t="s">
        <v>98</v>
      </c>
      <c r="D580" s="326"/>
      <c r="E580" s="176"/>
      <c r="F580" s="144" t="s">
        <v>71</v>
      </c>
      <c r="G580" s="203" t="s">
        <v>156</v>
      </c>
      <c r="H580" s="202" t="s">
        <v>156</v>
      </c>
      <c r="I580" s="202" t="s">
        <v>156</v>
      </c>
      <c r="J580" s="202" t="s">
        <v>156</v>
      </c>
      <c r="K580" s="202" t="s">
        <v>156</v>
      </c>
      <c r="L580" s="202" t="s">
        <v>156</v>
      </c>
      <c r="M580" s="93"/>
      <c r="O580" s="195"/>
      <c r="P580" s="196"/>
      <c r="Q580" s="327"/>
      <c r="R580" s="327"/>
      <c r="S580" s="194"/>
      <c r="T580" s="194"/>
      <c r="U580" s="194"/>
      <c r="V580" s="194"/>
      <c r="W580" s="194"/>
      <c r="X580" s="194"/>
      <c r="Y580" s="194"/>
      <c r="Z580" s="86"/>
      <c r="AA580" s="86"/>
      <c r="AB580" s="86"/>
      <c r="AC580" s="86"/>
    </row>
    <row r="581" spans="1:29" ht="21" customHeight="1">
      <c r="A581" s="187">
        <v>5</v>
      </c>
      <c r="B581" s="185" t="s">
        <v>69</v>
      </c>
      <c r="C581" s="326" t="s">
        <v>74</v>
      </c>
      <c r="D581" s="326"/>
      <c r="E581" s="176"/>
      <c r="F581" s="144" t="s">
        <v>71</v>
      </c>
      <c r="G581" s="203" t="s">
        <v>156</v>
      </c>
      <c r="H581" s="202" t="s">
        <v>156</v>
      </c>
      <c r="I581" s="202" t="s">
        <v>156</v>
      </c>
      <c r="J581" s="202" t="s">
        <v>156</v>
      </c>
      <c r="K581" s="202" t="s">
        <v>156</v>
      </c>
      <c r="L581" s="202" t="s">
        <v>156</v>
      </c>
      <c r="M581" s="93"/>
      <c r="O581" s="195"/>
      <c r="P581" s="196"/>
      <c r="Q581" s="327"/>
      <c r="R581" s="327"/>
      <c r="S581" s="194"/>
      <c r="T581" s="194"/>
      <c r="U581" s="194"/>
      <c r="V581" s="194"/>
      <c r="W581" s="194"/>
      <c r="X581" s="194"/>
      <c r="Y581" s="194"/>
      <c r="Z581" s="194"/>
      <c r="AA581" s="194"/>
      <c r="AB581" s="194"/>
      <c r="AC581" s="194"/>
    </row>
    <row r="582" spans="1:29" ht="21" customHeight="1">
      <c r="A582" s="187">
        <v>6</v>
      </c>
      <c r="B582" s="185" t="s">
        <v>69</v>
      </c>
      <c r="C582" s="326" t="s">
        <v>75</v>
      </c>
      <c r="D582" s="326"/>
      <c r="E582" s="176"/>
      <c r="F582" s="144" t="s">
        <v>71</v>
      </c>
      <c r="G582" s="203" t="s">
        <v>156</v>
      </c>
      <c r="H582" s="202" t="s">
        <v>156</v>
      </c>
      <c r="I582" s="202" t="s">
        <v>156</v>
      </c>
      <c r="J582" s="202" t="s">
        <v>156</v>
      </c>
      <c r="K582" s="202" t="s">
        <v>156</v>
      </c>
      <c r="L582" s="202" t="s">
        <v>156</v>
      </c>
      <c r="M582" s="93"/>
      <c r="O582" s="195"/>
      <c r="P582" s="196"/>
      <c r="Q582" s="327"/>
      <c r="R582" s="327"/>
      <c r="S582" s="194"/>
      <c r="T582" s="194"/>
      <c r="U582" s="194"/>
      <c r="V582" s="194"/>
      <c r="W582" s="194"/>
      <c r="X582" s="194"/>
      <c r="Y582" s="194"/>
      <c r="Z582" s="194"/>
      <c r="AA582" s="194"/>
      <c r="AB582" s="194"/>
      <c r="AC582" s="194"/>
    </row>
    <row r="583" spans="1:29" ht="21" customHeight="1">
      <c r="A583" s="187">
        <v>7</v>
      </c>
      <c r="B583" s="185" t="s">
        <v>69</v>
      </c>
      <c r="C583" s="326" t="s">
        <v>76</v>
      </c>
      <c r="D583" s="326"/>
      <c r="E583" s="176"/>
      <c r="F583" s="144" t="s">
        <v>71</v>
      </c>
      <c r="G583" s="203" t="s">
        <v>156</v>
      </c>
      <c r="H583" s="202" t="s">
        <v>156</v>
      </c>
      <c r="I583" s="202" t="s">
        <v>156</v>
      </c>
      <c r="J583" s="202" t="s">
        <v>156</v>
      </c>
      <c r="K583" s="202" t="s">
        <v>156</v>
      </c>
      <c r="L583" s="202" t="s">
        <v>156</v>
      </c>
      <c r="M583" s="93"/>
      <c r="O583" s="195"/>
      <c r="P583" s="196"/>
      <c r="Q583" s="327"/>
      <c r="R583" s="327"/>
      <c r="S583" s="194"/>
      <c r="T583" s="194"/>
      <c r="U583" s="194"/>
      <c r="V583" s="194"/>
      <c r="W583" s="194"/>
      <c r="X583" s="194"/>
      <c r="Y583" s="194"/>
      <c r="Z583" s="194"/>
      <c r="AA583" s="194"/>
      <c r="AB583" s="194"/>
      <c r="AC583" s="194"/>
    </row>
    <row r="584" spans="1:29" ht="21" customHeight="1">
      <c r="A584" s="187">
        <v>8</v>
      </c>
      <c r="B584" s="185" t="s">
        <v>69</v>
      </c>
      <c r="C584" s="326" t="s">
        <v>99</v>
      </c>
      <c r="D584" s="326"/>
      <c r="E584" s="176"/>
      <c r="F584" s="144" t="s">
        <v>71</v>
      </c>
      <c r="G584" s="203" t="s">
        <v>156</v>
      </c>
      <c r="H584" s="202" t="s">
        <v>156</v>
      </c>
      <c r="I584" s="202" t="s">
        <v>156</v>
      </c>
      <c r="J584" s="202" t="s">
        <v>156</v>
      </c>
      <c r="K584" s="202" t="s">
        <v>156</v>
      </c>
      <c r="L584" s="202" t="s">
        <v>156</v>
      </c>
      <c r="M584" s="93"/>
      <c r="O584" s="195"/>
      <c r="P584" s="196"/>
      <c r="Q584" s="327"/>
      <c r="R584" s="327"/>
      <c r="S584" s="194"/>
      <c r="T584" s="194"/>
      <c r="U584" s="194"/>
      <c r="V584" s="194"/>
      <c r="W584" s="194"/>
      <c r="X584" s="194"/>
      <c r="Y584" s="194"/>
      <c r="Z584" s="194"/>
      <c r="AA584" s="194"/>
      <c r="AB584" s="194"/>
      <c r="AC584" s="194"/>
    </row>
    <row r="585" spans="1:29" ht="21" customHeight="1">
      <c r="A585" s="187">
        <v>9</v>
      </c>
      <c r="B585" s="185" t="s">
        <v>69</v>
      </c>
      <c r="C585" s="326" t="s">
        <v>77</v>
      </c>
      <c r="D585" s="326"/>
      <c r="E585" s="176"/>
      <c r="F585" s="144" t="s">
        <v>71</v>
      </c>
      <c r="G585" s="203" t="s">
        <v>156</v>
      </c>
      <c r="H585" s="202" t="s">
        <v>156</v>
      </c>
      <c r="I585" s="202" t="s">
        <v>156</v>
      </c>
      <c r="J585" s="202" t="s">
        <v>156</v>
      </c>
      <c r="K585" s="202" t="s">
        <v>156</v>
      </c>
      <c r="L585" s="202" t="s">
        <v>156</v>
      </c>
      <c r="M585" s="93"/>
      <c r="O585" s="195"/>
      <c r="P585" s="196"/>
      <c r="Q585" s="327"/>
      <c r="R585" s="327"/>
      <c r="S585" s="194"/>
      <c r="T585" s="194"/>
      <c r="U585" s="194"/>
      <c r="V585" s="194"/>
      <c r="W585" s="194"/>
      <c r="X585" s="194"/>
      <c r="Y585" s="194"/>
      <c r="Z585" s="194"/>
      <c r="AA585" s="194"/>
      <c r="AB585" s="194"/>
      <c r="AC585" s="194"/>
    </row>
    <row r="586" spans="1:29" ht="21" customHeight="1">
      <c r="A586" s="187">
        <v>10</v>
      </c>
      <c r="B586" s="185" t="s">
        <v>69</v>
      </c>
      <c r="C586" s="326" t="s">
        <v>78</v>
      </c>
      <c r="D586" s="326"/>
      <c r="E586" s="176"/>
      <c r="F586" s="144" t="s">
        <v>71</v>
      </c>
      <c r="G586" s="203" t="s">
        <v>156</v>
      </c>
      <c r="H586" s="202" t="s">
        <v>156</v>
      </c>
      <c r="I586" s="202" t="s">
        <v>156</v>
      </c>
      <c r="J586" s="202" t="s">
        <v>156</v>
      </c>
      <c r="K586" s="202" t="s">
        <v>156</v>
      </c>
      <c r="L586" s="202" t="s">
        <v>156</v>
      </c>
      <c r="M586" s="93"/>
      <c r="O586" s="195"/>
      <c r="P586" s="196"/>
      <c r="Q586" s="327"/>
      <c r="R586" s="327"/>
      <c r="S586" s="194"/>
      <c r="T586" s="194"/>
      <c r="U586" s="194"/>
      <c r="V586" s="194"/>
      <c r="W586" s="194"/>
      <c r="X586" s="194"/>
      <c r="Y586" s="194"/>
      <c r="Z586" s="194"/>
      <c r="AA586" s="194"/>
      <c r="AB586" s="194"/>
      <c r="AC586" s="194"/>
    </row>
    <row r="587" spans="1:29" ht="21" customHeight="1">
      <c r="A587" s="187">
        <v>11</v>
      </c>
      <c r="B587" s="185" t="s">
        <v>69</v>
      </c>
      <c r="C587" s="326" t="s">
        <v>79</v>
      </c>
      <c r="D587" s="326"/>
      <c r="E587" s="176"/>
      <c r="F587" s="144" t="s">
        <v>71</v>
      </c>
      <c r="G587" s="203" t="s">
        <v>156</v>
      </c>
      <c r="H587" s="202" t="s">
        <v>156</v>
      </c>
      <c r="I587" s="202" t="s">
        <v>156</v>
      </c>
      <c r="J587" s="202" t="s">
        <v>156</v>
      </c>
      <c r="K587" s="202" t="s">
        <v>156</v>
      </c>
      <c r="L587" s="202" t="s">
        <v>156</v>
      </c>
      <c r="M587" s="93"/>
      <c r="O587" s="195"/>
      <c r="P587" s="196"/>
      <c r="Q587" s="327"/>
      <c r="R587" s="327"/>
      <c r="S587" s="194"/>
      <c r="T587" s="194"/>
      <c r="U587" s="194"/>
      <c r="V587" s="194"/>
      <c r="W587" s="194"/>
      <c r="X587" s="194"/>
      <c r="Y587" s="194"/>
      <c r="Z587" s="194"/>
      <c r="AA587" s="194"/>
      <c r="AB587" s="194"/>
      <c r="AC587" s="194"/>
    </row>
    <row r="588" spans="1:29" ht="21" customHeight="1">
      <c r="A588" s="187">
        <v>12</v>
      </c>
      <c r="B588" s="185" t="s">
        <v>69</v>
      </c>
      <c r="C588" s="326" t="s">
        <v>100</v>
      </c>
      <c r="D588" s="326"/>
      <c r="E588" s="176"/>
      <c r="F588" s="144" t="s">
        <v>71</v>
      </c>
      <c r="G588" s="203" t="s">
        <v>156</v>
      </c>
      <c r="H588" s="202" t="s">
        <v>156</v>
      </c>
      <c r="I588" s="202" t="s">
        <v>156</v>
      </c>
      <c r="J588" s="202" t="s">
        <v>156</v>
      </c>
      <c r="K588" s="202" t="s">
        <v>156</v>
      </c>
      <c r="L588" s="202" t="s">
        <v>156</v>
      </c>
      <c r="M588" s="93"/>
      <c r="O588" s="195"/>
      <c r="P588" s="196"/>
      <c r="Q588" s="327"/>
      <c r="R588" s="327"/>
      <c r="S588" s="194"/>
      <c r="T588" s="194"/>
      <c r="U588" s="194"/>
      <c r="V588" s="194"/>
      <c r="W588" s="194"/>
      <c r="X588" s="194"/>
      <c r="Y588" s="194"/>
      <c r="Z588" s="194"/>
      <c r="AA588" s="194"/>
      <c r="AB588" s="194"/>
      <c r="AC588" s="194"/>
    </row>
    <row r="589" spans="1:29" ht="21" customHeight="1">
      <c r="A589" s="187">
        <v>13</v>
      </c>
      <c r="B589" s="185" t="s">
        <v>69</v>
      </c>
      <c r="C589" s="326" t="s">
        <v>80</v>
      </c>
      <c r="D589" s="326"/>
      <c r="E589" s="176"/>
      <c r="F589" s="144" t="s">
        <v>71</v>
      </c>
      <c r="G589" s="203" t="s">
        <v>156</v>
      </c>
      <c r="H589" s="202" t="s">
        <v>156</v>
      </c>
      <c r="I589" s="202" t="s">
        <v>156</v>
      </c>
      <c r="J589" s="202" t="s">
        <v>156</v>
      </c>
      <c r="K589" s="202" t="s">
        <v>156</v>
      </c>
      <c r="L589" s="202" t="s">
        <v>156</v>
      </c>
      <c r="M589" s="93"/>
      <c r="O589" s="195"/>
      <c r="P589" s="196"/>
      <c r="Q589" s="327"/>
      <c r="R589" s="327"/>
      <c r="S589" s="194"/>
      <c r="T589" s="194"/>
      <c r="U589" s="194"/>
      <c r="V589" s="194"/>
      <c r="W589" s="194"/>
      <c r="X589" s="194"/>
      <c r="Y589" s="194"/>
      <c r="Z589" s="194"/>
      <c r="AA589" s="194"/>
      <c r="AB589" s="194"/>
      <c r="AC589" s="194"/>
    </row>
    <row r="590" spans="1:29" ht="21" customHeight="1">
      <c r="A590" s="187">
        <v>14</v>
      </c>
      <c r="B590" s="185" t="s">
        <v>69</v>
      </c>
      <c r="C590" s="326" t="s">
        <v>91</v>
      </c>
      <c r="D590" s="326"/>
      <c r="E590" s="176"/>
      <c r="F590" s="144" t="s">
        <v>71</v>
      </c>
      <c r="G590" s="203" t="s">
        <v>156</v>
      </c>
      <c r="H590" s="202" t="s">
        <v>156</v>
      </c>
      <c r="I590" s="202" t="s">
        <v>156</v>
      </c>
      <c r="J590" s="202" t="s">
        <v>156</v>
      </c>
      <c r="K590" s="202" t="s">
        <v>156</v>
      </c>
      <c r="L590" s="202" t="s">
        <v>156</v>
      </c>
      <c r="M590" s="93"/>
      <c r="O590" s="195"/>
      <c r="P590" s="196"/>
      <c r="Q590" s="327"/>
      <c r="R590" s="327"/>
      <c r="S590" s="194"/>
      <c r="T590" s="194"/>
      <c r="U590" s="194"/>
      <c r="V590" s="194"/>
      <c r="W590" s="194"/>
      <c r="X590" s="194"/>
      <c r="Y590" s="194"/>
      <c r="Z590" s="194"/>
      <c r="AA590" s="194"/>
      <c r="AB590" s="194"/>
      <c r="AC590" s="194"/>
    </row>
    <row r="591" spans="1:29" ht="21" customHeight="1">
      <c r="A591" s="187">
        <v>15</v>
      </c>
      <c r="B591" s="185" t="s">
        <v>69</v>
      </c>
      <c r="C591" s="326" t="s">
        <v>81</v>
      </c>
      <c r="D591" s="326"/>
      <c r="E591" s="176"/>
      <c r="F591" s="144" t="s">
        <v>71</v>
      </c>
      <c r="G591" s="203" t="s">
        <v>156</v>
      </c>
      <c r="H591" s="202" t="s">
        <v>156</v>
      </c>
      <c r="I591" s="202" t="s">
        <v>156</v>
      </c>
      <c r="J591" s="202" t="s">
        <v>156</v>
      </c>
      <c r="K591" s="202" t="s">
        <v>156</v>
      </c>
      <c r="L591" s="202" t="s">
        <v>156</v>
      </c>
      <c r="M591" s="93"/>
      <c r="O591" s="195"/>
      <c r="P591" s="196"/>
      <c r="Q591" s="327"/>
      <c r="R591" s="327"/>
      <c r="S591" s="194"/>
      <c r="T591" s="194"/>
      <c r="U591" s="194"/>
      <c r="V591" s="194"/>
      <c r="W591" s="194"/>
      <c r="X591" s="194"/>
      <c r="Y591" s="194"/>
      <c r="Z591" s="194"/>
      <c r="AA591" s="194"/>
      <c r="AB591" s="194"/>
      <c r="AC591" s="194"/>
    </row>
    <row r="592" spans="1:29" ht="21" customHeight="1">
      <c r="A592" s="187">
        <v>16</v>
      </c>
      <c r="B592" s="185" t="s">
        <v>69</v>
      </c>
      <c r="C592" s="326" t="s">
        <v>101</v>
      </c>
      <c r="D592" s="326"/>
      <c r="E592" s="151"/>
      <c r="F592" s="144" t="s">
        <v>71</v>
      </c>
      <c r="G592" s="203" t="s">
        <v>156</v>
      </c>
      <c r="H592" s="202" t="s">
        <v>156</v>
      </c>
      <c r="I592" s="202" t="s">
        <v>156</v>
      </c>
      <c r="J592" s="202" t="s">
        <v>156</v>
      </c>
      <c r="K592" s="202" t="s">
        <v>156</v>
      </c>
      <c r="L592" s="202" t="s">
        <v>156</v>
      </c>
      <c r="M592" s="93"/>
      <c r="N592" s="219"/>
      <c r="O592" s="195"/>
      <c r="P592" s="196"/>
      <c r="Q592" s="327"/>
      <c r="R592" s="327"/>
      <c r="S592" s="197"/>
      <c r="T592" s="197"/>
      <c r="U592" s="197"/>
      <c r="V592" s="197"/>
      <c r="W592" s="197"/>
      <c r="X592" s="197"/>
      <c r="Y592" s="197"/>
      <c r="Z592" s="197"/>
      <c r="AA592" s="197"/>
      <c r="AB592" s="197"/>
      <c r="AC592" s="197"/>
    </row>
    <row r="593" spans="1:29" ht="21" customHeight="1">
      <c r="A593" s="187">
        <v>17</v>
      </c>
      <c r="B593" s="186" t="s">
        <v>69</v>
      </c>
      <c r="C593" s="326" t="s">
        <v>141</v>
      </c>
      <c r="D593" s="326"/>
      <c r="E593" s="151"/>
      <c r="F593" s="144" t="s">
        <v>71</v>
      </c>
      <c r="G593" s="203" t="s">
        <v>156</v>
      </c>
      <c r="H593" s="202" t="s">
        <v>156</v>
      </c>
      <c r="I593" s="202" t="s">
        <v>156</v>
      </c>
      <c r="J593" s="202" t="s">
        <v>156</v>
      </c>
      <c r="K593" s="202" t="s">
        <v>156</v>
      </c>
      <c r="L593" s="202" t="s">
        <v>156</v>
      </c>
      <c r="M593" s="93"/>
      <c r="N593" s="219"/>
      <c r="O593" s="195"/>
      <c r="P593" s="104"/>
      <c r="Q593" s="327"/>
      <c r="R593" s="327"/>
      <c r="S593" s="197"/>
      <c r="T593" s="197"/>
      <c r="U593" s="197"/>
      <c r="V593" s="197"/>
      <c r="W593" s="197"/>
      <c r="X593" s="197"/>
      <c r="Y593" s="197"/>
      <c r="Z593" s="197"/>
      <c r="AA593" s="197"/>
      <c r="AB593" s="197"/>
      <c r="AC593" s="197"/>
    </row>
    <row r="594" spans="1:29" ht="21" customHeight="1">
      <c r="A594" s="187">
        <v>18</v>
      </c>
      <c r="B594" s="186" t="s">
        <v>69</v>
      </c>
      <c r="C594" s="326" t="s">
        <v>142</v>
      </c>
      <c r="D594" s="326"/>
      <c r="E594" s="151"/>
      <c r="F594" s="144" t="s">
        <v>71</v>
      </c>
      <c r="G594" s="203" t="s">
        <v>156</v>
      </c>
      <c r="H594" s="202" t="s">
        <v>156</v>
      </c>
      <c r="I594" s="202" t="s">
        <v>156</v>
      </c>
      <c r="J594" s="202" t="s">
        <v>156</v>
      </c>
      <c r="K594" s="202" t="s">
        <v>156</v>
      </c>
      <c r="L594" s="202" t="s">
        <v>156</v>
      </c>
      <c r="M594" s="93"/>
      <c r="N594" s="219"/>
      <c r="O594" s="195"/>
      <c r="P594" s="104"/>
      <c r="Q594" s="327"/>
      <c r="R594" s="327"/>
      <c r="S594" s="197"/>
      <c r="T594" s="197"/>
      <c r="U594" s="197"/>
      <c r="V594" s="197"/>
      <c r="W594" s="197"/>
      <c r="X594" s="197"/>
      <c r="Y594" s="197"/>
      <c r="Z594" s="197"/>
      <c r="AA594" s="197"/>
      <c r="AB594" s="197"/>
      <c r="AC594" s="197"/>
    </row>
    <row r="595" spans="1:29" ht="21" customHeight="1">
      <c r="A595" s="187">
        <v>19</v>
      </c>
      <c r="B595" s="186" t="s">
        <v>69</v>
      </c>
      <c r="C595" s="326" t="s">
        <v>143</v>
      </c>
      <c r="D595" s="326"/>
      <c r="E595" s="151"/>
      <c r="F595" s="144" t="s">
        <v>71</v>
      </c>
      <c r="G595" s="203" t="s">
        <v>156</v>
      </c>
      <c r="H595" s="202" t="s">
        <v>156</v>
      </c>
      <c r="I595" s="202" t="s">
        <v>156</v>
      </c>
      <c r="J595" s="202" t="s">
        <v>156</v>
      </c>
      <c r="K595" s="202" t="s">
        <v>156</v>
      </c>
      <c r="L595" s="202" t="s">
        <v>156</v>
      </c>
      <c r="M595" s="93"/>
      <c r="N595" s="219"/>
      <c r="O595" s="195"/>
      <c r="P595" s="104"/>
      <c r="Q595" s="327"/>
      <c r="R595" s="327"/>
      <c r="S595" s="197"/>
      <c r="T595" s="197"/>
      <c r="U595" s="197"/>
      <c r="V595" s="197"/>
      <c r="W595" s="197"/>
      <c r="X595" s="197"/>
      <c r="Y595" s="197"/>
      <c r="Z595" s="197"/>
      <c r="AA595" s="197"/>
      <c r="AB595" s="197"/>
      <c r="AC595" s="197"/>
    </row>
    <row r="596" spans="1:29" ht="21" customHeight="1">
      <c r="A596" s="187">
        <v>20</v>
      </c>
      <c r="B596" s="186" t="s">
        <v>69</v>
      </c>
      <c r="C596" s="326" t="s">
        <v>102</v>
      </c>
      <c r="D596" s="326"/>
      <c r="E596" s="150"/>
      <c r="F596" s="154" t="s">
        <v>71</v>
      </c>
      <c r="G596" s="203" t="s">
        <v>156</v>
      </c>
      <c r="H596" s="202" t="s">
        <v>156</v>
      </c>
      <c r="I596" s="202" t="s">
        <v>156</v>
      </c>
      <c r="J596" s="202" t="s">
        <v>156</v>
      </c>
      <c r="K596" s="202" t="s">
        <v>156</v>
      </c>
      <c r="L596" s="202" t="s">
        <v>156</v>
      </c>
      <c r="M596" s="93"/>
      <c r="N596" s="219"/>
      <c r="O596" s="195"/>
      <c r="P596" s="104"/>
      <c r="Q596" s="327"/>
      <c r="R596" s="327"/>
      <c r="S596" s="197"/>
      <c r="T596" s="197"/>
      <c r="U596" s="197"/>
      <c r="V596" s="197"/>
      <c r="W596" s="197"/>
      <c r="X596" s="197"/>
      <c r="Y596" s="197"/>
      <c r="Z596" s="197"/>
      <c r="AA596" s="197"/>
      <c r="AB596" s="197"/>
      <c r="AC596" s="197"/>
    </row>
    <row r="597" spans="1:29" ht="24.75" customHeight="1">
      <c r="A597" s="192" t="s">
        <v>128</v>
      </c>
      <c r="B597" s="104"/>
      <c r="C597" s="328" t="s">
        <v>130</v>
      </c>
      <c r="D597" s="328"/>
      <c r="E597" s="328"/>
      <c r="F597" s="328"/>
      <c r="G597" s="328"/>
      <c r="H597" s="328"/>
      <c r="I597" s="328"/>
      <c r="J597" s="328"/>
      <c r="K597" s="328"/>
      <c r="L597" s="328"/>
      <c r="M597" s="89"/>
      <c r="N597" s="219"/>
      <c r="O597" s="198"/>
      <c r="P597" s="104"/>
      <c r="Q597" s="329"/>
      <c r="R597" s="329"/>
      <c r="S597" s="329"/>
      <c r="T597" s="329"/>
      <c r="U597" s="329"/>
      <c r="V597" s="329"/>
      <c r="W597" s="329"/>
      <c r="X597" s="329"/>
      <c r="Y597" s="329"/>
      <c r="Z597" s="329"/>
      <c r="AA597" s="329"/>
      <c r="AB597" s="329"/>
      <c r="AC597" s="329"/>
    </row>
    <row r="598" spans="1:29" ht="33" customHeight="1">
      <c r="A598" s="189">
        <v>21</v>
      </c>
      <c r="B598" s="188" t="s">
        <v>69</v>
      </c>
      <c r="C598" s="307" t="s">
        <v>82</v>
      </c>
      <c r="D598" s="308"/>
      <c r="E598" s="182"/>
      <c r="F598" s="191" t="s">
        <v>71</v>
      </c>
      <c r="G598" s="201">
        <v>58</v>
      </c>
      <c r="H598" s="201">
        <v>40</v>
      </c>
      <c r="I598" s="201">
        <v>21</v>
      </c>
      <c r="J598" s="201">
        <v>58</v>
      </c>
      <c r="K598" s="201">
        <v>40</v>
      </c>
      <c r="L598" s="201">
        <v>21</v>
      </c>
      <c r="M598" s="89"/>
      <c r="N598" s="219"/>
      <c r="O598" s="199"/>
      <c r="P598" s="200"/>
      <c r="Q598" s="309"/>
      <c r="R598" s="309"/>
      <c r="S598" s="86"/>
      <c r="T598" s="86"/>
      <c r="U598" s="86"/>
      <c r="V598" s="86"/>
      <c r="W598" s="86"/>
      <c r="X598" s="86"/>
      <c r="Y598" s="86"/>
      <c r="Z598" s="86"/>
      <c r="AA598" s="86"/>
      <c r="AB598" s="86"/>
      <c r="AC598" s="86"/>
    </row>
    <row r="599" spans="1:29" ht="33" customHeight="1">
      <c r="A599" s="189">
        <v>22</v>
      </c>
      <c r="B599" s="188" t="s">
        <v>69</v>
      </c>
      <c r="C599" s="307" t="s">
        <v>103</v>
      </c>
      <c r="D599" s="308"/>
      <c r="E599" s="179"/>
      <c r="F599" s="191" t="s">
        <v>71</v>
      </c>
      <c r="G599" s="201">
        <v>9</v>
      </c>
      <c r="H599" s="201">
        <v>9</v>
      </c>
      <c r="I599" s="201">
        <v>7</v>
      </c>
      <c r="J599" s="201">
        <v>9</v>
      </c>
      <c r="K599" s="201">
        <v>9</v>
      </c>
      <c r="L599" s="201">
        <v>7</v>
      </c>
      <c r="M599" s="89"/>
      <c r="N599" s="219"/>
      <c r="O599" s="199"/>
      <c r="P599" s="200"/>
      <c r="Q599" s="309"/>
      <c r="R599" s="309"/>
      <c r="S599" s="86"/>
      <c r="T599" s="86"/>
      <c r="U599" s="86"/>
      <c r="V599" s="86"/>
      <c r="W599" s="86"/>
      <c r="X599" s="86"/>
      <c r="Y599" s="86"/>
      <c r="Z599" s="86"/>
      <c r="AA599" s="86"/>
      <c r="AB599" s="86"/>
      <c r="AC599" s="86"/>
    </row>
    <row r="600" spans="1:29" ht="33" customHeight="1">
      <c r="A600" s="189">
        <v>23</v>
      </c>
      <c r="B600" s="188" t="s">
        <v>69</v>
      </c>
      <c r="C600" s="307" t="s">
        <v>104</v>
      </c>
      <c r="D600" s="308"/>
      <c r="E600" s="179"/>
      <c r="F600" s="191" t="s">
        <v>71</v>
      </c>
      <c r="G600" s="201">
        <v>5</v>
      </c>
      <c r="H600" s="201">
        <v>1</v>
      </c>
      <c r="I600" s="201">
        <v>1</v>
      </c>
      <c r="J600" s="201">
        <v>5</v>
      </c>
      <c r="K600" s="201">
        <v>1</v>
      </c>
      <c r="L600" s="201">
        <v>1</v>
      </c>
      <c r="M600" s="89"/>
      <c r="N600" s="219"/>
      <c r="O600" s="199"/>
      <c r="P600" s="200"/>
      <c r="Q600" s="309"/>
      <c r="R600" s="309"/>
      <c r="S600" s="86"/>
      <c r="T600" s="86"/>
      <c r="U600" s="86"/>
      <c r="V600" s="86"/>
      <c r="W600" s="86"/>
      <c r="X600" s="86"/>
      <c r="Y600" s="86"/>
      <c r="Z600" s="86"/>
      <c r="AA600" s="86"/>
      <c r="AB600" s="86"/>
      <c r="AC600" s="86"/>
    </row>
    <row r="601" spans="1:29" ht="27.75" customHeight="1">
      <c r="A601" s="317" t="s">
        <v>135</v>
      </c>
      <c r="B601" s="318"/>
      <c r="C601" s="317" t="s">
        <v>68</v>
      </c>
      <c r="D601" s="318"/>
      <c r="E601" s="183"/>
      <c r="F601" s="321" t="s">
        <v>136</v>
      </c>
      <c r="G601" s="322" t="s">
        <v>155</v>
      </c>
      <c r="H601" s="323"/>
      <c r="I601" s="323"/>
      <c r="J601" s="322" t="s">
        <v>154</v>
      </c>
      <c r="K601" s="323"/>
      <c r="L601" s="324"/>
      <c r="M601" s="92"/>
      <c r="O601" s="325"/>
      <c r="P601" s="325"/>
      <c r="Q601" s="325"/>
      <c r="R601" s="325"/>
      <c r="S601" s="316"/>
      <c r="T601" s="316"/>
      <c r="U601" s="316"/>
      <c r="V601" s="316"/>
      <c r="W601" s="316"/>
      <c r="X601" s="316"/>
      <c r="Y601" s="316"/>
      <c r="Z601" s="316"/>
      <c r="AA601" s="316"/>
      <c r="AB601" s="316"/>
      <c r="AC601" s="316"/>
    </row>
    <row r="602" spans="1:29" ht="125.25" customHeight="1">
      <c r="A602" s="319"/>
      <c r="B602" s="320"/>
      <c r="C602" s="319"/>
      <c r="D602" s="320"/>
      <c r="E602" s="184"/>
      <c r="F602" s="321"/>
      <c r="G602" s="153" t="s">
        <v>151</v>
      </c>
      <c r="H602" s="153" t="s">
        <v>152</v>
      </c>
      <c r="I602" s="153" t="s">
        <v>153</v>
      </c>
      <c r="J602" s="153" t="s">
        <v>151</v>
      </c>
      <c r="K602" s="153" t="s">
        <v>152</v>
      </c>
      <c r="L602" s="153" t="s">
        <v>153</v>
      </c>
      <c r="O602" s="325"/>
      <c r="P602" s="325"/>
      <c r="Q602" s="325"/>
      <c r="R602" s="325"/>
      <c r="S602" s="193"/>
      <c r="T602" s="193"/>
      <c r="U602" s="193"/>
      <c r="V602" s="193"/>
      <c r="W602" s="193"/>
      <c r="X602" s="193"/>
      <c r="Y602" s="193"/>
      <c r="Z602" s="193"/>
      <c r="AA602" s="193"/>
      <c r="AB602" s="193"/>
      <c r="AC602" s="193"/>
    </row>
    <row r="603" spans="1:29" ht="30" customHeight="1">
      <c r="A603" s="189">
        <v>24</v>
      </c>
      <c r="B603" s="188" t="s">
        <v>69</v>
      </c>
      <c r="C603" s="307" t="s">
        <v>131</v>
      </c>
      <c r="D603" s="308"/>
      <c r="E603" s="179"/>
      <c r="F603" s="191" t="s">
        <v>71</v>
      </c>
      <c r="G603" s="202" t="s">
        <v>156</v>
      </c>
      <c r="H603" s="202" t="s">
        <v>156</v>
      </c>
      <c r="I603" s="202" t="s">
        <v>156</v>
      </c>
      <c r="J603" s="202" t="s">
        <v>156</v>
      </c>
      <c r="K603" s="202" t="s">
        <v>156</v>
      </c>
      <c r="L603" s="202" t="s">
        <v>156</v>
      </c>
      <c r="M603" s="89"/>
      <c r="N603" s="219"/>
      <c r="O603" s="199"/>
      <c r="P603" s="200"/>
      <c r="Q603" s="309"/>
      <c r="R603" s="309"/>
      <c r="S603" s="86"/>
      <c r="T603" s="86"/>
      <c r="U603" s="86"/>
      <c r="V603" s="86"/>
      <c r="W603" s="86"/>
      <c r="X603" s="86"/>
      <c r="Y603" s="86"/>
      <c r="Z603" s="86"/>
      <c r="AA603" s="86"/>
      <c r="AB603" s="86"/>
      <c r="AC603" s="86"/>
    </row>
    <row r="604" spans="1:29" ht="30" customHeight="1">
      <c r="A604" s="189">
        <v>25</v>
      </c>
      <c r="B604" s="188" t="s">
        <v>69</v>
      </c>
      <c r="C604" s="307" t="s">
        <v>83</v>
      </c>
      <c r="D604" s="308"/>
      <c r="E604" s="179"/>
      <c r="F604" s="191" t="s">
        <v>71</v>
      </c>
      <c r="G604" s="201">
        <v>25</v>
      </c>
      <c r="H604" s="201">
        <v>40</v>
      </c>
      <c r="I604" s="201">
        <v>22</v>
      </c>
      <c r="J604" s="201">
        <v>25</v>
      </c>
      <c r="K604" s="201">
        <v>40</v>
      </c>
      <c r="L604" s="201">
        <v>22</v>
      </c>
      <c r="M604" s="89"/>
      <c r="N604" s="219"/>
      <c r="O604" s="199"/>
      <c r="P604" s="200"/>
      <c r="Q604" s="309"/>
      <c r="R604" s="309"/>
      <c r="S604" s="86"/>
      <c r="T604" s="86"/>
      <c r="U604" s="86"/>
      <c r="V604" s="86"/>
      <c r="W604" s="86"/>
      <c r="X604" s="86"/>
      <c r="Y604" s="86"/>
      <c r="Z604" s="86"/>
      <c r="AA604" s="86"/>
      <c r="AB604" s="86"/>
      <c r="AC604" s="86"/>
    </row>
    <row r="605" spans="1:29" ht="30" customHeight="1">
      <c r="A605" s="189">
        <v>26</v>
      </c>
      <c r="B605" s="188" t="s">
        <v>69</v>
      </c>
      <c r="C605" s="307" t="s">
        <v>84</v>
      </c>
      <c r="D605" s="308"/>
      <c r="E605" s="179"/>
      <c r="F605" s="191" t="s">
        <v>71</v>
      </c>
      <c r="G605" s="201">
        <v>5</v>
      </c>
      <c r="H605" s="202" t="s">
        <v>156</v>
      </c>
      <c r="I605" s="202" t="s">
        <v>156</v>
      </c>
      <c r="J605" s="201">
        <v>5</v>
      </c>
      <c r="K605" s="202" t="s">
        <v>156</v>
      </c>
      <c r="L605" s="202" t="s">
        <v>156</v>
      </c>
      <c r="M605" s="89"/>
      <c r="N605" s="219"/>
      <c r="O605" s="199"/>
      <c r="P605" s="200"/>
      <c r="Q605" s="309"/>
      <c r="R605" s="309"/>
      <c r="S605" s="86"/>
      <c r="T605" s="86"/>
      <c r="U605" s="86"/>
      <c r="V605" s="86"/>
      <c r="W605" s="86"/>
      <c r="X605" s="86"/>
      <c r="Y605" s="86"/>
      <c r="Z605" s="86"/>
      <c r="AA605" s="86"/>
      <c r="AB605" s="86"/>
      <c r="AC605" s="86"/>
    </row>
    <row r="606" spans="1:29" ht="30" customHeight="1">
      <c r="A606" s="189">
        <v>27</v>
      </c>
      <c r="B606" s="188" t="s">
        <v>69</v>
      </c>
      <c r="C606" s="307" t="s">
        <v>85</v>
      </c>
      <c r="D606" s="308"/>
      <c r="E606" s="179"/>
      <c r="F606" s="191" t="s">
        <v>71</v>
      </c>
      <c r="G606" s="201">
        <v>3</v>
      </c>
      <c r="H606" s="201">
        <v>1</v>
      </c>
      <c r="I606" s="201">
        <v>8</v>
      </c>
      <c r="J606" s="201">
        <v>3</v>
      </c>
      <c r="K606" s="201">
        <v>1</v>
      </c>
      <c r="L606" s="201">
        <v>8</v>
      </c>
      <c r="M606" s="89"/>
      <c r="N606" s="219"/>
      <c r="O606" s="199"/>
      <c r="P606" s="200"/>
      <c r="Q606" s="309"/>
      <c r="R606" s="309"/>
      <c r="S606" s="86"/>
      <c r="T606" s="86"/>
      <c r="U606" s="86"/>
      <c r="V606" s="86"/>
      <c r="W606" s="86"/>
      <c r="X606" s="86"/>
      <c r="Y606" s="86"/>
      <c r="Z606" s="86"/>
      <c r="AA606" s="86"/>
      <c r="AB606" s="86"/>
      <c r="AC606" s="86"/>
    </row>
    <row r="607" spans="1:29" ht="30" customHeight="1">
      <c r="A607" s="189">
        <v>28</v>
      </c>
      <c r="B607" s="188" t="s">
        <v>69</v>
      </c>
      <c r="C607" s="307" t="s">
        <v>132</v>
      </c>
      <c r="D607" s="308"/>
      <c r="E607" s="179"/>
      <c r="F607" s="191" t="s">
        <v>71</v>
      </c>
      <c r="G607" s="202" t="s">
        <v>156</v>
      </c>
      <c r="H607" s="202" t="s">
        <v>156</v>
      </c>
      <c r="I607" s="202" t="s">
        <v>156</v>
      </c>
      <c r="J607" s="202" t="s">
        <v>156</v>
      </c>
      <c r="K607" s="202" t="s">
        <v>156</v>
      </c>
      <c r="L607" s="202" t="s">
        <v>156</v>
      </c>
      <c r="M607" s="89"/>
      <c r="N607" s="219"/>
      <c r="O607" s="199"/>
      <c r="P607" s="200"/>
      <c r="Q607" s="309"/>
      <c r="R607" s="309"/>
      <c r="S607" s="86"/>
      <c r="T607" s="86"/>
      <c r="U607" s="86"/>
      <c r="V607" s="86"/>
      <c r="W607" s="86"/>
      <c r="X607" s="86"/>
      <c r="Y607" s="86"/>
      <c r="Z607" s="86"/>
      <c r="AA607" s="86"/>
      <c r="AB607" s="86"/>
      <c r="AC607" s="86"/>
    </row>
    <row r="608" spans="1:29" ht="30" customHeight="1">
      <c r="A608" s="189">
        <v>29</v>
      </c>
      <c r="B608" s="188" t="s">
        <v>69</v>
      </c>
      <c r="C608" s="307" t="s">
        <v>86</v>
      </c>
      <c r="D608" s="308"/>
      <c r="E608" s="179"/>
      <c r="F608" s="191" t="s">
        <v>71</v>
      </c>
      <c r="G608" s="201">
        <v>10</v>
      </c>
      <c r="H608" s="201">
        <v>12</v>
      </c>
      <c r="I608" s="201">
        <v>9</v>
      </c>
      <c r="J608" s="201">
        <v>10</v>
      </c>
      <c r="K608" s="201">
        <v>12</v>
      </c>
      <c r="L608" s="201">
        <v>9</v>
      </c>
      <c r="M608" s="89"/>
      <c r="N608" s="219"/>
      <c r="O608" s="199"/>
      <c r="P608" s="200"/>
      <c r="Q608" s="309"/>
      <c r="R608" s="309"/>
      <c r="S608" s="86"/>
      <c r="T608" s="86"/>
      <c r="U608" s="86"/>
      <c r="V608" s="86"/>
      <c r="W608" s="86"/>
      <c r="X608" s="86"/>
      <c r="Y608" s="86"/>
      <c r="Z608" s="86"/>
      <c r="AA608" s="86"/>
      <c r="AB608" s="86"/>
      <c r="AC608" s="86"/>
    </row>
    <row r="609" spans="1:29" ht="30" customHeight="1">
      <c r="A609" s="189">
        <v>30</v>
      </c>
      <c r="B609" s="188" t="s">
        <v>69</v>
      </c>
      <c r="C609" s="307" t="s">
        <v>87</v>
      </c>
      <c r="D609" s="308"/>
      <c r="E609" s="179"/>
      <c r="F609" s="191" t="s">
        <v>71</v>
      </c>
      <c r="G609" s="202" t="s">
        <v>156</v>
      </c>
      <c r="H609" s="202" t="s">
        <v>156</v>
      </c>
      <c r="I609" s="202" t="s">
        <v>156</v>
      </c>
      <c r="J609" s="202" t="s">
        <v>156</v>
      </c>
      <c r="K609" s="202" t="s">
        <v>156</v>
      </c>
      <c r="L609" s="202" t="s">
        <v>156</v>
      </c>
      <c r="M609" s="89"/>
      <c r="N609" s="219"/>
      <c r="O609" s="199"/>
      <c r="P609" s="200"/>
      <c r="Q609" s="309"/>
      <c r="R609" s="309"/>
      <c r="S609" s="86"/>
      <c r="T609" s="86"/>
      <c r="U609" s="86"/>
      <c r="V609" s="86"/>
      <c r="W609" s="86"/>
      <c r="X609" s="86"/>
      <c r="Y609" s="86"/>
      <c r="Z609" s="86"/>
      <c r="AA609" s="86"/>
      <c r="AB609" s="86"/>
      <c r="AC609" s="86"/>
    </row>
    <row r="610" spans="1:29" ht="30" customHeight="1">
      <c r="A610" s="189">
        <v>31</v>
      </c>
      <c r="B610" s="188" t="s">
        <v>69</v>
      </c>
      <c r="C610" s="307" t="s">
        <v>105</v>
      </c>
      <c r="D610" s="308"/>
      <c r="E610" s="179"/>
      <c r="F610" s="191" t="s">
        <v>71</v>
      </c>
      <c r="G610" s="201">
        <v>2</v>
      </c>
      <c r="H610" s="203" t="s">
        <v>156</v>
      </c>
      <c r="I610" s="201">
        <v>8</v>
      </c>
      <c r="J610" s="201">
        <v>2</v>
      </c>
      <c r="K610" s="203" t="s">
        <v>156</v>
      </c>
      <c r="L610" s="201">
        <v>8</v>
      </c>
      <c r="M610" s="89"/>
      <c r="N610" s="219"/>
      <c r="O610" s="199"/>
      <c r="P610" s="200"/>
      <c r="Q610" s="309"/>
      <c r="R610" s="309"/>
      <c r="S610" s="86"/>
      <c r="T610" s="86"/>
      <c r="U610" s="86"/>
      <c r="V610" s="86"/>
      <c r="W610" s="86"/>
      <c r="X610" s="86"/>
      <c r="Y610" s="86"/>
      <c r="Z610" s="86"/>
      <c r="AA610" s="86"/>
      <c r="AB610" s="86"/>
      <c r="AC610" s="86"/>
    </row>
    <row r="611" spans="1:29" ht="30" customHeight="1">
      <c r="A611" s="189">
        <v>32</v>
      </c>
      <c r="B611" s="188" t="s">
        <v>69</v>
      </c>
      <c r="C611" s="307" t="s">
        <v>133</v>
      </c>
      <c r="D611" s="308"/>
      <c r="E611" s="179"/>
      <c r="F611" s="191" t="s">
        <v>71</v>
      </c>
      <c r="G611" s="202" t="s">
        <v>156</v>
      </c>
      <c r="H611" s="202" t="s">
        <v>156</v>
      </c>
      <c r="I611" s="202" t="s">
        <v>156</v>
      </c>
      <c r="J611" s="202" t="s">
        <v>156</v>
      </c>
      <c r="K611" s="202" t="s">
        <v>156</v>
      </c>
      <c r="L611" s="202" t="s">
        <v>156</v>
      </c>
      <c r="M611" s="89"/>
      <c r="N611" s="219"/>
      <c r="O611" s="199"/>
      <c r="P611" s="200"/>
      <c r="Q611" s="309"/>
      <c r="R611" s="309"/>
      <c r="S611" s="86"/>
      <c r="T611" s="86"/>
      <c r="U611" s="86"/>
      <c r="V611" s="86"/>
      <c r="W611" s="86"/>
      <c r="X611" s="86"/>
      <c r="Y611" s="86"/>
      <c r="Z611" s="86"/>
      <c r="AA611" s="86"/>
      <c r="AB611" s="86"/>
      <c r="AC611" s="86"/>
    </row>
    <row r="612" spans="1:29" ht="30" customHeight="1">
      <c r="A612" s="189">
        <v>33</v>
      </c>
      <c r="B612" s="188" t="s">
        <v>69</v>
      </c>
      <c r="C612" s="307" t="s">
        <v>88</v>
      </c>
      <c r="D612" s="308"/>
      <c r="E612" s="179"/>
      <c r="F612" s="191" t="s">
        <v>71</v>
      </c>
      <c r="G612" s="201">
        <v>3</v>
      </c>
      <c r="H612" s="201">
        <v>7</v>
      </c>
      <c r="I612" s="201">
        <v>7</v>
      </c>
      <c r="J612" s="201">
        <v>3</v>
      </c>
      <c r="K612" s="201">
        <v>7</v>
      </c>
      <c r="L612" s="201">
        <v>7</v>
      </c>
      <c r="M612" s="89"/>
      <c r="N612" s="219"/>
      <c r="O612" s="199"/>
      <c r="P612" s="200"/>
      <c r="Q612" s="309"/>
      <c r="R612" s="309"/>
      <c r="S612" s="86"/>
      <c r="T612" s="86"/>
      <c r="U612" s="86"/>
      <c r="V612" s="86"/>
      <c r="W612" s="86"/>
      <c r="X612" s="86"/>
      <c r="Y612" s="86"/>
      <c r="Z612" s="86"/>
      <c r="AA612" s="86"/>
      <c r="AB612" s="86"/>
      <c r="AC612" s="86"/>
    </row>
    <row r="613" spans="1:29" ht="30" customHeight="1">
      <c r="A613" s="189">
        <v>34</v>
      </c>
      <c r="B613" s="188" t="s">
        <v>69</v>
      </c>
      <c r="C613" s="307" t="s">
        <v>89</v>
      </c>
      <c r="D613" s="308"/>
      <c r="E613" s="179"/>
      <c r="F613" s="191" t="s">
        <v>71</v>
      </c>
      <c r="G613" s="202" t="s">
        <v>156</v>
      </c>
      <c r="H613" s="202" t="s">
        <v>156</v>
      </c>
      <c r="I613" s="202" t="s">
        <v>156</v>
      </c>
      <c r="J613" s="202" t="s">
        <v>156</v>
      </c>
      <c r="K613" s="202" t="s">
        <v>156</v>
      </c>
      <c r="L613" s="202" t="s">
        <v>156</v>
      </c>
      <c r="M613" s="89"/>
      <c r="N613" s="219"/>
      <c r="O613" s="199"/>
      <c r="P613" s="200"/>
      <c r="Q613" s="309"/>
      <c r="R613" s="309"/>
      <c r="S613" s="86"/>
      <c r="T613" s="86"/>
      <c r="U613" s="86"/>
      <c r="V613" s="86"/>
      <c r="W613" s="86"/>
      <c r="X613" s="86"/>
      <c r="Y613" s="86"/>
      <c r="Z613" s="86"/>
      <c r="AA613" s="86"/>
      <c r="AB613" s="86"/>
      <c r="AC613" s="86"/>
    </row>
    <row r="614" spans="1:29" ht="30" customHeight="1">
      <c r="A614" s="189">
        <v>35</v>
      </c>
      <c r="B614" s="188" t="s">
        <v>69</v>
      </c>
      <c r="C614" s="307" t="s">
        <v>140</v>
      </c>
      <c r="D614" s="308"/>
      <c r="E614" s="179"/>
      <c r="F614" s="191" t="s">
        <v>71</v>
      </c>
      <c r="G614" s="202" t="s">
        <v>156</v>
      </c>
      <c r="H614" s="202" t="s">
        <v>156</v>
      </c>
      <c r="I614" s="201">
        <v>3</v>
      </c>
      <c r="J614" s="202" t="s">
        <v>156</v>
      </c>
      <c r="K614" s="202" t="s">
        <v>156</v>
      </c>
      <c r="L614" s="201">
        <v>3</v>
      </c>
      <c r="M614" s="89"/>
      <c r="N614" s="220"/>
      <c r="O614" s="199"/>
      <c r="P614" s="200"/>
      <c r="Q614" s="309"/>
      <c r="R614" s="309"/>
      <c r="S614" s="86"/>
      <c r="T614" s="86"/>
      <c r="U614" s="86"/>
      <c r="V614" s="86"/>
      <c r="W614" s="86"/>
      <c r="X614" s="86"/>
      <c r="Y614" s="86"/>
      <c r="Z614" s="86"/>
      <c r="AA614" s="86"/>
      <c r="AB614" s="86"/>
      <c r="AC614" s="86"/>
    </row>
    <row r="615" spans="1:29" ht="30" customHeight="1">
      <c r="A615" s="189">
        <v>36</v>
      </c>
      <c r="B615" s="188" t="s">
        <v>69</v>
      </c>
      <c r="C615" s="307" t="s">
        <v>134</v>
      </c>
      <c r="D615" s="308"/>
      <c r="E615" s="179"/>
      <c r="F615" s="191" t="s">
        <v>71</v>
      </c>
      <c r="G615" s="202" t="s">
        <v>156</v>
      </c>
      <c r="H615" s="202" t="s">
        <v>156</v>
      </c>
      <c r="I615" s="202" t="s">
        <v>156</v>
      </c>
      <c r="J615" s="202" t="s">
        <v>156</v>
      </c>
      <c r="K615" s="202" t="s">
        <v>156</v>
      </c>
      <c r="L615" s="202" t="s">
        <v>156</v>
      </c>
      <c r="M615" s="89"/>
      <c r="N615" s="220"/>
      <c r="O615" s="199"/>
      <c r="P615" s="200"/>
      <c r="Q615" s="309"/>
      <c r="R615" s="309"/>
      <c r="S615" s="86"/>
      <c r="T615" s="86"/>
      <c r="U615" s="86"/>
      <c r="V615" s="86"/>
      <c r="W615" s="86"/>
      <c r="X615" s="86"/>
      <c r="Y615" s="86"/>
      <c r="Z615" s="86"/>
      <c r="AA615" s="86"/>
      <c r="AB615" s="86"/>
      <c r="AC615" s="86"/>
    </row>
    <row r="616" spans="1:29" ht="30" customHeight="1">
      <c r="A616" s="189">
        <v>37</v>
      </c>
      <c r="B616" s="188" t="s">
        <v>69</v>
      </c>
      <c r="C616" s="307" t="s">
        <v>90</v>
      </c>
      <c r="D616" s="308"/>
      <c r="E616" s="179"/>
      <c r="F616" s="191" t="s">
        <v>71</v>
      </c>
      <c r="G616" s="202" t="s">
        <v>156</v>
      </c>
      <c r="H616" s="202" t="s">
        <v>156</v>
      </c>
      <c r="I616" s="202" t="s">
        <v>156</v>
      </c>
      <c r="J616" s="202" t="s">
        <v>156</v>
      </c>
      <c r="K616" s="202" t="s">
        <v>156</v>
      </c>
      <c r="L616" s="202" t="s">
        <v>156</v>
      </c>
      <c r="M616" s="89"/>
      <c r="N616" s="220"/>
      <c r="O616" s="199"/>
      <c r="P616" s="200"/>
      <c r="Q616" s="309"/>
      <c r="R616" s="309"/>
      <c r="S616" s="86"/>
      <c r="T616" s="86"/>
      <c r="U616" s="86"/>
      <c r="V616" s="86"/>
      <c r="W616" s="86"/>
      <c r="X616" s="86"/>
      <c r="Y616" s="86"/>
      <c r="Z616" s="86"/>
      <c r="AA616" s="86"/>
      <c r="AB616" s="86"/>
      <c r="AC616" s="86"/>
    </row>
    <row r="617" spans="1:29" ht="30" customHeight="1">
      <c r="A617" s="189">
        <v>38</v>
      </c>
      <c r="B617" s="188" t="s">
        <v>69</v>
      </c>
      <c r="C617" s="307" t="s">
        <v>106</v>
      </c>
      <c r="D617" s="308"/>
      <c r="E617" s="150"/>
      <c r="F617" s="191" t="s">
        <v>71</v>
      </c>
      <c r="G617" s="202" t="s">
        <v>156</v>
      </c>
      <c r="H617" s="202" t="s">
        <v>156</v>
      </c>
      <c r="I617" s="202" t="s">
        <v>156</v>
      </c>
      <c r="J617" s="202" t="s">
        <v>156</v>
      </c>
      <c r="K617" s="202" t="s">
        <v>156</v>
      </c>
      <c r="L617" s="202" t="s">
        <v>156</v>
      </c>
      <c r="M617" s="89"/>
      <c r="N617" s="220"/>
      <c r="O617" s="199"/>
      <c r="P617" s="200"/>
      <c r="Q617" s="309"/>
      <c r="R617" s="309"/>
      <c r="S617" s="86"/>
      <c r="T617" s="86"/>
      <c r="U617" s="86"/>
      <c r="V617" s="86"/>
      <c r="W617" s="86"/>
      <c r="X617" s="86"/>
      <c r="Y617" s="86"/>
      <c r="Z617" s="86"/>
      <c r="AA617" s="86"/>
      <c r="AB617" s="86"/>
      <c r="AC617" s="86"/>
    </row>
    <row r="618" spans="1:29" ht="25.5" customHeight="1">
      <c r="A618" s="310" t="s">
        <v>92</v>
      </c>
      <c r="B618" s="310"/>
      <c r="C618" s="310"/>
      <c r="D618" s="310"/>
      <c r="E618" s="310"/>
      <c r="F618" s="310"/>
      <c r="G618" s="310"/>
      <c r="H618" s="310"/>
      <c r="I618" s="310"/>
      <c r="J618" s="310"/>
      <c r="K618" s="310"/>
      <c r="L618" s="310"/>
      <c r="M618" s="92"/>
    </row>
    <row r="619" spans="1:29" ht="19.5" customHeight="1">
      <c r="A619" s="139"/>
      <c r="B619" s="139"/>
      <c r="C619" s="140"/>
      <c r="D619" s="140" t="s">
        <v>145</v>
      </c>
      <c r="E619" s="140"/>
      <c r="F619" s="152" t="s">
        <v>54</v>
      </c>
      <c r="G619" s="152"/>
      <c r="H619" s="152"/>
      <c r="I619" s="152"/>
      <c r="J619" s="152" t="s">
        <v>144</v>
      </c>
      <c r="K619" s="152"/>
      <c r="L619" s="140"/>
      <c r="M619" s="94"/>
    </row>
    <row r="620" spans="1:29" ht="28.5" customHeight="1">
      <c r="A620" s="310" t="s">
        <v>93</v>
      </c>
      <c r="B620" s="310"/>
      <c r="C620" s="310"/>
      <c r="D620" s="310"/>
      <c r="E620" s="310"/>
      <c r="F620" s="310"/>
      <c r="G620" s="310"/>
      <c r="H620" s="310"/>
      <c r="I620" s="310"/>
      <c r="J620" s="310"/>
      <c r="K620" s="310"/>
      <c r="L620" s="310"/>
      <c r="M620" s="92"/>
      <c r="N620" s="311"/>
      <c r="O620" s="311"/>
      <c r="P620" s="311"/>
    </row>
    <row r="621" spans="1:29" ht="20.25" customHeight="1">
      <c r="A621" s="139"/>
      <c r="B621" s="139"/>
      <c r="C621" s="139"/>
      <c r="D621" s="140" t="s">
        <v>145</v>
      </c>
      <c r="E621" s="140"/>
      <c r="F621" s="152" t="s">
        <v>54</v>
      </c>
      <c r="G621" s="152"/>
      <c r="H621" s="152"/>
      <c r="I621" s="152"/>
      <c r="J621" s="152" t="s">
        <v>144</v>
      </c>
      <c r="K621" s="152"/>
      <c r="L621" s="139"/>
      <c r="M621" s="94"/>
      <c r="N621" s="221"/>
      <c r="O621" s="95"/>
      <c r="P621" s="95"/>
    </row>
    <row r="622" spans="1:29" ht="26.25" customHeight="1">
      <c r="A622" s="312" t="s">
        <v>94</v>
      </c>
      <c r="B622" s="312"/>
      <c r="C622" s="312"/>
      <c r="D622" s="312"/>
      <c r="E622" s="312"/>
      <c r="F622" s="312"/>
      <c r="G622" s="312"/>
      <c r="H622" s="312"/>
      <c r="I622" s="312"/>
      <c r="J622" s="312"/>
      <c r="K622" s="312"/>
      <c r="L622" s="312"/>
      <c r="M622" s="92"/>
    </row>
    <row r="623" spans="1:29" ht="22.5" customHeight="1">
      <c r="A623" s="120"/>
      <c r="B623" s="120"/>
      <c r="C623" s="120"/>
      <c r="D623" s="120"/>
      <c r="E623" s="120"/>
      <c r="F623" s="120"/>
      <c r="G623" s="120"/>
      <c r="H623" s="120"/>
      <c r="I623" s="120"/>
      <c r="J623" s="120"/>
      <c r="K623" s="120"/>
      <c r="L623" s="120"/>
      <c r="M623" s="94"/>
    </row>
    <row r="624" spans="1:29" ht="22.5" customHeight="1">
      <c r="A624" s="313" t="s">
        <v>95</v>
      </c>
      <c r="B624" s="313"/>
      <c r="C624" s="313"/>
      <c r="D624" s="313"/>
      <c r="E624" s="313"/>
      <c r="F624" s="313"/>
      <c r="G624" s="313"/>
      <c r="H624" s="313"/>
      <c r="I624" s="313"/>
      <c r="J624" s="313"/>
      <c r="K624" s="313"/>
      <c r="L624" s="313"/>
      <c r="M624" s="92"/>
    </row>
    <row r="625" spans="1:16" ht="19.5" customHeight="1">
      <c r="A625" s="97"/>
      <c r="B625" s="97"/>
      <c r="C625" s="145"/>
      <c r="D625" s="97"/>
      <c r="E625" s="97"/>
      <c r="F625" s="97"/>
      <c r="G625" s="97"/>
      <c r="H625" s="97"/>
      <c r="I625" s="97"/>
      <c r="J625" s="97"/>
      <c r="K625" s="97"/>
      <c r="L625" s="97"/>
      <c r="M625" s="94"/>
    </row>
    <row r="626" spans="1:16" ht="15.75">
      <c r="A626" s="94"/>
      <c r="B626" s="94"/>
      <c r="C626" s="146"/>
      <c r="D626" s="94"/>
      <c r="E626" s="94"/>
      <c r="F626" s="94"/>
      <c r="G626" s="94"/>
      <c r="H626" s="94"/>
      <c r="I626" s="94"/>
      <c r="J626" s="94"/>
      <c r="K626" s="94"/>
      <c r="L626" s="94"/>
      <c r="M626" s="94"/>
    </row>
    <row r="627" spans="1:16" ht="31.5" customHeight="1">
      <c r="A627" s="314" t="s">
        <v>96</v>
      </c>
      <c r="B627" s="314"/>
      <c r="C627" s="314"/>
      <c r="D627" s="314"/>
      <c r="E627" s="98"/>
      <c r="F627" s="98"/>
      <c r="G627" s="98"/>
      <c r="H627" s="315" t="s">
        <v>97</v>
      </c>
      <c r="I627" s="315"/>
      <c r="J627" s="315"/>
      <c r="K627" s="315"/>
      <c r="L627" s="315"/>
      <c r="M627" s="94"/>
    </row>
    <row r="628" spans="1:16" ht="95.1" customHeight="1">
      <c r="A628" s="99"/>
      <c r="B628" s="101" t="str">
        <f>B558</f>
        <v>Ông Huỳnh Phước Hải        ….............</v>
      </c>
      <c r="C628" s="147"/>
      <c r="D628" s="99"/>
      <c r="E628" s="81"/>
      <c r="F628" s="100"/>
      <c r="G628" s="100"/>
      <c r="H628" s="306" t="str">
        <f>H558</f>
        <v>Ông Phạm Tấn Việt          …..................</v>
      </c>
      <c r="I628" s="306"/>
      <c r="J628" s="306"/>
      <c r="K628" s="306"/>
      <c r="L628" s="306"/>
      <c r="M628" s="94"/>
    </row>
    <row r="629" spans="1:16" ht="24" customHeight="1">
      <c r="A629" s="99"/>
      <c r="B629" s="101"/>
      <c r="C629" s="147"/>
      <c r="D629" s="99"/>
      <c r="E629" s="81"/>
      <c r="F629" s="100"/>
      <c r="G629" s="100"/>
      <c r="H629" s="204"/>
      <c r="I629" s="204"/>
      <c r="J629" s="204"/>
      <c r="K629" s="204"/>
      <c r="L629" s="204"/>
      <c r="M629" s="94"/>
    </row>
    <row r="630" spans="1:16" ht="21.75" customHeight="1">
      <c r="A630" s="348" t="s">
        <v>165</v>
      </c>
      <c r="B630" s="348"/>
      <c r="C630" s="348"/>
      <c r="D630" s="348"/>
      <c r="E630" s="348"/>
      <c r="F630" s="348"/>
      <c r="G630" s="348"/>
      <c r="H630" s="348"/>
      <c r="I630" s="348"/>
      <c r="J630" s="348"/>
      <c r="K630" s="348"/>
      <c r="L630" s="348"/>
      <c r="M630" s="82"/>
    </row>
    <row r="631" spans="1:16" ht="19.5">
      <c r="A631" s="84" t="str">
        <f>"Ngày "&amp;N632&amp;" tháng "&amp;O3&amp;" năm "&amp;P3&amp;""</f>
        <v>Ngày 10 tháng 07 năm 2026</v>
      </c>
      <c r="B631" s="84"/>
      <c r="C631" s="85"/>
      <c r="N631" s="216"/>
      <c r="O631" s="20"/>
      <c r="P631" s="20"/>
    </row>
    <row r="632" spans="1:16" ht="16.5">
      <c r="A632" s="337" t="s">
        <v>57</v>
      </c>
      <c r="B632" s="337"/>
      <c r="C632" s="337"/>
      <c r="D632" s="311"/>
      <c r="E632" s="311"/>
      <c r="F632" s="311"/>
      <c r="G632" s="95"/>
      <c r="H632" s="95"/>
      <c r="I632" s="95"/>
      <c r="J632" s="95"/>
      <c r="K632" s="95"/>
      <c r="L632" s="95"/>
      <c r="N632" s="217" t="s">
        <v>172</v>
      </c>
      <c r="O632" s="214"/>
      <c r="P632" s="17"/>
    </row>
    <row r="633" spans="1:16" ht="15.75" customHeight="1">
      <c r="A633" s="338"/>
      <c r="B633" s="338"/>
      <c r="C633" s="338"/>
      <c r="D633" s="339" t="s">
        <v>58</v>
      </c>
      <c r="E633" s="340"/>
      <c r="F633" s="340"/>
      <c r="G633" s="340"/>
      <c r="H633" s="341"/>
      <c r="I633" s="339" t="s">
        <v>59</v>
      </c>
      <c r="J633" s="340"/>
      <c r="K633" s="340"/>
      <c r="L633" s="341"/>
    </row>
    <row r="634" spans="1:16" ht="19.5" customHeight="1">
      <c r="A634" s="342" t="s">
        <v>60</v>
      </c>
      <c r="B634" s="342"/>
      <c r="C634" s="342"/>
      <c r="D634" s="343" t="s">
        <v>54</v>
      </c>
      <c r="E634" s="344"/>
      <c r="F634" s="344"/>
      <c r="G634" s="344"/>
      <c r="H634" s="345"/>
      <c r="I634" s="343" t="s">
        <v>54</v>
      </c>
      <c r="J634" s="344"/>
      <c r="K634" s="344"/>
      <c r="L634" s="345"/>
    </row>
    <row r="635" spans="1:16" ht="22.5" customHeight="1">
      <c r="A635" s="342" t="s">
        <v>61</v>
      </c>
      <c r="B635" s="342"/>
      <c r="C635" s="342"/>
      <c r="D635" s="343" t="s">
        <v>163</v>
      </c>
      <c r="E635" s="344"/>
      <c r="F635" s="344"/>
      <c r="G635" s="344"/>
      <c r="H635" s="345"/>
      <c r="I635" s="343" t="str">
        <f>D635</f>
        <v>31° - 34°</v>
      </c>
      <c r="J635" s="344"/>
      <c r="K635" s="344"/>
      <c r="L635" s="345"/>
    </row>
    <row r="636" spans="1:16" s="87" customFormat="1" ht="19.5" customHeight="1">
      <c r="A636" s="310" t="s">
        <v>62</v>
      </c>
      <c r="B636" s="310"/>
      <c r="C636" s="310"/>
      <c r="D636" s="310"/>
      <c r="E636" s="310"/>
      <c r="F636" s="310"/>
      <c r="G636" s="310"/>
      <c r="H636" s="310"/>
      <c r="I636" s="310"/>
      <c r="J636" s="310"/>
      <c r="K636" s="310"/>
      <c r="L636" s="310"/>
      <c r="M636" s="85"/>
      <c r="N636" s="218"/>
    </row>
    <row r="637" spans="1:16" s="87" customFormat="1" ht="15.75">
      <c r="A637" s="332" t="s">
        <v>63</v>
      </c>
      <c r="B637" s="332"/>
      <c r="C637" s="332"/>
      <c r="D637" s="332"/>
      <c r="E637" s="332"/>
      <c r="F637" s="332"/>
      <c r="G637" s="332"/>
      <c r="H637" s="332"/>
      <c r="I637" s="332"/>
      <c r="J637" s="332"/>
      <c r="K637" s="332"/>
      <c r="L637" s="332"/>
      <c r="M637" s="85"/>
      <c r="N637" s="218"/>
    </row>
    <row r="638" spans="1:16" s="87" customFormat="1" ht="20.100000000000001" customHeight="1">
      <c r="A638" s="88"/>
      <c r="B638" s="88"/>
      <c r="C638" s="333" t="s">
        <v>64</v>
      </c>
      <c r="D638" s="334"/>
      <c r="E638" s="334"/>
      <c r="F638" s="334"/>
      <c r="G638" s="334"/>
      <c r="H638" s="334"/>
      <c r="I638" s="334"/>
      <c r="J638" s="334"/>
      <c r="K638" s="334"/>
      <c r="L638" s="334"/>
      <c r="M638" s="85"/>
      <c r="N638" s="218"/>
    </row>
    <row r="639" spans="1:16" s="87" customFormat="1" ht="20.100000000000001" customHeight="1">
      <c r="A639" s="88"/>
      <c r="B639" s="88"/>
      <c r="C639" s="333" t="s">
        <v>65</v>
      </c>
      <c r="D639" s="334"/>
      <c r="E639" s="334"/>
      <c r="F639" s="334"/>
      <c r="G639" s="334"/>
      <c r="H639" s="334"/>
      <c r="I639" s="334"/>
      <c r="J639" s="334"/>
      <c r="K639" s="334"/>
      <c r="L639" s="334"/>
      <c r="M639" s="85"/>
      <c r="N639" s="218"/>
    </row>
    <row r="640" spans="1:16" s="87" customFormat="1" ht="17.25" customHeight="1">
      <c r="A640" s="335" t="s">
        <v>66</v>
      </c>
      <c r="B640" s="335"/>
      <c r="C640" s="335"/>
      <c r="D640" s="335"/>
      <c r="E640" s="335"/>
      <c r="F640" s="335"/>
      <c r="G640" s="335"/>
      <c r="H640" s="335"/>
      <c r="I640" s="335"/>
      <c r="J640" s="335"/>
      <c r="K640" s="335"/>
      <c r="L640" s="335"/>
      <c r="M640" s="85"/>
      <c r="N640" s="218"/>
    </row>
    <row r="641" spans="1:29" s="87" customFormat="1" ht="7.5" customHeight="1">
      <c r="A641" s="119"/>
      <c r="B641" s="119"/>
      <c r="C641" s="119"/>
      <c r="D641" s="119"/>
      <c r="E641" s="119"/>
      <c r="F641" s="119"/>
      <c r="G641" s="119"/>
      <c r="H641" s="119"/>
      <c r="I641" s="119"/>
      <c r="J641" s="119"/>
      <c r="K641" s="119"/>
      <c r="L641" s="119"/>
      <c r="M641" s="85"/>
      <c r="N641" s="218"/>
    </row>
    <row r="642" spans="1:29" ht="15.75">
      <c r="A642" s="336" t="s">
        <v>67</v>
      </c>
      <c r="B642" s="336"/>
      <c r="C642" s="336"/>
      <c r="D642" s="336"/>
      <c r="E642" s="336"/>
      <c r="F642" s="336"/>
      <c r="G642" s="336"/>
      <c r="H642" s="336"/>
      <c r="I642" s="336"/>
      <c r="J642" s="336"/>
      <c r="K642" s="336"/>
      <c r="L642" s="336"/>
    </row>
    <row r="643" spans="1:29" ht="2.25" customHeight="1">
      <c r="A643" s="141"/>
      <c r="B643" s="141"/>
      <c r="C643" s="141"/>
      <c r="D643" s="141"/>
      <c r="E643" s="141"/>
      <c r="F643" s="141"/>
      <c r="G643" s="155"/>
      <c r="H643" s="155"/>
      <c r="I643" s="155"/>
      <c r="J643" s="155"/>
      <c r="K643" s="155"/>
      <c r="L643" s="155"/>
    </row>
    <row r="644" spans="1:29" ht="27.75" customHeight="1">
      <c r="A644" s="317" t="s">
        <v>135</v>
      </c>
      <c r="B644" s="318"/>
      <c r="C644" s="317" t="s">
        <v>68</v>
      </c>
      <c r="D644" s="318"/>
      <c r="E644" s="183"/>
      <c r="F644" s="321" t="s">
        <v>136</v>
      </c>
      <c r="G644" s="322" t="s">
        <v>155</v>
      </c>
      <c r="H644" s="323"/>
      <c r="I644" s="323"/>
      <c r="J644" s="322" t="s">
        <v>154</v>
      </c>
      <c r="K644" s="323"/>
      <c r="L644" s="324"/>
      <c r="M644" s="92"/>
      <c r="O644" s="325"/>
      <c r="P644" s="325"/>
      <c r="Q644" s="325"/>
      <c r="R644" s="325"/>
      <c r="S644" s="316"/>
      <c r="T644" s="316"/>
      <c r="U644" s="316"/>
      <c r="V644" s="316"/>
      <c r="W644" s="316"/>
      <c r="X644" s="316"/>
      <c r="Y644" s="316"/>
      <c r="Z644" s="316"/>
      <c r="AA644" s="316"/>
      <c r="AB644" s="316"/>
      <c r="AC644" s="316"/>
    </row>
    <row r="645" spans="1:29" ht="125.25" customHeight="1">
      <c r="A645" s="319"/>
      <c r="B645" s="320"/>
      <c r="C645" s="319"/>
      <c r="D645" s="320"/>
      <c r="E645" s="184"/>
      <c r="F645" s="321"/>
      <c r="G645" s="153" t="s">
        <v>151</v>
      </c>
      <c r="H645" s="153" t="s">
        <v>152</v>
      </c>
      <c r="I645" s="153" t="s">
        <v>153</v>
      </c>
      <c r="J645" s="153" t="s">
        <v>151</v>
      </c>
      <c r="K645" s="153" t="s">
        <v>152</v>
      </c>
      <c r="L645" s="153" t="s">
        <v>153</v>
      </c>
      <c r="O645" s="325"/>
      <c r="P645" s="325"/>
      <c r="Q645" s="325"/>
      <c r="R645" s="325"/>
      <c r="S645" s="193"/>
      <c r="T645" s="193"/>
      <c r="U645" s="193"/>
      <c r="V645" s="193"/>
      <c r="W645" s="193"/>
      <c r="X645" s="193"/>
      <c r="Y645" s="193"/>
      <c r="Z645" s="193"/>
      <c r="AA645" s="193"/>
      <c r="AB645" s="193"/>
      <c r="AC645" s="193"/>
    </row>
    <row r="646" spans="1:29" ht="24.75" customHeight="1">
      <c r="A646" s="190" t="s">
        <v>128</v>
      </c>
      <c r="B646" s="142"/>
      <c r="C646" s="330" t="s">
        <v>129</v>
      </c>
      <c r="D646" s="330"/>
      <c r="E646" s="330"/>
      <c r="F646" s="330"/>
      <c r="G646" s="330"/>
      <c r="H646" s="330"/>
      <c r="I646" s="330"/>
      <c r="J646" s="330"/>
      <c r="K646" s="330"/>
      <c r="L646" s="330"/>
      <c r="M646" s="93"/>
      <c r="O646" s="156"/>
      <c r="P646" s="142"/>
      <c r="Q646" s="331"/>
      <c r="R646" s="331"/>
      <c r="S646" s="331"/>
      <c r="T646" s="331"/>
      <c r="U646" s="331"/>
      <c r="V646" s="331"/>
      <c r="W646" s="331"/>
      <c r="X646" s="331"/>
      <c r="Y646" s="331"/>
      <c r="Z646" s="331"/>
      <c r="AA646" s="331"/>
      <c r="AB646" s="331"/>
      <c r="AC646" s="331"/>
    </row>
    <row r="647" spans="1:29" ht="20.100000000000001" customHeight="1">
      <c r="A647" s="187">
        <v>1</v>
      </c>
      <c r="B647" s="185" t="s">
        <v>69</v>
      </c>
      <c r="C647" s="326" t="s">
        <v>70</v>
      </c>
      <c r="D647" s="326"/>
      <c r="E647" s="176"/>
      <c r="F647" s="144" t="s">
        <v>71</v>
      </c>
      <c r="G647" s="203" t="s">
        <v>156</v>
      </c>
      <c r="H647" s="202" t="s">
        <v>156</v>
      </c>
      <c r="I647" s="201">
        <v>1</v>
      </c>
      <c r="J647" s="202" t="s">
        <v>156</v>
      </c>
      <c r="K647" s="202" t="s">
        <v>156</v>
      </c>
      <c r="L647" s="201">
        <v>1</v>
      </c>
      <c r="M647" s="93"/>
      <c r="O647" s="195"/>
      <c r="P647" s="196"/>
      <c r="Q647" s="327"/>
      <c r="R647" s="327"/>
      <c r="S647" s="86"/>
      <c r="T647" s="86"/>
      <c r="U647" s="86"/>
      <c r="V647" s="86"/>
      <c r="W647" s="194"/>
      <c r="X647" s="194"/>
      <c r="Y647" s="194"/>
      <c r="Z647" s="194"/>
      <c r="AA647" s="194"/>
      <c r="AB647" s="194"/>
      <c r="AC647" s="194"/>
    </row>
    <row r="648" spans="1:29" ht="20.100000000000001" customHeight="1">
      <c r="A648" s="187">
        <v>2</v>
      </c>
      <c r="B648" s="185" t="s">
        <v>69</v>
      </c>
      <c r="C648" s="326" t="s">
        <v>72</v>
      </c>
      <c r="D648" s="326"/>
      <c r="E648" s="176"/>
      <c r="F648" s="144" t="s">
        <v>71</v>
      </c>
      <c r="G648" s="203" t="s">
        <v>156</v>
      </c>
      <c r="H648" s="202" t="s">
        <v>156</v>
      </c>
      <c r="I648" s="202" t="s">
        <v>156</v>
      </c>
      <c r="J648" s="202" t="s">
        <v>156</v>
      </c>
      <c r="K648" s="202" t="s">
        <v>156</v>
      </c>
      <c r="L648" s="202" t="s">
        <v>156</v>
      </c>
      <c r="M648" s="93"/>
      <c r="O648" s="195"/>
      <c r="P648" s="196"/>
      <c r="Q648" s="327"/>
      <c r="R648" s="327"/>
      <c r="S648" s="194"/>
      <c r="T648" s="194"/>
      <c r="U648" s="194"/>
      <c r="V648" s="86"/>
      <c r="W648" s="86"/>
      <c r="X648" s="86"/>
      <c r="Y648" s="86"/>
      <c r="Z648" s="194"/>
      <c r="AA648" s="194"/>
      <c r="AB648" s="194"/>
      <c r="AC648" s="194"/>
    </row>
    <row r="649" spans="1:29" ht="20.100000000000001" customHeight="1">
      <c r="A649" s="187">
        <v>3</v>
      </c>
      <c r="B649" s="185" t="s">
        <v>69</v>
      </c>
      <c r="C649" s="326" t="s">
        <v>73</v>
      </c>
      <c r="D649" s="326"/>
      <c r="E649" s="176"/>
      <c r="F649" s="144" t="s">
        <v>71</v>
      </c>
      <c r="G649" s="203" t="s">
        <v>156</v>
      </c>
      <c r="H649" s="202" t="s">
        <v>156</v>
      </c>
      <c r="I649" s="202" t="s">
        <v>156</v>
      </c>
      <c r="J649" s="202" t="s">
        <v>156</v>
      </c>
      <c r="K649" s="202" t="s">
        <v>156</v>
      </c>
      <c r="L649" s="202" t="s">
        <v>156</v>
      </c>
      <c r="M649" s="93"/>
      <c r="O649" s="195"/>
      <c r="P649" s="196"/>
      <c r="Q649" s="327"/>
      <c r="R649" s="327"/>
      <c r="S649" s="194"/>
      <c r="T649" s="86"/>
      <c r="U649" s="86"/>
      <c r="V649" s="86"/>
      <c r="W649" s="86"/>
      <c r="X649" s="194"/>
      <c r="Y649" s="194"/>
      <c r="Z649" s="194"/>
      <c r="AA649" s="194"/>
      <c r="AB649" s="194"/>
      <c r="AC649" s="194"/>
    </row>
    <row r="650" spans="1:29" ht="20.100000000000001" customHeight="1">
      <c r="A650" s="187">
        <v>4</v>
      </c>
      <c r="B650" s="185" t="s">
        <v>69</v>
      </c>
      <c r="C650" s="326" t="s">
        <v>98</v>
      </c>
      <c r="D650" s="326"/>
      <c r="E650" s="176"/>
      <c r="F650" s="144" t="s">
        <v>71</v>
      </c>
      <c r="G650" s="203" t="s">
        <v>156</v>
      </c>
      <c r="H650" s="202" t="s">
        <v>156</v>
      </c>
      <c r="I650" s="202" t="s">
        <v>156</v>
      </c>
      <c r="J650" s="202" t="s">
        <v>156</v>
      </c>
      <c r="K650" s="202" t="s">
        <v>156</v>
      </c>
      <c r="L650" s="202" t="s">
        <v>156</v>
      </c>
      <c r="M650" s="93"/>
      <c r="O650" s="195"/>
      <c r="P650" s="196"/>
      <c r="Q650" s="327"/>
      <c r="R650" s="327"/>
      <c r="S650" s="194"/>
      <c r="T650" s="194"/>
      <c r="U650" s="194"/>
      <c r="V650" s="194"/>
      <c r="W650" s="194"/>
      <c r="X650" s="194"/>
      <c r="Y650" s="194"/>
      <c r="Z650" s="86"/>
      <c r="AA650" s="86"/>
      <c r="AB650" s="86"/>
      <c r="AC650" s="86"/>
    </row>
    <row r="651" spans="1:29" ht="20.100000000000001" customHeight="1">
      <c r="A651" s="187">
        <v>5</v>
      </c>
      <c r="B651" s="185" t="s">
        <v>69</v>
      </c>
      <c r="C651" s="326" t="s">
        <v>74</v>
      </c>
      <c r="D651" s="326"/>
      <c r="E651" s="176"/>
      <c r="F651" s="144" t="s">
        <v>71</v>
      </c>
      <c r="G651" s="203" t="s">
        <v>156</v>
      </c>
      <c r="H651" s="202" t="s">
        <v>156</v>
      </c>
      <c r="I651" s="202" t="s">
        <v>156</v>
      </c>
      <c r="J651" s="202" t="s">
        <v>156</v>
      </c>
      <c r="K651" s="202" t="s">
        <v>156</v>
      </c>
      <c r="L651" s="202" t="s">
        <v>156</v>
      </c>
      <c r="M651" s="93"/>
      <c r="O651" s="195"/>
      <c r="P651" s="196"/>
      <c r="Q651" s="327"/>
      <c r="R651" s="327"/>
      <c r="S651" s="194"/>
      <c r="T651" s="194"/>
      <c r="U651" s="194"/>
      <c r="V651" s="194"/>
      <c r="W651" s="194"/>
      <c r="X651" s="194"/>
      <c r="Y651" s="194"/>
      <c r="Z651" s="194"/>
      <c r="AA651" s="194"/>
      <c r="AB651" s="194"/>
      <c r="AC651" s="194"/>
    </row>
    <row r="652" spans="1:29" ht="20.100000000000001" customHeight="1">
      <c r="A652" s="187">
        <v>6</v>
      </c>
      <c r="B652" s="185" t="s">
        <v>69</v>
      </c>
      <c r="C652" s="326" t="s">
        <v>75</v>
      </c>
      <c r="D652" s="326"/>
      <c r="E652" s="176"/>
      <c r="F652" s="144" t="s">
        <v>71</v>
      </c>
      <c r="G652" s="203" t="s">
        <v>156</v>
      </c>
      <c r="H652" s="202" t="s">
        <v>156</v>
      </c>
      <c r="I652" s="202" t="s">
        <v>156</v>
      </c>
      <c r="J652" s="202" t="s">
        <v>156</v>
      </c>
      <c r="K652" s="202" t="s">
        <v>156</v>
      </c>
      <c r="L652" s="202" t="s">
        <v>156</v>
      </c>
      <c r="M652" s="93"/>
      <c r="O652" s="195"/>
      <c r="P652" s="196"/>
      <c r="Q652" s="327"/>
      <c r="R652" s="327"/>
      <c r="S652" s="194"/>
      <c r="T652" s="194"/>
      <c r="U652" s="194"/>
      <c r="V652" s="194"/>
      <c r="W652" s="194"/>
      <c r="X652" s="194"/>
      <c r="Y652" s="194"/>
      <c r="Z652" s="194"/>
      <c r="AA652" s="194"/>
      <c r="AB652" s="194"/>
      <c r="AC652" s="194"/>
    </row>
    <row r="653" spans="1:29" ht="20.100000000000001" customHeight="1">
      <c r="A653" s="187">
        <v>7</v>
      </c>
      <c r="B653" s="185" t="s">
        <v>69</v>
      </c>
      <c r="C653" s="326" t="s">
        <v>76</v>
      </c>
      <c r="D653" s="326"/>
      <c r="E653" s="176"/>
      <c r="F653" s="144" t="s">
        <v>71</v>
      </c>
      <c r="G653" s="203" t="s">
        <v>156</v>
      </c>
      <c r="H653" s="202" t="s">
        <v>156</v>
      </c>
      <c r="I653" s="202" t="s">
        <v>156</v>
      </c>
      <c r="J653" s="202" t="s">
        <v>156</v>
      </c>
      <c r="K653" s="202" t="s">
        <v>156</v>
      </c>
      <c r="L653" s="202" t="s">
        <v>156</v>
      </c>
      <c r="M653" s="93"/>
      <c r="O653" s="195"/>
      <c r="P653" s="196"/>
      <c r="Q653" s="327"/>
      <c r="R653" s="327"/>
      <c r="S653" s="194"/>
      <c r="T653" s="194"/>
      <c r="U653" s="194"/>
      <c r="V653" s="194"/>
      <c r="W653" s="194"/>
      <c r="X653" s="194"/>
      <c r="Y653" s="194"/>
      <c r="Z653" s="194"/>
      <c r="AA653" s="194"/>
      <c r="AB653" s="194"/>
      <c r="AC653" s="194"/>
    </row>
    <row r="654" spans="1:29" ht="20.100000000000001" customHeight="1">
      <c r="A654" s="187">
        <v>8</v>
      </c>
      <c r="B654" s="185" t="s">
        <v>69</v>
      </c>
      <c r="C654" s="326" t="s">
        <v>99</v>
      </c>
      <c r="D654" s="326"/>
      <c r="E654" s="176"/>
      <c r="F654" s="144" t="s">
        <v>71</v>
      </c>
      <c r="G654" s="203" t="s">
        <v>156</v>
      </c>
      <c r="H654" s="202" t="s">
        <v>156</v>
      </c>
      <c r="I654" s="202" t="s">
        <v>156</v>
      </c>
      <c r="J654" s="202" t="s">
        <v>156</v>
      </c>
      <c r="K654" s="202" t="s">
        <v>156</v>
      </c>
      <c r="L654" s="202" t="s">
        <v>156</v>
      </c>
      <c r="M654" s="93"/>
      <c r="O654" s="195"/>
      <c r="P654" s="196"/>
      <c r="Q654" s="327"/>
      <c r="R654" s="327"/>
      <c r="S654" s="194"/>
      <c r="T654" s="194"/>
      <c r="U654" s="194"/>
      <c r="V654" s="194"/>
      <c r="W654" s="194"/>
      <c r="X654" s="194"/>
      <c r="Y654" s="194"/>
      <c r="Z654" s="194"/>
      <c r="AA654" s="194"/>
      <c r="AB654" s="194"/>
      <c r="AC654" s="194"/>
    </row>
    <row r="655" spans="1:29" ht="20.100000000000001" customHeight="1">
      <c r="A655" s="187">
        <v>9</v>
      </c>
      <c r="B655" s="185" t="s">
        <v>69</v>
      </c>
      <c r="C655" s="326" t="s">
        <v>77</v>
      </c>
      <c r="D655" s="326"/>
      <c r="E655" s="176"/>
      <c r="F655" s="144" t="s">
        <v>71</v>
      </c>
      <c r="G655" s="203" t="s">
        <v>156</v>
      </c>
      <c r="H655" s="202" t="s">
        <v>156</v>
      </c>
      <c r="I655" s="202" t="s">
        <v>156</v>
      </c>
      <c r="J655" s="202" t="s">
        <v>156</v>
      </c>
      <c r="K655" s="202" t="s">
        <v>156</v>
      </c>
      <c r="L655" s="202" t="s">
        <v>156</v>
      </c>
      <c r="M655" s="93"/>
      <c r="O655" s="195"/>
      <c r="P655" s="196"/>
      <c r="Q655" s="327"/>
      <c r="R655" s="327"/>
      <c r="S655" s="194"/>
      <c r="T655" s="194"/>
      <c r="U655" s="194"/>
      <c r="V655" s="194"/>
      <c r="W655" s="194"/>
      <c r="X655" s="194"/>
      <c r="Y655" s="194"/>
      <c r="Z655" s="194"/>
      <c r="AA655" s="194"/>
      <c r="AB655" s="194"/>
      <c r="AC655" s="194"/>
    </row>
    <row r="656" spans="1:29" ht="20.100000000000001" customHeight="1">
      <c r="A656" s="187">
        <v>10</v>
      </c>
      <c r="B656" s="185" t="s">
        <v>69</v>
      </c>
      <c r="C656" s="326" t="s">
        <v>78</v>
      </c>
      <c r="D656" s="326"/>
      <c r="E656" s="176"/>
      <c r="F656" s="144" t="s">
        <v>71</v>
      </c>
      <c r="G656" s="203" t="s">
        <v>156</v>
      </c>
      <c r="H656" s="202" t="s">
        <v>156</v>
      </c>
      <c r="I656" s="202" t="s">
        <v>156</v>
      </c>
      <c r="J656" s="202" t="s">
        <v>156</v>
      </c>
      <c r="K656" s="202" t="s">
        <v>156</v>
      </c>
      <c r="L656" s="202" t="s">
        <v>156</v>
      </c>
      <c r="M656" s="93"/>
      <c r="O656" s="195"/>
      <c r="P656" s="196"/>
      <c r="Q656" s="327"/>
      <c r="R656" s="327"/>
      <c r="S656" s="194"/>
      <c r="T656" s="194"/>
      <c r="U656" s="194"/>
      <c r="V656" s="194"/>
      <c r="W656" s="194"/>
      <c r="X656" s="194"/>
      <c r="Y656" s="194"/>
      <c r="Z656" s="194"/>
      <c r="AA656" s="194"/>
      <c r="AB656" s="194"/>
      <c r="AC656" s="194"/>
    </row>
    <row r="657" spans="1:29" ht="20.100000000000001" customHeight="1">
      <c r="A657" s="187">
        <v>11</v>
      </c>
      <c r="B657" s="185" t="s">
        <v>69</v>
      </c>
      <c r="C657" s="326" t="s">
        <v>79</v>
      </c>
      <c r="D657" s="326"/>
      <c r="E657" s="176"/>
      <c r="F657" s="144" t="s">
        <v>71</v>
      </c>
      <c r="G657" s="203" t="s">
        <v>156</v>
      </c>
      <c r="H657" s="202" t="s">
        <v>156</v>
      </c>
      <c r="I657" s="202" t="s">
        <v>156</v>
      </c>
      <c r="J657" s="202" t="s">
        <v>156</v>
      </c>
      <c r="K657" s="202" t="s">
        <v>156</v>
      </c>
      <c r="L657" s="202" t="s">
        <v>156</v>
      </c>
      <c r="M657" s="93"/>
      <c r="O657" s="195"/>
      <c r="P657" s="196"/>
      <c r="Q657" s="327"/>
      <c r="R657" s="327"/>
      <c r="S657" s="194"/>
      <c r="T657" s="194"/>
      <c r="U657" s="194"/>
      <c r="V657" s="194"/>
      <c r="W657" s="194"/>
      <c r="X657" s="194"/>
      <c r="Y657" s="194"/>
      <c r="Z657" s="194"/>
      <c r="AA657" s="194"/>
      <c r="AB657" s="194"/>
      <c r="AC657" s="194"/>
    </row>
    <row r="658" spans="1:29" ht="20.100000000000001" customHeight="1">
      <c r="A658" s="187">
        <v>12</v>
      </c>
      <c r="B658" s="185" t="s">
        <v>69</v>
      </c>
      <c r="C658" s="326" t="s">
        <v>100</v>
      </c>
      <c r="D658" s="326"/>
      <c r="E658" s="176"/>
      <c r="F658" s="144" t="s">
        <v>71</v>
      </c>
      <c r="G658" s="203" t="s">
        <v>156</v>
      </c>
      <c r="H658" s="202" t="s">
        <v>156</v>
      </c>
      <c r="I658" s="202" t="s">
        <v>156</v>
      </c>
      <c r="J658" s="202" t="s">
        <v>156</v>
      </c>
      <c r="K658" s="202" t="s">
        <v>156</v>
      </c>
      <c r="L658" s="202" t="s">
        <v>156</v>
      </c>
      <c r="M658" s="93"/>
      <c r="O658" s="195"/>
      <c r="P658" s="196"/>
      <c r="Q658" s="327"/>
      <c r="R658" s="327"/>
      <c r="S658" s="194"/>
      <c r="T658" s="194"/>
      <c r="U658" s="194"/>
      <c r="V658" s="194"/>
      <c r="W658" s="194"/>
      <c r="X658" s="194"/>
      <c r="Y658" s="194"/>
      <c r="Z658" s="194"/>
      <c r="AA658" s="194"/>
      <c r="AB658" s="194"/>
      <c r="AC658" s="194"/>
    </row>
    <row r="659" spans="1:29" ht="20.100000000000001" customHeight="1">
      <c r="A659" s="187">
        <v>13</v>
      </c>
      <c r="B659" s="185" t="s">
        <v>69</v>
      </c>
      <c r="C659" s="326" t="s">
        <v>80</v>
      </c>
      <c r="D659" s="326"/>
      <c r="E659" s="176"/>
      <c r="F659" s="144" t="s">
        <v>71</v>
      </c>
      <c r="G659" s="203" t="s">
        <v>156</v>
      </c>
      <c r="H659" s="202" t="s">
        <v>156</v>
      </c>
      <c r="I659" s="202" t="s">
        <v>156</v>
      </c>
      <c r="J659" s="202" t="s">
        <v>156</v>
      </c>
      <c r="K659" s="202" t="s">
        <v>156</v>
      </c>
      <c r="L659" s="202" t="s">
        <v>156</v>
      </c>
      <c r="M659" s="93"/>
      <c r="O659" s="195"/>
      <c r="P659" s="196"/>
      <c r="Q659" s="327"/>
      <c r="R659" s="327"/>
      <c r="S659" s="194"/>
      <c r="T659" s="194"/>
      <c r="U659" s="194"/>
      <c r="V659" s="194"/>
      <c r="W659" s="194"/>
      <c r="X659" s="194"/>
      <c r="Y659" s="194"/>
      <c r="Z659" s="194"/>
      <c r="AA659" s="194"/>
      <c r="AB659" s="194"/>
      <c r="AC659" s="194"/>
    </row>
    <row r="660" spans="1:29" ht="20.100000000000001" customHeight="1">
      <c r="A660" s="187">
        <v>14</v>
      </c>
      <c r="B660" s="185" t="s">
        <v>69</v>
      </c>
      <c r="C660" s="326" t="s">
        <v>91</v>
      </c>
      <c r="D660" s="326"/>
      <c r="E660" s="176"/>
      <c r="F660" s="144" t="s">
        <v>71</v>
      </c>
      <c r="G660" s="203" t="s">
        <v>156</v>
      </c>
      <c r="H660" s="202" t="s">
        <v>156</v>
      </c>
      <c r="I660" s="202" t="s">
        <v>156</v>
      </c>
      <c r="J660" s="202" t="s">
        <v>156</v>
      </c>
      <c r="K660" s="202" t="s">
        <v>156</v>
      </c>
      <c r="L660" s="202" t="s">
        <v>156</v>
      </c>
      <c r="M660" s="93"/>
      <c r="O660" s="195"/>
      <c r="P660" s="196"/>
      <c r="Q660" s="327"/>
      <c r="R660" s="327"/>
      <c r="S660" s="194"/>
      <c r="T660" s="194"/>
      <c r="U660" s="194"/>
      <c r="V660" s="194"/>
      <c r="W660" s="194"/>
      <c r="X660" s="194"/>
      <c r="Y660" s="194"/>
      <c r="Z660" s="194"/>
      <c r="AA660" s="194"/>
      <c r="AB660" s="194"/>
      <c r="AC660" s="194"/>
    </row>
    <row r="661" spans="1:29" ht="20.100000000000001" customHeight="1">
      <c r="A661" s="187">
        <v>15</v>
      </c>
      <c r="B661" s="185" t="s">
        <v>69</v>
      </c>
      <c r="C661" s="326" t="s">
        <v>81</v>
      </c>
      <c r="D661" s="326"/>
      <c r="E661" s="176"/>
      <c r="F661" s="144" t="s">
        <v>71</v>
      </c>
      <c r="G661" s="203" t="s">
        <v>156</v>
      </c>
      <c r="H661" s="202" t="s">
        <v>156</v>
      </c>
      <c r="I661" s="202" t="s">
        <v>156</v>
      </c>
      <c r="J661" s="202" t="s">
        <v>156</v>
      </c>
      <c r="K661" s="202" t="s">
        <v>156</v>
      </c>
      <c r="L661" s="202" t="s">
        <v>156</v>
      </c>
      <c r="M661" s="93"/>
      <c r="O661" s="195"/>
      <c r="P661" s="196"/>
      <c r="Q661" s="327"/>
      <c r="R661" s="327"/>
      <c r="S661" s="194"/>
      <c r="T661" s="194"/>
      <c r="U661" s="194"/>
      <c r="V661" s="194"/>
      <c r="W661" s="194"/>
      <c r="X661" s="194"/>
      <c r="Y661" s="194"/>
      <c r="Z661" s="194"/>
      <c r="AA661" s="194"/>
      <c r="AB661" s="194"/>
      <c r="AC661" s="194"/>
    </row>
    <row r="662" spans="1:29" ht="20.100000000000001" customHeight="1">
      <c r="A662" s="187">
        <v>16</v>
      </c>
      <c r="B662" s="185" t="s">
        <v>69</v>
      </c>
      <c r="C662" s="326" t="s">
        <v>101</v>
      </c>
      <c r="D662" s="326"/>
      <c r="E662" s="151"/>
      <c r="F662" s="144" t="s">
        <v>71</v>
      </c>
      <c r="G662" s="203" t="s">
        <v>156</v>
      </c>
      <c r="H662" s="202" t="s">
        <v>156</v>
      </c>
      <c r="I662" s="202" t="s">
        <v>156</v>
      </c>
      <c r="J662" s="202" t="s">
        <v>156</v>
      </c>
      <c r="K662" s="202" t="s">
        <v>156</v>
      </c>
      <c r="L662" s="202" t="s">
        <v>156</v>
      </c>
      <c r="M662" s="93"/>
      <c r="N662" s="219"/>
      <c r="O662" s="195"/>
      <c r="P662" s="196"/>
      <c r="Q662" s="327"/>
      <c r="R662" s="327"/>
      <c r="S662" s="197"/>
      <c r="T662" s="197"/>
      <c r="U662" s="197"/>
      <c r="V662" s="197"/>
      <c r="W662" s="197"/>
      <c r="X662" s="197"/>
      <c r="Y662" s="197"/>
      <c r="Z662" s="197"/>
      <c r="AA662" s="197"/>
      <c r="AB662" s="197"/>
      <c r="AC662" s="197"/>
    </row>
    <row r="663" spans="1:29" ht="20.100000000000001" customHeight="1">
      <c r="A663" s="187">
        <v>17</v>
      </c>
      <c r="B663" s="186" t="s">
        <v>69</v>
      </c>
      <c r="C663" s="326" t="s">
        <v>141</v>
      </c>
      <c r="D663" s="326"/>
      <c r="E663" s="151"/>
      <c r="F663" s="144" t="s">
        <v>71</v>
      </c>
      <c r="G663" s="203" t="s">
        <v>156</v>
      </c>
      <c r="H663" s="202" t="s">
        <v>156</v>
      </c>
      <c r="I663" s="202" t="s">
        <v>156</v>
      </c>
      <c r="J663" s="202" t="s">
        <v>156</v>
      </c>
      <c r="K663" s="202" t="s">
        <v>156</v>
      </c>
      <c r="L663" s="202" t="s">
        <v>156</v>
      </c>
      <c r="M663" s="93"/>
      <c r="N663" s="219"/>
      <c r="O663" s="195"/>
      <c r="P663" s="104"/>
      <c r="Q663" s="327"/>
      <c r="R663" s="327"/>
      <c r="S663" s="197"/>
      <c r="T663" s="197"/>
      <c r="U663" s="197"/>
      <c r="V663" s="197"/>
      <c r="W663" s="197"/>
      <c r="X663" s="197"/>
      <c r="Y663" s="197"/>
      <c r="Z663" s="197"/>
      <c r="AA663" s="197"/>
      <c r="AB663" s="197"/>
      <c r="AC663" s="197"/>
    </row>
    <row r="664" spans="1:29" ht="20.100000000000001" customHeight="1">
      <c r="A664" s="187">
        <v>18</v>
      </c>
      <c r="B664" s="186" t="s">
        <v>69</v>
      </c>
      <c r="C664" s="326" t="s">
        <v>142</v>
      </c>
      <c r="D664" s="326"/>
      <c r="E664" s="151"/>
      <c r="F664" s="144" t="s">
        <v>71</v>
      </c>
      <c r="G664" s="203" t="s">
        <v>156</v>
      </c>
      <c r="H664" s="202" t="s">
        <v>156</v>
      </c>
      <c r="I664" s="202" t="s">
        <v>156</v>
      </c>
      <c r="J664" s="202" t="s">
        <v>156</v>
      </c>
      <c r="K664" s="202" t="s">
        <v>156</v>
      </c>
      <c r="L664" s="202" t="s">
        <v>156</v>
      </c>
      <c r="M664" s="93"/>
      <c r="N664" s="219"/>
      <c r="O664" s="195"/>
      <c r="P664" s="104"/>
      <c r="Q664" s="327"/>
      <c r="R664" s="327"/>
      <c r="S664" s="197"/>
      <c r="T664" s="197"/>
      <c r="U664" s="197"/>
      <c r="V664" s="197"/>
      <c r="W664" s="197"/>
      <c r="X664" s="197"/>
      <c r="Y664" s="197"/>
      <c r="Z664" s="197"/>
      <c r="AA664" s="197"/>
      <c r="AB664" s="197"/>
      <c r="AC664" s="197"/>
    </row>
    <row r="665" spans="1:29" ht="20.100000000000001" customHeight="1">
      <c r="A665" s="187">
        <v>19</v>
      </c>
      <c r="B665" s="186" t="s">
        <v>69</v>
      </c>
      <c r="C665" s="326" t="s">
        <v>143</v>
      </c>
      <c r="D665" s="326"/>
      <c r="E665" s="151"/>
      <c r="F665" s="144" t="s">
        <v>71</v>
      </c>
      <c r="G665" s="203" t="s">
        <v>156</v>
      </c>
      <c r="H665" s="202" t="s">
        <v>156</v>
      </c>
      <c r="I665" s="202" t="s">
        <v>156</v>
      </c>
      <c r="J665" s="202" t="s">
        <v>156</v>
      </c>
      <c r="K665" s="202" t="s">
        <v>156</v>
      </c>
      <c r="L665" s="202" t="s">
        <v>156</v>
      </c>
      <c r="M665" s="93"/>
      <c r="N665" s="219"/>
      <c r="O665" s="195"/>
      <c r="P665" s="104"/>
      <c r="Q665" s="327"/>
      <c r="R665" s="327"/>
      <c r="S665" s="197"/>
      <c r="T665" s="197"/>
      <c r="U665" s="197"/>
      <c r="V665" s="197"/>
      <c r="W665" s="197"/>
      <c r="X665" s="197"/>
      <c r="Y665" s="197"/>
      <c r="Z665" s="197"/>
      <c r="AA665" s="197"/>
      <c r="AB665" s="197"/>
      <c r="AC665" s="197"/>
    </row>
    <row r="666" spans="1:29" ht="20.100000000000001" customHeight="1">
      <c r="A666" s="187">
        <v>20</v>
      </c>
      <c r="B666" s="186" t="s">
        <v>69</v>
      </c>
      <c r="C666" s="326" t="s">
        <v>102</v>
      </c>
      <c r="D666" s="326"/>
      <c r="E666" s="150"/>
      <c r="F666" s="154" t="s">
        <v>71</v>
      </c>
      <c r="G666" s="203" t="s">
        <v>156</v>
      </c>
      <c r="H666" s="202" t="s">
        <v>156</v>
      </c>
      <c r="I666" s="202" t="s">
        <v>156</v>
      </c>
      <c r="J666" s="202" t="s">
        <v>156</v>
      </c>
      <c r="K666" s="202" t="s">
        <v>156</v>
      </c>
      <c r="L666" s="202" t="s">
        <v>156</v>
      </c>
      <c r="M666" s="93"/>
      <c r="N666" s="219"/>
      <c r="O666" s="195"/>
      <c r="P666" s="104"/>
      <c r="Q666" s="327"/>
      <c r="R666" s="327"/>
      <c r="S666" s="197"/>
      <c r="T666" s="197"/>
      <c r="U666" s="197"/>
      <c r="V666" s="197"/>
      <c r="W666" s="197"/>
      <c r="X666" s="197"/>
      <c r="Y666" s="197"/>
      <c r="Z666" s="197"/>
      <c r="AA666" s="197"/>
      <c r="AB666" s="197"/>
      <c r="AC666" s="197"/>
    </row>
    <row r="667" spans="1:29" ht="24.75" customHeight="1">
      <c r="A667" s="190" t="s">
        <v>128</v>
      </c>
      <c r="B667" s="142"/>
      <c r="C667" s="330" t="s">
        <v>130</v>
      </c>
      <c r="D667" s="330"/>
      <c r="E667" s="330"/>
      <c r="F667" s="330"/>
      <c r="G667" s="330"/>
      <c r="H667" s="330"/>
      <c r="I667" s="330"/>
      <c r="J667" s="330"/>
      <c r="K667" s="330"/>
      <c r="L667" s="330"/>
      <c r="M667" s="93"/>
      <c r="O667" s="156"/>
      <c r="P667" s="142"/>
      <c r="Q667" s="331"/>
      <c r="R667" s="331"/>
      <c r="S667" s="331"/>
      <c r="T667" s="331"/>
      <c r="U667" s="331"/>
      <c r="V667" s="331"/>
      <c r="W667" s="331"/>
      <c r="X667" s="331"/>
      <c r="Y667" s="331"/>
      <c r="Z667" s="331"/>
      <c r="AA667" s="331"/>
      <c r="AB667" s="331"/>
      <c r="AC667" s="331"/>
    </row>
    <row r="668" spans="1:29" ht="33" customHeight="1">
      <c r="A668" s="189">
        <v>21</v>
      </c>
      <c r="B668" s="188" t="s">
        <v>69</v>
      </c>
      <c r="C668" s="307" t="s">
        <v>82</v>
      </c>
      <c r="D668" s="308"/>
      <c r="E668" s="182"/>
      <c r="F668" s="191" t="s">
        <v>71</v>
      </c>
      <c r="G668" s="201">
        <v>58</v>
      </c>
      <c r="H668" s="201">
        <v>40</v>
      </c>
      <c r="I668" s="201">
        <v>21</v>
      </c>
      <c r="J668" s="201">
        <v>58</v>
      </c>
      <c r="K668" s="201">
        <v>40</v>
      </c>
      <c r="L668" s="201">
        <v>21</v>
      </c>
      <c r="M668" s="89"/>
      <c r="N668" s="219"/>
      <c r="O668" s="199"/>
      <c r="P668" s="200"/>
      <c r="Q668" s="309"/>
      <c r="R668" s="309"/>
      <c r="S668" s="86"/>
      <c r="T668" s="86"/>
      <c r="U668" s="86"/>
      <c r="V668" s="86"/>
      <c r="W668" s="86"/>
      <c r="X668" s="86"/>
      <c r="Y668" s="86"/>
      <c r="Z668" s="86"/>
      <c r="AA668" s="86"/>
      <c r="AB668" s="86"/>
      <c r="AC668" s="86"/>
    </row>
    <row r="669" spans="1:29" ht="33" customHeight="1">
      <c r="A669" s="189">
        <v>22</v>
      </c>
      <c r="B669" s="188" t="s">
        <v>69</v>
      </c>
      <c r="C669" s="307" t="s">
        <v>103</v>
      </c>
      <c r="D669" s="308"/>
      <c r="E669" s="179"/>
      <c r="F669" s="191" t="s">
        <v>71</v>
      </c>
      <c r="G669" s="201">
        <v>9</v>
      </c>
      <c r="H669" s="201">
        <v>9</v>
      </c>
      <c r="I669" s="201">
        <v>7</v>
      </c>
      <c r="J669" s="201">
        <v>9</v>
      </c>
      <c r="K669" s="201">
        <v>9</v>
      </c>
      <c r="L669" s="201">
        <v>7</v>
      </c>
      <c r="M669" s="89"/>
      <c r="N669" s="219"/>
      <c r="O669" s="199"/>
      <c r="P669" s="200"/>
      <c r="Q669" s="309"/>
      <c r="R669" s="309"/>
      <c r="S669" s="86"/>
      <c r="T669" s="86"/>
      <c r="U669" s="86"/>
      <c r="V669" s="86"/>
      <c r="W669" s="86"/>
      <c r="X669" s="86"/>
      <c r="Y669" s="86"/>
      <c r="Z669" s="86"/>
      <c r="AA669" s="86"/>
      <c r="AB669" s="86"/>
      <c r="AC669" s="86"/>
    </row>
    <row r="670" spans="1:29" ht="33" customHeight="1">
      <c r="A670" s="189">
        <v>23</v>
      </c>
      <c r="B670" s="188" t="s">
        <v>69</v>
      </c>
      <c r="C670" s="307" t="s">
        <v>104</v>
      </c>
      <c r="D670" s="308"/>
      <c r="E670" s="179"/>
      <c r="F670" s="191" t="s">
        <v>71</v>
      </c>
      <c r="G670" s="201">
        <v>5</v>
      </c>
      <c r="H670" s="201">
        <v>1</v>
      </c>
      <c r="I670" s="201">
        <v>1</v>
      </c>
      <c r="J670" s="201">
        <v>5</v>
      </c>
      <c r="K670" s="201">
        <v>1</v>
      </c>
      <c r="L670" s="201">
        <v>1</v>
      </c>
      <c r="M670" s="89"/>
      <c r="N670" s="219"/>
      <c r="O670" s="199"/>
      <c r="P670" s="200"/>
      <c r="Q670" s="309"/>
      <c r="R670" s="309"/>
      <c r="S670" s="86"/>
      <c r="T670" s="86"/>
      <c r="U670" s="86"/>
      <c r="V670" s="86"/>
      <c r="W670" s="86"/>
      <c r="X670" s="86"/>
      <c r="Y670" s="86"/>
      <c r="Z670" s="86"/>
      <c r="AA670" s="86"/>
      <c r="AB670" s="86"/>
      <c r="AC670" s="86"/>
    </row>
    <row r="671" spans="1:29" ht="27.75" customHeight="1">
      <c r="A671" s="317" t="s">
        <v>135</v>
      </c>
      <c r="B671" s="318"/>
      <c r="C671" s="317" t="s">
        <v>68</v>
      </c>
      <c r="D671" s="318"/>
      <c r="E671" s="183"/>
      <c r="F671" s="321" t="s">
        <v>136</v>
      </c>
      <c r="G671" s="322" t="s">
        <v>155</v>
      </c>
      <c r="H671" s="323"/>
      <c r="I671" s="323"/>
      <c r="J671" s="322" t="s">
        <v>154</v>
      </c>
      <c r="K671" s="323"/>
      <c r="L671" s="324"/>
      <c r="M671" s="92"/>
      <c r="O671" s="325"/>
      <c r="P671" s="325"/>
      <c r="Q671" s="325"/>
      <c r="R671" s="325"/>
      <c r="S671" s="316"/>
      <c r="T671" s="316"/>
      <c r="U671" s="316"/>
      <c r="V671" s="316"/>
      <c r="W671" s="316"/>
      <c r="X671" s="316"/>
      <c r="Y671" s="316"/>
      <c r="Z671" s="316"/>
      <c r="AA671" s="316"/>
      <c r="AB671" s="316"/>
      <c r="AC671" s="316"/>
    </row>
    <row r="672" spans="1:29" ht="125.25" customHeight="1">
      <c r="A672" s="319"/>
      <c r="B672" s="320"/>
      <c r="C672" s="319"/>
      <c r="D672" s="320"/>
      <c r="E672" s="184"/>
      <c r="F672" s="321"/>
      <c r="G672" s="153" t="s">
        <v>151</v>
      </c>
      <c r="H672" s="153" t="s">
        <v>152</v>
      </c>
      <c r="I672" s="153" t="s">
        <v>153</v>
      </c>
      <c r="J672" s="153" t="s">
        <v>151</v>
      </c>
      <c r="K672" s="153" t="s">
        <v>152</v>
      </c>
      <c r="L672" s="153" t="s">
        <v>153</v>
      </c>
      <c r="O672" s="325"/>
      <c r="P672" s="325"/>
      <c r="Q672" s="325"/>
      <c r="R672" s="325"/>
      <c r="S672" s="193"/>
      <c r="T672" s="193"/>
      <c r="U672" s="193"/>
      <c r="V672" s="193"/>
      <c r="W672" s="193"/>
      <c r="X672" s="193"/>
      <c r="Y672" s="193"/>
      <c r="Z672" s="193"/>
      <c r="AA672" s="193"/>
      <c r="AB672" s="193"/>
      <c r="AC672" s="193"/>
    </row>
    <row r="673" spans="1:29" ht="30" customHeight="1">
      <c r="A673" s="189">
        <v>24</v>
      </c>
      <c r="B673" s="188" t="s">
        <v>69</v>
      </c>
      <c r="C673" s="307" t="s">
        <v>131</v>
      </c>
      <c r="D673" s="308"/>
      <c r="E673" s="179"/>
      <c r="F673" s="191" t="s">
        <v>71</v>
      </c>
      <c r="G673" s="202" t="s">
        <v>156</v>
      </c>
      <c r="H673" s="202" t="s">
        <v>156</v>
      </c>
      <c r="I673" s="202" t="s">
        <v>156</v>
      </c>
      <c r="J673" s="202" t="s">
        <v>156</v>
      </c>
      <c r="K673" s="202" t="s">
        <v>156</v>
      </c>
      <c r="L673" s="202" t="s">
        <v>156</v>
      </c>
      <c r="M673" s="89"/>
      <c r="N673" s="219"/>
      <c r="O673" s="199"/>
      <c r="P673" s="200"/>
      <c r="Q673" s="309"/>
      <c r="R673" s="309"/>
      <c r="S673" s="86"/>
      <c r="T673" s="86"/>
      <c r="U673" s="86"/>
      <c r="V673" s="86"/>
      <c r="W673" s="86"/>
      <c r="X673" s="86"/>
      <c r="Y673" s="86"/>
      <c r="Z673" s="86"/>
      <c r="AA673" s="86"/>
      <c r="AB673" s="86"/>
      <c r="AC673" s="86"/>
    </row>
    <row r="674" spans="1:29" ht="30" customHeight="1">
      <c r="A674" s="189">
        <v>25</v>
      </c>
      <c r="B674" s="188" t="s">
        <v>69</v>
      </c>
      <c r="C674" s="307" t="s">
        <v>83</v>
      </c>
      <c r="D674" s="308"/>
      <c r="E674" s="179"/>
      <c r="F674" s="191" t="s">
        <v>71</v>
      </c>
      <c r="G674" s="201">
        <v>25</v>
      </c>
      <c r="H674" s="201">
        <v>40</v>
      </c>
      <c r="I674" s="201">
        <v>22</v>
      </c>
      <c r="J674" s="201">
        <v>25</v>
      </c>
      <c r="K674" s="201">
        <v>40</v>
      </c>
      <c r="L674" s="201">
        <v>22</v>
      </c>
      <c r="M674" s="89"/>
      <c r="N674" s="219"/>
      <c r="O674" s="199"/>
      <c r="P674" s="200"/>
      <c r="Q674" s="309"/>
      <c r="R674" s="309"/>
      <c r="S674" s="86"/>
      <c r="T674" s="86"/>
      <c r="U674" s="86"/>
      <c r="V674" s="86"/>
      <c r="W674" s="86"/>
      <c r="X674" s="86"/>
      <c r="Y674" s="86"/>
      <c r="Z674" s="86"/>
      <c r="AA674" s="86"/>
      <c r="AB674" s="86"/>
      <c r="AC674" s="86"/>
    </row>
    <row r="675" spans="1:29" ht="30" customHeight="1">
      <c r="A675" s="189">
        <v>26</v>
      </c>
      <c r="B675" s="188" t="s">
        <v>69</v>
      </c>
      <c r="C675" s="307" t="s">
        <v>84</v>
      </c>
      <c r="D675" s="308"/>
      <c r="E675" s="179"/>
      <c r="F675" s="191" t="s">
        <v>71</v>
      </c>
      <c r="G675" s="201">
        <v>5</v>
      </c>
      <c r="H675" s="202" t="s">
        <v>156</v>
      </c>
      <c r="I675" s="202" t="s">
        <v>156</v>
      </c>
      <c r="J675" s="201">
        <v>5</v>
      </c>
      <c r="K675" s="202" t="s">
        <v>156</v>
      </c>
      <c r="L675" s="202" t="s">
        <v>156</v>
      </c>
      <c r="M675" s="89"/>
      <c r="N675" s="219"/>
      <c r="O675" s="199"/>
      <c r="P675" s="200"/>
      <c r="Q675" s="309"/>
      <c r="R675" s="309"/>
      <c r="S675" s="86"/>
      <c r="T675" s="86"/>
      <c r="U675" s="86"/>
      <c r="V675" s="86"/>
      <c r="W675" s="86"/>
      <c r="X675" s="86"/>
      <c r="Y675" s="86"/>
      <c r="Z675" s="86"/>
      <c r="AA675" s="86"/>
      <c r="AB675" s="86"/>
      <c r="AC675" s="86"/>
    </row>
    <row r="676" spans="1:29" ht="30" customHeight="1">
      <c r="A676" s="189">
        <v>27</v>
      </c>
      <c r="B676" s="188" t="s">
        <v>69</v>
      </c>
      <c r="C676" s="307" t="s">
        <v>85</v>
      </c>
      <c r="D676" s="308"/>
      <c r="E676" s="179"/>
      <c r="F676" s="191" t="s">
        <v>71</v>
      </c>
      <c r="G676" s="201">
        <v>3</v>
      </c>
      <c r="H676" s="201">
        <v>1</v>
      </c>
      <c r="I676" s="201">
        <v>8</v>
      </c>
      <c r="J676" s="201">
        <v>3</v>
      </c>
      <c r="K676" s="201">
        <v>1</v>
      </c>
      <c r="L676" s="201">
        <v>8</v>
      </c>
      <c r="M676" s="89"/>
      <c r="N676" s="219"/>
      <c r="O676" s="199"/>
      <c r="P676" s="200"/>
      <c r="Q676" s="309"/>
      <c r="R676" s="309"/>
      <c r="S676" s="86"/>
      <c r="T676" s="86"/>
      <c r="U676" s="86"/>
      <c r="V676" s="86"/>
      <c r="W676" s="86"/>
      <c r="X676" s="86"/>
      <c r="Y676" s="86"/>
      <c r="Z676" s="86"/>
      <c r="AA676" s="86"/>
      <c r="AB676" s="86"/>
      <c r="AC676" s="86"/>
    </row>
    <row r="677" spans="1:29" ht="30" customHeight="1">
      <c r="A677" s="189">
        <v>28</v>
      </c>
      <c r="B677" s="188" t="s">
        <v>69</v>
      </c>
      <c r="C677" s="307" t="s">
        <v>132</v>
      </c>
      <c r="D677" s="308"/>
      <c r="E677" s="179"/>
      <c r="F677" s="191" t="s">
        <v>71</v>
      </c>
      <c r="G677" s="202" t="s">
        <v>156</v>
      </c>
      <c r="H677" s="202" t="s">
        <v>156</v>
      </c>
      <c r="I677" s="202" t="s">
        <v>156</v>
      </c>
      <c r="J677" s="202" t="s">
        <v>156</v>
      </c>
      <c r="K677" s="202" t="s">
        <v>156</v>
      </c>
      <c r="L677" s="202" t="s">
        <v>156</v>
      </c>
      <c r="M677" s="89"/>
      <c r="N677" s="219"/>
      <c r="O677" s="199"/>
      <c r="P677" s="200"/>
      <c r="Q677" s="309"/>
      <c r="R677" s="309"/>
      <c r="S677" s="86"/>
      <c r="T677" s="86"/>
      <c r="U677" s="86"/>
      <c r="V677" s="86"/>
      <c r="W677" s="86"/>
      <c r="X677" s="86"/>
      <c r="Y677" s="86"/>
      <c r="Z677" s="86"/>
      <c r="AA677" s="86"/>
      <c r="AB677" s="86"/>
      <c r="AC677" s="86"/>
    </row>
    <row r="678" spans="1:29" ht="30" customHeight="1">
      <c r="A678" s="189">
        <v>29</v>
      </c>
      <c r="B678" s="188" t="s">
        <v>69</v>
      </c>
      <c r="C678" s="307" t="s">
        <v>86</v>
      </c>
      <c r="D678" s="308"/>
      <c r="E678" s="179"/>
      <c r="F678" s="191" t="s">
        <v>71</v>
      </c>
      <c r="G678" s="201">
        <v>10</v>
      </c>
      <c r="H678" s="201">
        <v>12</v>
      </c>
      <c r="I678" s="201">
        <v>9</v>
      </c>
      <c r="J678" s="201">
        <v>10</v>
      </c>
      <c r="K678" s="201">
        <v>12</v>
      </c>
      <c r="L678" s="201">
        <v>9</v>
      </c>
      <c r="M678" s="89"/>
      <c r="N678" s="219"/>
      <c r="O678" s="199"/>
      <c r="P678" s="200"/>
      <c r="Q678" s="309"/>
      <c r="R678" s="309"/>
      <c r="S678" s="86"/>
      <c r="T678" s="86"/>
      <c r="U678" s="86"/>
      <c r="V678" s="86"/>
      <c r="W678" s="86"/>
      <c r="X678" s="86"/>
      <c r="Y678" s="86"/>
      <c r="Z678" s="86"/>
      <c r="AA678" s="86"/>
      <c r="AB678" s="86"/>
      <c r="AC678" s="86"/>
    </row>
    <row r="679" spans="1:29" ht="30" customHeight="1">
      <c r="A679" s="189">
        <v>30</v>
      </c>
      <c r="B679" s="188" t="s">
        <v>69</v>
      </c>
      <c r="C679" s="307" t="s">
        <v>87</v>
      </c>
      <c r="D679" s="308"/>
      <c r="E679" s="179"/>
      <c r="F679" s="191" t="s">
        <v>71</v>
      </c>
      <c r="G679" s="202" t="s">
        <v>156</v>
      </c>
      <c r="H679" s="202" t="s">
        <v>156</v>
      </c>
      <c r="I679" s="202" t="s">
        <v>156</v>
      </c>
      <c r="J679" s="202" t="s">
        <v>156</v>
      </c>
      <c r="K679" s="202" t="s">
        <v>156</v>
      </c>
      <c r="L679" s="202" t="s">
        <v>156</v>
      </c>
      <c r="M679" s="89"/>
      <c r="N679" s="219"/>
      <c r="O679" s="199"/>
      <c r="P679" s="200"/>
      <c r="Q679" s="309"/>
      <c r="R679" s="309"/>
      <c r="S679" s="86"/>
      <c r="T679" s="86"/>
      <c r="U679" s="86"/>
      <c r="V679" s="86"/>
      <c r="W679" s="86"/>
      <c r="X679" s="86"/>
      <c r="Y679" s="86"/>
      <c r="Z679" s="86"/>
      <c r="AA679" s="86"/>
      <c r="AB679" s="86"/>
      <c r="AC679" s="86"/>
    </row>
    <row r="680" spans="1:29" ht="30" customHeight="1">
      <c r="A680" s="189">
        <v>31</v>
      </c>
      <c r="B680" s="188" t="s">
        <v>69</v>
      </c>
      <c r="C680" s="307" t="s">
        <v>105</v>
      </c>
      <c r="D680" s="308"/>
      <c r="E680" s="179"/>
      <c r="F680" s="191" t="s">
        <v>71</v>
      </c>
      <c r="G680" s="201">
        <v>2</v>
      </c>
      <c r="H680" s="203" t="s">
        <v>156</v>
      </c>
      <c r="I680" s="201">
        <v>8</v>
      </c>
      <c r="J680" s="201">
        <v>2</v>
      </c>
      <c r="K680" s="203" t="s">
        <v>156</v>
      </c>
      <c r="L680" s="201">
        <v>8</v>
      </c>
      <c r="M680" s="89"/>
      <c r="N680" s="219"/>
      <c r="O680" s="199"/>
      <c r="P680" s="200"/>
      <c r="Q680" s="309"/>
      <c r="R680" s="309"/>
      <c r="S680" s="86"/>
      <c r="T680" s="86"/>
      <c r="U680" s="86"/>
      <c r="V680" s="86"/>
      <c r="W680" s="86"/>
      <c r="X680" s="86"/>
      <c r="Y680" s="86"/>
      <c r="Z680" s="86"/>
      <c r="AA680" s="86"/>
      <c r="AB680" s="86"/>
      <c r="AC680" s="86"/>
    </row>
    <row r="681" spans="1:29" ht="30" customHeight="1">
      <c r="A681" s="189">
        <v>32</v>
      </c>
      <c r="B681" s="188" t="s">
        <v>69</v>
      </c>
      <c r="C681" s="307" t="s">
        <v>133</v>
      </c>
      <c r="D681" s="308"/>
      <c r="E681" s="179"/>
      <c r="F681" s="191" t="s">
        <v>71</v>
      </c>
      <c r="G681" s="202" t="s">
        <v>156</v>
      </c>
      <c r="H681" s="202" t="s">
        <v>156</v>
      </c>
      <c r="I681" s="202" t="s">
        <v>156</v>
      </c>
      <c r="J681" s="202" t="s">
        <v>156</v>
      </c>
      <c r="K681" s="202" t="s">
        <v>156</v>
      </c>
      <c r="L681" s="202" t="s">
        <v>156</v>
      </c>
      <c r="M681" s="89"/>
      <c r="N681" s="219"/>
      <c r="O681" s="199"/>
      <c r="P681" s="200"/>
      <c r="Q681" s="309"/>
      <c r="R681" s="309"/>
      <c r="S681" s="86"/>
      <c r="T681" s="86"/>
      <c r="U681" s="86"/>
      <c r="V681" s="86"/>
      <c r="W681" s="86"/>
      <c r="X681" s="86"/>
      <c r="Y681" s="86"/>
      <c r="Z681" s="86"/>
      <c r="AA681" s="86"/>
      <c r="AB681" s="86"/>
      <c r="AC681" s="86"/>
    </row>
    <row r="682" spans="1:29" ht="30" customHeight="1">
      <c r="A682" s="189">
        <v>33</v>
      </c>
      <c r="B682" s="188" t="s">
        <v>69</v>
      </c>
      <c r="C682" s="307" t="s">
        <v>88</v>
      </c>
      <c r="D682" s="308"/>
      <c r="E682" s="179"/>
      <c r="F682" s="191" t="s">
        <v>71</v>
      </c>
      <c r="G682" s="201">
        <v>3</v>
      </c>
      <c r="H682" s="201">
        <v>7</v>
      </c>
      <c r="I682" s="201">
        <v>7</v>
      </c>
      <c r="J682" s="201">
        <v>3</v>
      </c>
      <c r="K682" s="201">
        <v>7</v>
      </c>
      <c r="L682" s="201">
        <v>7</v>
      </c>
      <c r="M682" s="89"/>
      <c r="N682" s="219"/>
      <c r="O682" s="199"/>
      <c r="P682" s="200"/>
      <c r="Q682" s="309"/>
      <c r="R682" s="309"/>
      <c r="S682" s="86"/>
      <c r="T682" s="86"/>
      <c r="U682" s="86"/>
      <c r="V682" s="86"/>
      <c r="W682" s="86"/>
      <c r="X682" s="86"/>
      <c r="Y682" s="86"/>
      <c r="Z682" s="86"/>
      <c r="AA682" s="86"/>
      <c r="AB682" s="86"/>
      <c r="AC682" s="86"/>
    </row>
    <row r="683" spans="1:29" ht="30" customHeight="1">
      <c r="A683" s="189">
        <v>34</v>
      </c>
      <c r="B683" s="188" t="s">
        <v>69</v>
      </c>
      <c r="C683" s="307" t="s">
        <v>89</v>
      </c>
      <c r="D683" s="308"/>
      <c r="E683" s="179"/>
      <c r="F683" s="191" t="s">
        <v>71</v>
      </c>
      <c r="G683" s="202" t="s">
        <v>156</v>
      </c>
      <c r="H683" s="202" t="s">
        <v>156</v>
      </c>
      <c r="I683" s="202" t="s">
        <v>156</v>
      </c>
      <c r="J683" s="202" t="s">
        <v>156</v>
      </c>
      <c r="K683" s="202" t="s">
        <v>156</v>
      </c>
      <c r="L683" s="202" t="s">
        <v>156</v>
      </c>
      <c r="M683" s="89"/>
      <c r="N683" s="219"/>
      <c r="O683" s="199"/>
      <c r="P683" s="200"/>
      <c r="Q683" s="309"/>
      <c r="R683" s="309"/>
      <c r="S683" s="86"/>
      <c r="T683" s="86"/>
      <c r="U683" s="86"/>
      <c r="V683" s="86"/>
      <c r="W683" s="86"/>
      <c r="X683" s="86"/>
      <c r="Y683" s="86"/>
      <c r="Z683" s="86"/>
      <c r="AA683" s="86"/>
      <c r="AB683" s="86"/>
      <c r="AC683" s="86"/>
    </row>
    <row r="684" spans="1:29" ht="30" customHeight="1">
      <c r="A684" s="189">
        <v>35</v>
      </c>
      <c r="B684" s="188" t="s">
        <v>69</v>
      </c>
      <c r="C684" s="307" t="s">
        <v>140</v>
      </c>
      <c r="D684" s="308"/>
      <c r="E684" s="179"/>
      <c r="F684" s="191" t="s">
        <v>71</v>
      </c>
      <c r="G684" s="202" t="s">
        <v>156</v>
      </c>
      <c r="H684" s="202" t="s">
        <v>156</v>
      </c>
      <c r="I684" s="201">
        <v>3</v>
      </c>
      <c r="J684" s="202" t="s">
        <v>156</v>
      </c>
      <c r="K684" s="202" t="s">
        <v>156</v>
      </c>
      <c r="L684" s="201">
        <v>3</v>
      </c>
      <c r="M684" s="89"/>
      <c r="N684" s="220"/>
      <c r="O684" s="199"/>
      <c r="P684" s="200"/>
      <c r="Q684" s="309"/>
      <c r="R684" s="309"/>
      <c r="S684" s="86"/>
      <c r="T684" s="86"/>
      <c r="U684" s="86"/>
      <c r="V684" s="86"/>
      <c r="W684" s="86"/>
      <c r="X684" s="86"/>
      <c r="Y684" s="86"/>
      <c r="Z684" s="86"/>
      <c r="AA684" s="86"/>
      <c r="AB684" s="86"/>
      <c r="AC684" s="86"/>
    </row>
    <row r="685" spans="1:29" ht="30" customHeight="1">
      <c r="A685" s="189">
        <v>36</v>
      </c>
      <c r="B685" s="188" t="s">
        <v>69</v>
      </c>
      <c r="C685" s="307" t="s">
        <v>134</v>
      </c>
      <c r="D685" s="308"/>
      <c r="E685" s="179"/>
      <c r="F685" s="191" t="s">
        <v>71</v>
      </c>
      <c r="G685" s="202" t="s">
        <v>156</v>
      </c>
      <c r="H685" s="202" t="s">
        <v>156</v>
      </c>
      <c r="I685" s="202" t="s">
        <v>156</v>
      </c>
      <c r="J685" s="202" t="s">
        <v>156</v>
      </c>
      <c r="K685" s="202" t="s">
        <v>156</v>
      </c>
      <c r="L685" s="202" t="s">
        <v>156</v>
      </c>
      <c r="M685" s="89"/>
      <c r="N685" s="220"/>
      <c r="O685" s="199"/>
      <c r="P685" s="200"/>
      <c r="Q685" s="309"/>
      <c r="R685" s="309"/>
      <c r="S685" s="86"/>
      <c r="T685" s="86"/>
      <c r="U685" s="86"/>
      <c r="V685" s="86"/>
      <c r="W685" s="86"/>
      <c r="X685" s="86"/>
      <c r="Y685" s="86"/>
      <c r="Z685" s="86"/>
      <c r="AA685" s="86"/>
      <c r="AB685" s="86"/>
      <c r="AC685" s="86"/>
    </row>
    <row r="686" spans="1:29" ht="30" customHeight="1">
      <c r="A686" s="189">
        <v>37</v>
      </c>
      <c r="B686" s="188" t="s">
        <v>69</v>
      </c>
      <c r="C686" s="307" t="s">
        <v>90</v>
      </c>
      <c r="D686" s="308"/>
      <c r="E686" s="179"/>
      <c r="F686" s="191" t="s">
        <v>71</v>
      </c>
      <c r="G686" s="202" t="s">
        <v>156</v>
      </c>
      <c r="H686" s="202" t="s">
        <v>156</v>
      </c>
      <c r="I686" s="202" t="s">
        <v>156</v>
      </c>
      <c r="J686" s="202" t="s">
        <v>156</v>
      </c>
      <c r="K686" s="202" t="s">
        <v>156</v>
      </c>
      <c r="L686" s="202" t="s">
        <v>156</v>
      </c>
      <c r="M686" s="89"/>
      <c r="N686" s="220"/>
      <c r="O686" s="199"/>
      <c r="P686" s="200"/>
      <c r="Q686" s="309"/>
      <c r="R686" s="309"/>
      <c r="S686" s="86"/>
      <c r="T686" s="86"/>
      <c r="U686" s="86"/>
      <c r="V686" s="86"/>
      <c r="W686" s="86"/>
      <c r="X686" s="86"/>
      <c r="Y686" s="86"/>
      <c r="Z686" s="86"/>
      <c r="AA686" s="86"/>
      <c r="AB686" s="86"/>
      <c r="AC686" s="86"/>
    </row>
    <row r="687" spans="1:29" ht="30" customHeight="1">
      <c r="A687" s="189">
        <v>38</v>
      </c>
      <c r="B687" s="188" t="s">
        <v>69</v>
      </c>
      <c r="C687" s="307" t="s">
        <v>106</v>
      </c>
      <c r="D687" s="308"/>
      <c r="E687" s="150"/>
      <c r="F687" s="191" t="s">
        <v>71</v>
      </c>
      <c r="G687" s="202" t="s">
        <v>156</v>
      </c>
      <c r="H687" s="202" t="s">
        <v>156</v>
      </c>
      <c r="I687" s="202" t="s">
        <v>156</v>
      </c>
      <c r="J687" s="202" t="s">
        <v>156</v>
      </c>
      <c r="K687" s="202" t="s">
        <v>156</v>
      </c>
      <c r="L687" s="202" t="s">
        <v>156</v>
      </c>
      <c r="M687" s="89"/>
      <c r="N687" s="220"/>
      <c r="O687" s="199"/>
      <c r="P687" s="200"/>
      <c r="Q687" s="309"/>
      <c r="R687" s="309"/>
      <c r="S687" s="86"/>
      <c r="T687" s="86"/>
      <c r="U687" s="86"/>
      <c r="V687" s="86"/>
      <c r="W687" s="86"/>
      <c r="X687" s="86"/>
      <c r="Y687" s="86"/>
      <c r="Z687" s="86"/>
      <c r="AA687" s="86"/>
      <c r="AB687" s="86"/>
      <c r="AC687" s="86"/>
    </row>
    <row r="688" spans="1:29" ht="25.5" customHeight="1">
      <c r="A688" s="310" t="s">
        <v>92</v>
      </c>
      <c r="B688" s="310"/>
      <c r="C688" s="310"/>
      <c r="D688" s="310"/>
      <c r="E688" s="310"/>
      <c r="F688" s="310"/>
      <c r="G688" s="310"/>
      <c r="H688" s="310"/>
      <c r="I688" s="310"/>
      <c r="J688" s="310"/>
      <c r="K688" s="310"/>
      <c r="L688" s="310"/>
      <c r="M688" s="92"/>
    </row>
    <row r="689" spans="1:16" ht="19.5" customHeight="1">
      <c r="A689" s="139"/>
      <c r="B689" s="139"/>
      <c r="C689" s="140"/>
      <c r="D689" s="140" t="s">
        <v>145</v>
      </c>
      <c r="E689" s="140"/>
      <c r="F689" s="152" t="s">
        <v>54</v>
      </c>
      <c r="G689" s="152"/>
      <c r="H689" s="152"/>
      <c r="I689" s="152"/>
      <c r="J689" s="152" t="s">
        <v>144</v>
      </c>
      <c r="K689" s="152"/>
      <c r="L689" s="140"/>
      <c r="M689" s="94"/>
    </row>
    <row r="690" spans="1:16" ht="28.5" customHeight="1">
      <c r="A690" s="310" t="s">
        <v>93</v>
      </c>
      <c r="B690" s="310"/>
      <c r="C690" s="310"/>
      <c r="D690" s="310"/>
      <c r="E690" s="310"/>
      <c r="F690" s="310"/>
      <c r="G690" s="310"/>
      <c r="H690" s="310"/>
      <c r="I690" s="310"/>
      <c r="J690" s="310"/>
      <c r="K690" s="310"/>
      <c r="L690" s="310"/>
      <c r="M690" s="92"/>
      <c r="N690" s="311"/>
      <c r="O690" s="311"/>
      <c r="P690" s="311"/>
    </row>
    <row r="691" spans="1:16" ht="20.25" customHeight="1">
      <c r="A691" s="139"/>
      <c r="B691" s="139"/>
      <c r="C691" s="139"/>
      <c r="D691" s="140" t="s">
        <v>145</v>
      </c>
      <c r="E691" s="140"/>
      <c r="F691" s="152" t="s">
        <v>54</v>
      </c>
      <c r="G691" s="152"/>
      <c r="H691" s="152"/>
      <c r="I691" s="152"/>
      <c r="J691" s="152" t="s">
        <v>144</v>
      </c>
      <c r="K691" s="152"/>
      <c r="L691" s="139"/>
      <c r="M691" s="94"/>
      <c r="N691" s="221"/>
      <c r="O691" s="95"/>
      <c r="P691" s="95"/>
    </row>
    <row r="692" spans="1:16" ht="26.25" customHeight="1">
      <c r="A692" s="312" t="s">
        <v>94</v>
      </c>
      <c r="B692" s="312"/>
      <c r="C692" s="312"/>
      <c r="D692" s="312"/>
      <c r="E692" s="312"/>
      <c r="F692" s="312"/>
      <c r="G692" s="312"/>
      <c r="H692" s="312"/>
      <c r="I692" s="312"/>
      <c r="J692" s="312"/>
      <c r="K692" s="312"/>
      <c r="L692" s="312"/>
      <c r="M692" s="92"/>
    </row>
    <row r="693" spans="1:16" ht="22.5" customHeight="1">
      <c r="A693" s="120"/>
      <c r="B693" s="120"/>
      <c r="C693" s="120"/>
      <c r="D693" s="120"/>
      <c r="E693" s="120"/>
      <c r="F693" s="120"/>
      <c r="G693" s="120"/>
      <c r="H693" s="120"/>
      <c r="I693" s="120"/>
      <c r="J693" s="120"/>
      <c r="K693" s="120"/>
      <c r="L693" s="120"/>
      <c r="M693" s="94"/>
    </row>
    <row r="694" spans="1:16" ht="22.5" customHeight="1">
      <c r="A694" s="313" t="s">
        <v>95</v>
      </c>
      <c r="B694" s="313"/>
      <c r="C694" s="313"/>
      <c r="D694" s="313"/>
      <c r="E694" s="313"/>
      <c r="F694" s="313"/>
      <c r="G694" s="313"/>
      <c r="H694" s="313"/>
      <c r="I694" s="313"/>
      <c r="J694" s="313"/>
      <c r="K694" s="313"/>
      <c r="L694" s="313"/>
      <c r="M694" s="92"/>
    </row>
    <row r="695" spans="1:16" ht="19.5" customHeight="1">
      <c r="A695" s="97"/>
      <c r="B695" s="97"/>
      <c r="C695" s="145"/>
      <c r="D695" s="97"/>
      <c r="E695" s="97"/>
      <c r="F695" s="97"/>
      <c r="G695" s="97"/>
      <c r="H695" s="97"/>
      <c r="I695" s="97"/>
      <c r="J695" s="97"/>
      <c r="K695" s="97"/>
      <c r="L695" s="97"/>
      <c r="M695" s="94"/>
    </row>
    <row r="696" spans="1:16" ht="5.25" customHeight="1">
      <c r="A696" s="94"/>
      <c r="B696" s="94"/>
      <c r="C696" s="146"/>
      <c r="D696" s="94"/>
      <c r="E696" s="94"/>
      <c r="F696" s="94"/>
      <c r="G696" s="94"/>
      <c r="H696" s="94"/>
      <c r="I696" s="94"/>
      <c r="J696" s="94"/>
      <c r="K696" s="94"/>
      <c r="L696" s="94"/>
      <c r="M696" s="94"/>
    </row>
    <row r="697" spans="1:16" ht="16.5" customHeight="1">
      <c r="A697" s="314" t="s">
        <v>96</v>
      </c>
      <c r="B697" s="314"/>
      <c r="C697" s="314"/>
      <c r="D697" s="314"/>
      <c r="E697" s="98"/>
      <c r="F697" s="98"/>
      <c r="G697" s="98"/>
      <c r="H697" s="315" t="s">
        <v>97</v>
      </c>
      <c r="I697" s="315"/>
      <c r="J697" s="315"/>
      <c r="K697" s="315"/>
      <c r="L697" s="315"/>
      <c r="M697" s="94"/>
    </row>
    <row r="698" spans="1:16" ht="95.1" customHeight="1">
      <c r="A698" s="99"/>
      <c r="B698" s="101" t="str">
        <f>B628</f>
        <v>Ông Huỳnh Phước Hải        ….............</v>
      </c>
      <c r="C698" s="147"/>
      <c r="D698" s="99"/>
      <c r="E698" s="81"/>
      <c r="F698" s="100"/>
      <c r="G698" s="100"/>
      <c r="H698" s="306" t="str">
        <f>H628</f>
        <v>Ông Phạm Tấn Việt          …..................</v>
      </c>
      <c r="I698" s="306"/>
      <c r="J698" s="306"/>
      <c r="K698" s="306"/>
      <c r="L698" s="306"/>
      <c r="M698" s="94"/>
    </row>
    <row r="699" spans="1:16" ht="51" customHeight="1">
      <c r="A699" s="99"/>
      <c r="B699" s="99"/>
      <c r="C699" s="147"/>
      <c r="D699" s="99"/>
      <c r="E699" s="81"/>
      <c r="F699" s="100"/>
      <c r="G699" s="100"/>
      <c r="H699" s="100"/>
      <c r="I699" s="100"/>
      <c r="J699" s="99"/>
      <c r="K699" s="99"/>
      <c r="L699" s="99"/>
      <c r="M699" s="94"/>
    </row>
    <row r="700" spans="1:16" ht="21.75" customHeight="1">
      <c r="A700" s="348" t="s">
        <v>165</v>
      </c>
      <c r="B700" s="348"/>
      <c r="C700" s="348"/>
      <c r="D700" s="348"/>
      <c r="E700" s="348"/>
      <c r="F700" s="348"/>
      <c r="G700" s="348"/>
      <c r="H700" s="348"/>
      <c r="I700" s="348"/>
      <c r="J700" s="348"/>
      <c r="K700" s="348"/>
      <c r="L700" s="348"/>
      <c r="M700" s="82"/>
    </row>
    <row r="701" spans="1:16" ht="19.5">
      <c r="A701" s="84" t="str">
        <f>"Ngày "&amp;N702&amp;" tháng "&amp;O3&amp;" năm "&amp;P3&amp;""</f>
        <v>Ngày 11 tháng 07 năm 2026</v>
      </c>
      <c r="B701" s="84"/>
      <c r="C701" s="85"/>
      <c r="N701" s="216"/>
      <c r="O701" s="20"/>
      <c r="P701" s="20"/>
    </row>
    <row r="702" spans="1:16" ht="16.5">
      <c r="A702" s="337" t="s">
        <v>57</v>
      </c>
      <c r="B702" s="337"/>
      <c r="C702" s="337"/>
      <c r="D702" s="311"/>
      <c r="E702" s="311"/>
      <c r="F702" s="311"/>
      <c r="G702" s="95"/>
      <c r="H702" s="95"/>
      <c r="I702" s="95"/>
      <c r="J702" s="95"/>
      <c r="K702" s="95"/>
      <c r="L702" s="95"/>
      <c r="N702" s="217" t="s">
        <v>173</v>
      </c>
      <c r="O702" s="214"/>
      <c r="P702" s="17"/>
    </row>
    <row r="703" spans="1:16" ht="15.75" customHeight="1">
      <c r="A703" s="338"/>
      <c r="B703" s="338"/>
      <c r="C703" s="338"/>
      <c r="D703" s="339" t="s">
        <v>58</v>
      </c>
      <c r="E703" s="340"/>
      <c r="F703" s="340"/>
      <c r="G703" s="340"/>
      <c r="H703" s="341"/>
      <c r="I703" s="339" t="s">
        <v>59</v>
      </c>
      <c r="J703" s="340"/>
      <c r="K703" s="340"/>
      <c r="L703" s="341"/>
    </row>
    <row r="704" spans="1:16" ht="19.5" customHeight="1">
      <c r="A704" s="342" t="s">
        <v>60</v>
      </c>
      <c r="B704" s="342"/>
      <c r="C704" s="342"/>
      <c r="D704" s="343" t="s">
        <v>54</v>
      </c>
      <c r="E704" s="344"/>
      <c r="F704" s="344"/>
      <c r="G704" s="344"/>
      <c r="H704" s="345"/>
      <c r="I704" s="343" t="s">
        <v>54</v>
      </c>
      <c r="J704" s="344"/>
      <c r="K704" s="344"/>
      <c r="L704" s="345"/>
    </row>
    <row r="705" spans="1:29" ht="22.5" customHeight="1">
      <c r="A705" s="342" t="s">
        <v>61</v>
      </c>
      <c r="B705" s="342"/>
      <c r="C705" s="342"/>
      <c r="D705" s="343" t="s">
        <v>163</v>
      </c>
      <c r="E705" s="344"/>
      <c r="F705" s="344"/>
      <c r="G705" s="344"/>
      <c r="H705" s="345"/>
      <c r="I705" s="343" t="str">
        <f>D705</f>
        <v>31° - 34°</v>
      </c>
      <c r="J705" s="344"/>
      <c r="K705" s="344"/>
      <c r="L705" s="345"/>
    </row>
    <row r="706" spans="1:29" s="87" customFormat="1" ht="19.5" customHeight="1">
      <c r="A706" s="310" t="s">
        <v>62</v>
      </c>
      <c r="B706" s="310"/>
      <c r="C706" s="310"/>
      <c r="D706" s="310"/>
      <c r="E706" s="310"/>
      <c r="F706" s="310"/>
      <c r="G706" s="310"/>
      <c r="H706" s="310"/>
      <c r="I706" s="310"/>
      <c r="J706" s="310"/>
      <c r="K706" s="310"/>
      <c r="L706" s="310"/>
      <c r="M706" s="85"/>
      <c r="N706" s="218"/>
    </row>
    <row r="707" spans="1:29" s="87" customFormat="1" ht="15.75">
      <c r="A707" s="332" t="s">
        <v>63</v>
      </c>
      <c r="B707" s="332"/>
      <c r="C707" s="332"/>
      <c r="D707" s="332"/>
      <c r="E707" s="332"/>
      <c r="F707" s="332"/>
      <c r="G707" s="332"/>
      <c r="H707" s="332"/>
      <c r="I707" s="332"/>
      <c r="J707" s="332"/>
      <c r="K707" s="332"/>
      <c r="L707" s="332"/>
      <c r="M707" s="85"/>
      <c r="N707" s="218"/>
    </row>
    <row r="708" spans="1:29" s="87" customFormat="1" ht="20.100000000000001" customHeight="1">
      <c r="A708" s="88"/>
      <c r="B708" s="88"/>
      <c r="C708" s="333" t="s">
        <v>64</v>
      </c>
      <c r="D708" s="334"/>
      <c r="E708" s="334"/>
      <c r="F708" s="334"/>
      <c r="G708" s="334"/>
      <c r="H708" s="334"/>
      <c r="I708" s="334"/>
      <c r="J708" s="334"/>
      <c r="K708" s="334"/>
      <c r="L708" s="334"/>
      <c r="M708" s="85"/>
      <c r="N708" s="218"/>
    </row>
    <row r="709" spans="1:29" s="87" customFormat="1" ht="20.100000000000001" customHeight="1">
      <c r="A709" s="88"/>
      <c r="B709" s="88"/>
      <c r="C709" s="333" t="s">
        <v>65</v>
      </c>
      <c r="D709" s="334"/>
      <c r="E709" s="334"/>
      <c r="F709" s="334"/>
      <c r="G709" s="334"/>
      <c r="H709" s="334"/>
      <c r="I709" s="334"/>
      <c r="J709" s="334"/>
      <c r="K709" s="334"/>
      <c r="L709" s="334"/>
      <c r="M709" s="85"/>
      <c r="N709" s="218"/>
    </row>
    <row r="710" spans="1:29" s="87" customFormat="1" ht="17.25" customHeight="1">
      <c r="A710" s="335" t="s">
        <v>66</v>
      </c>
      <c r="B710" s="335"/>
      <c r="C710" s="335"/>
      <c r="D710" s="335"/>
      <c r="E710" s="335"/>
      <c r="F710" s="335"/>
      <c r="G710" s="335"/>
      <c r="H710" s="335"/>
      <c r="I710" s="335"/>
      <c r="J710" s="335"/>
      <c r="K710" s="335"/>
      <c r="L710" s="335"/>
      <c r="M710" s="85"/>
      <c r="N710" s="218"/>
    </row>
    <row r="711" spans="1:29" s="87" customFormat="1" ht="7.5" customHeight="1">
      <c r="A711" s="119"/>
      <c r="B711" s="119"/>
      <c r="C711" s="119"/>
      <c r="D711" s="119"/>
      <c r="E711" s="119"/>
      <c r="F711" s="119"/>
      <c r="G711" s="119"/>
      <c r="H711" s="119"/>
      <c r="I711" s="119"/>
      <c r="J711" s="119"/>
      <c r="K711" s="119"/>
      <c r="L711" s="119"/>
      <c r="M711" s="85"/>
      <c r="N711" s="218"/>
    </row>
    <row r="712" spans="1:29" ht="15.75">
      <c r="A712" s="336" t="s">
        <v>67</v>
      </c>
      <c r="B712" s="336"/>
      <c r="C712" s="336"/>
      <c r="D712" s="336"/>
      <c r="E712" s="336"/>
      <c r="F712" s="336"/>
      <c r="G712" s="336"/>
      <c r="H712" s="336"/>
      <c r="I712" s="336"/>
      <c r="J712" s="336"/>
      <c r="K712" s="336"/>
      <c r="L712" s="336"/>
    </row>
    <row r="713" spans="1:29" ht="2.25" customHeight="1">
      <c r="A713" s="141"/>
      <c r="B713" s="141"/>
      <c r="C713" s="141"/>
      <c r="D713" s="141"/>
      <c r="E713" s="141"/>
      <c r="F713" s="141"/>
      <c r="G713" s="155"/>
      <c r="H713" s="155"/>
      <c r="I713" s="155"/>
      <c r="J713" s="155"/>
      <c r="K713" s="155"/>
      <c r="L713" s="155"/>
    </row>
    <row r="714" spans="1:29" ht="27.75" customHeight="1">
      <c r="A714" s="317" t="s">
        <v>135</v>
      </c>
      <c r="B714" s="318"/>
      <c r="C714" s="317" t="s">
        <v>68</v>
      </c>
      <c r="D714" s="318"/>
      <c r="E714" s="183"/>
      <c r="F714" s="321" t="s">
        <v>136</v>
      </c>
      <c r="G714" s="322" t="s">
        <v>155</v>
      </c>
      <c r="H714" s="323"/>
      <c r="I714" s="323"/>
      <c r="J714" s="322" t="s">
        <v>154</v>
      </c>
      <c r="K714" s="323"/>
      <c r="L714" s="324"/>
      <c r="M714" s="92"/>
      <c r="O714" s="325"/>
      <c r="P714" s="325"/>
      <c r="Q714" s="325"/>
      <c r="R714" s="325"/>
      <c r="S714" s="316"/>
      <c r="T714" s="316"/>
      <c r="U714" s="316"/>
      <c r="V714" s="316"/>
      <c r="W714" s="316"/>
      <c r="X714" s="316"/>
      <c r="Y714" s="316"/>
      <c r="Z714" s="316"/>
      <c r="AA714" s="316"/>
      <c r="AB714" s="316"/>
      <c r="AC714" s="316"/>
    </row>
    <row r="715" spans="1:29" ht="125.25" customHeight="1">
      <c r="A715" s="319"/>
      <c r="B715" s="320"/>
      <c r="C715" s="319"/>
      <c r="D715" s="320"/>
      <c r="E715" s="184"/>
      <c r="F715" s="321"/>
      <c r="G715" s="153" t="s">
        <v>151</v>
      </c>
      <c r="H715" s="153" t="s">
        <v>152</v>
      </c>
      <c r="I715" s="153" t="s">
        <v>153</v>
      </c>
      <c r="J715" s="153" t="s">
        <v>151</v>
      </c>
      <c r="K715" s="153" t="s">
        <v>152</v>
      </c>
      <c r="L715" s="153" t="s">
        <v>153</v>
      </c>
      <c r="O715" s="325"/>
      <c r="P715" s="325"/>
      <c r="Q715" s="325"/>
      <c r="R715" s="325"/>
      <c r="S715" s="193"/>
      <c r="T715" s="193"/>
      <c r="U715" s="193"/>
      <c r="V715" s="193"/>
      <c r="W715" s="193"/>
      <c r="X715" s="193"/>
      <c r="Y715" s="193"/>
      <c r="Z715" s="193"/>
      <c r="AA715" s="193"/>
      <c r="AB715" s="193"/>
      <c r="AC715" s="193"/>
    </row>
    <row r="716" spans="1:29" ht="24.75" customHeight="1">
      <c r="A716" s="190" t="s">
        <v>128</v>
      </c>
      <c r="B716" s="142"/>
      <c r="C716" s="330" t="s">
        <v>129</v>
      </c>
      <c r="D716" s="330"/>
      <c r="E716" s="330"/>
      <c r="F716" s="330"/>
      <c r="G716" s="330"/>
      <c r="H716" s="330"/>
      <c r="I716" s="330"/>
      <c r="J716" s="330"/>
      <c r="K716" s="330"/>
      <c r="L716" s="330"/>
      <c r="M716" s="93"/>
      <c r="O716" s="156"/>
      <c r="P716" s="142"/>
      <c r="Q716" s="331"/>
      <c r="R716" s="331"/>
      <c r="S716" s="331"/>
      <c r="T716" s="331"/>
      <c r="U716" s="331"/>
      <c r="V716" s="331"/>
      <c r="W716" s="331"/>
      <c r="X716" s="331"/>
      <c r="Y716" s="331"/>
      <c r="Z716" s="331"/>
      <c r="AA716" s="331"/>
      <c r="AB716" s="331"/>
      <c r="AC716" s="331"/>
    </row>
    <row r="717" spans="1:29" ht="20.100000000000001" customHeight="1">
      <c r="A717" s="187">
        <v>1</v>
      </c>
      <c r="B717" s="185" t="s">
        <v>69</v>
      </c>
      <c r="C717" s="326" t="s">
        <v>70</v>
      </c>
      <c r="D717" s="326"/>
      <c r="E717" s="176"/>
      <c r="F717" s="144" t="s">
        <v>71</v>
      </c>
      <c r="G717" s="203" t="s">
        <v>156</v>
      </c>
      <c r="H717" s="202" t="s">
        <v>156</v>
      </c>
      <c r="I717" s="201">
        <v>1</v>
      </c>
      <c r="J717" s="202" t="s">
        <v>156</v>
      </c>
      <c r="K717" s="202" t="s">
        <v>156</v>
      </c>
      <c r="L717" s="201">
        <v>1</v>
      </c>
      <c r="M717" s="93"/>
      <c r="O717" s="195"/>
      <c r="P717" s="196"/>
      <c r="Q717" s="327"/>
      <c r="R717" s="327"/>
      <c r="S717" s="86"/>
      <c r="T717" s="86"/>
      <c r="U717" s="86"/>
      <c r="V717" s="86"/>
      <c r="W717" s="194"/>
      <c r="X717" s="194"/>
      <c r="Y717" s="194"/>
      <c r="Z717" s="194"/>
      <c r="AA717" s="194"/>
      <c r="AB717" s="194"/>
      <c r="AC717" s="194"/>
    </row>
    <row r="718" spans="1:29" ht="20.100000000000001" customHeight="1">
      <c r="A718" s="187">
        <v>2</v>
      </c>
      <c r="B718" s="185" t="s">
        <v>69</v>
      </c>
      <c r="C718" s="326" t="s">
        <v>72</v>
      </c>
      <c r="D718" s="326"/>
      <c r="E718" s="176"/>
      <c r="F718" s="144" t="s">
        <v>71</v>
      </c>
      <c r="G718" s="203" t="s">
        <v>156</v>
      </c>
      <c r="H718" s="202" t="s">
        <v>156</v>
      </c>
      <c r="I718" s="202" t="s">
        <v>156</v>
      </c>
      <c r="J718" s="202" t="s">
        <v>156</v>
      </c>
      <c r="K718" s="202" t="s">
        <v>156</v>
      </c>
      <c r="L718" s="202" t="s">
        <v>156</v>
      </c>
      <c r="M718" s="93"/>
      <c r="O718" s="195"/>
      <c r="P718" s="196"/>
      <c r="Q718" s="327"/>
      <c r="R718" s="327"/>
      <c r="S718" s="194"/>
      <c r="T718" s="194"/>
      <c r="U718" s="194"/>
      <c r="V718" s="86"/>
      <c r="W718" s="86"/>
      <c r="X718" s="86"/>
      <c r="Y718" s="86"/>
      <c r="Z718" s="194"/>
      <c r="AA718" s="194"/>
      <c r="AB718" s="194"/>
      <c r="AC718" s="194"/>
    </row>
    <row r="719" spans="1:29" ht="20.100000000000001" customHeight="1">
      <c r="A719" s="187">
        <v>3</v>
      </c>
      <c r="B719" s="185" t="s">
        <v>69</v>
      </c>
      <c r="C719" s="326" t="s">
        <v>73</v>
      </c>
      <c r="D719" s="326"/>
      <c r="E719" s="176"/>
      <c r="F719" s="144" t="s">
        <v>71</v>
      </c>
      <c r="G719" s="203" t="s">
        <v>156</v>
      </c>
      <c r="H719" s="202" t="s">
        <v>156</v>
      </c>
      <c r="I719" s="202" t="s">
        <v>156</v>
      </c>
      <c r="J719" s="202" t="s">
        <v>156</v>
      </c>
      <c r="K719" s="202" t="s">
        <v>156</v>
      </c>
      <c r="L719" s="202" t="s">
        <v>156</v>
      </c>
      <c r="M719" s="93"/>
      <c r="O719" s="195"/>
      <c r="P719" s="196"/>
      <c r="Q719" s="327"/>
      <c r="R719" s="327"/>
      <c r="S719" s="194"/>
      <c r="T719" s="86"/>
      <c r="U719" s="86"/>
      <c r="V719" s="86"/>
      <c r="W719" s="86"/>
      <c r="X719" s="194"/>
      <c r="Y719" s="194"/>
      <c r="Z719" s="194"/>
      <c r="AA719" s="194"/>
      <c r="AB719" s="194"/>
      <c r="AC719" s="194"/>
    </row>
    <row r="720" spans="1:29" ht="20.100000000000001" customHeight="1">
      <c r="A720" s="187">
        <v>4</v>
      </c>
      <c r="B720" s="185" t="s">
        <v>69</v>
      </c>
      <c r="C720" s="326" t="s">
        <v>98</v>
      </c>
      <c r="D720" s="326"/>
      <c r="E720" s="176"/>
      <c r="F720" s="144" t="s">
        <v>71</v>
      </c>
      <c r="G720" s="203" t="s">
        <v>156</v>
      </c>
      <c r="H720" s="202" t="s">
        <v>156</v>
      </c>
      <c r="I720" s="202" t="s">
        <v>156</v>
      </c>
      <c r="J720" s="202" t="s">
        <v>156</v>
      </c>
      <c r="K720" s="202" t="s">
        <v>156</v>
      </c>
      <c r="L720" s="202" t="s">
        <v>156</v>
      </c>
      <c r="M720" s="93"/>
      <c r="O720" s="195"/>
      <c r="P720" s="196"/>
      <c r="Q720" s="327"/>
      <c r="R720" s="327"/>
      <c r="S720" s="194"/>
      <c r="T720" s="194"/>
      <c r="U720" s="194"/>
      <c r="V720" s="194"/>
      <c r="W720" s="194"/>
      <c r="X720" s="194"/>
      <c r="Y720" s="194"/>
      <c r="Z720" s="86"/>
      <c r="AA720" s="86"/>
      <c r="AB720" s="86"/>
      <c r="AC720" s="86"/>
    </row>
    <row r="721" spans="1:29" ht="20.100000000000001" customHeight="1">
      <c r="A721" s="187">
        <v>5</v>
      </c>
      <c r="B721" s="185" t="s">
        <v>69</v>
      </c>
      <c r="C721" s="326" t="s">
        <v>74</v>
      </c>
      <c r="D721" s="326"/>
      <c r="E721" s="176"/>
      <c r="F721" s="144" t="s">
        <v>71</v>
      </c>
      <c r="G721" s="203" t="s">
        <v>156</v>
      </c>
      <c r="H721" s="202" t="s">
        <v>156</v>
      </c>
      <c r="I721" s="202" t="s">
        <v>156</v>
      </c>
      <c r="J721" s="202" t="s">
        <v>156</v>
      </c>
      <c r="K721" s="202" t="s">
        <v>156</v>
      </c>
      <c r="L721" s="202" t="s">
        <v>156</v>
      </c>
      <c r="M721" s="93"/>
      <c r="O721" s="195"/>
      <c r="P721" s="196"/>
      <c r="Q721" s="327"/>
      <c r="R721" s="327"/>
      <c r="S721" s="194"/>
      <c r="T721" s="194"/>
      <c r="U721" s="194"/>
      <c r="V721" s="194"/>
      <c r="W721" s="194"/>
      <c r="X721" s="194"/>
      <c r="Y721" s="194"/>
      <c r="Z721" s="194"/>
      <c r="AA721" s="194"/>
      <c r="AB721" s="194"/>
      <c r="AC721" s="194"/>
    </row>
    <row r="722" spans="1:29" ht="20.100000000000001" customHeight="1">
      <c r="A722" s="187">
        <v>6</v>
      </c>
      <c r="B722" s="185" t="s">
        <v>69</v>
      </c>
      <c r="C722" s="326" t="s">
        <v>75</v>
      </c>
      <c r="D722" s="326"/>
      <c r="E722" s="176"/>
      <c r="F722" s="144" t="s">
        <v>71</v>
      </c>
      <c r="G722" s="203" t="s">
        <v>156</v>
      </c>
      <c r="H722" s="202" t="s">
        <v>156</v>
      </c>
      <c r="I722" s="202" t="s">
        <v>156</v>
      </c>
      <c r="J722" s="202" t="s">
        <v>156</v>
      </c>
      <c r="K722" s="202" t="s">
        <v>156</v>
      </c>
      <c r="L722" s="202" t="s">
        <v>156</v>
      </c>
      <c r="M722" s="93"/>
      <c r="O722" s="195"/>
      <c r="P722" s="196"/>
      <c r="Q722" s="327"/>
      <c r="R722" s="327"/>
      <c r="S722" s="194"/>
      <c r="T722" s="194"/>
      <c r="U722" s="194"/>
      <c r="V722" s="194"/>
      <c r="W722" s="194"/>
      <c r="X722" s="194"/>
      <c r="Y722" s="194"/>
      <c r="Z722" s="194"/>
      <c r="AA722" s="194"/>
      <c r="AB722" s="194"/>
      <c r="AC722" s="194"/>
    </row>
    <row r="723" spans="1:29" ht="20.100000000000001" customHeight="1">
      <c r="A723" s="187">
        <v>7</v>
      </c>
      <c r="B723" s="185" t="s">
        <v>69</v>
      </c>
      <c r="C723" s="326" t="s">
        <v>76</v>
      </c>
      <c r="D723" s="326"/>
      <c r="E723" s="176"/>
      <c r="F723" s="144" t="s">
        <v>71</v>
      </c>
      <c r="G723" s="203" t="s">
        <v>156</v>
      </c>
      <c r="H723" s="202" t="s">
        <v>156</v>
      </c>
      <c r="I723" s="202" t="s">
        <v>156</v>
      </c>
      <c r="J723" s="202" t="s">
        <v>156</v>
      </c>
      <c r="K723" s="202" t="s">
        <v>156</v>
      </c>
      <c r="L723" s="202" t="s">
        <v>156</v>
      </c>
      <c r="M723" s="93"/>
      <c r="O723" s="195"/>
      <c r="P723" s="196"/>
      <c r="Q723" s="327"/>
      <c r="R723" s="327"/>
      <c r="S723" s="194"/>
      <c r="T723" s="194"/>
      <c r="U723" s="194"/>
      <c r="V723" s="194"/>
      <c r="W723" s="194"/>
      <c r="X723" s="194"/>
      <c r="Y723" s="194"/>
      <c r="Z723" s="194"/>
      <c r="AA723" s="194"/>
      <c r="AB723" s="194"/>
      <c r="AC723" s="194"/>
    </row>
    <row r="724" spans="1:29" ht="20.100000000000001" customHeight="1">
      <c r="A724" s="187">
        <v>8</v>
      </c>
      <c r="B724" s="185" t="s">
        <v>69</v>
      </c>
      <c r="C724" s="326" t="s">
        <v>99</v>
      </c>
      <c r="D724" s="326"/>
      <c r="E724" s="176"/>
      <c r="F724" s="144" t="s">
        <v>71</v>
      </c>
      <c r="G724" s="203" t="s">
        <v>156</v>
      </c>
      <c r="H724" s="202" t="s">
        <v>156</v>
      </c>
      <c r="I724" s="202" t="s">
        <v>156</v>
      </c>
      <c r="J724" s="202" t="s">
        <v>156</v>
      </c>
      <c r="K724" s="202" t="s">
        <v>156</v>
      </c>
      <c r="L724" s="202" t="s">
        <v>156</v>
      </c>
      <c r="M724" s="93"/>
      <c r="O724" s="195"/>
      <c r="P724" s="196"/>
      <c r="Q724" s="327"/>
      <c r="R724" s="327"/>
      <c r="S724" s="194"/>
      <c r="T724" s="194"/>
      <c r="U724" s="194"/>
      <c r="V724" s="194"/>
      <c r="W724" s="194"/>
      <c r="X724" s="194"/>
      <c r="Y724" s="194"/>
      <c r="Z724" s="194"/>
      <c r="AA724" s="194"/>
      <c r="AB724" s="194"/>
      <c r="AC724" s="194"/>
    </row>
    <row r="725" spans="1:29" ht="20.100000000000001" customHeight="1">
      <c r="A725" s="187">
        <v>9</v>
      </c>
      <c r="B725" s="185" t="s">
        <v>69</v>
      </c>
      <c r="C725" s="326" t="s">
        <v>77</v>
      </c>
      <c r="D725" s="326"/>
      <c r="E725" s="176"/>
      <c r="F725" s="144" t="s">
        <v>71</v>
      </c>
      <c r="G725" s="203" t="s">
        <v>156</v>
      </c>
      <c r="H725" s="202" t="s">
        <v>156</v>
      </c>
      <c r="I725" s="202" t="s">
        <v>156</v>
      </c>
      <c r="J725" s="202" t="s">
        <v>156</v>
      </c>
      <c r="K725" s="202" t="s">
        <v>156</v>
      </c>
      <c r="L725" s="202" t="s">
        <v>156</v>
      </c>
      <c r="M725" s="93"/>
      <c r="O725" s="195"/>
      <c r="P725" s="196"/>
      <c r="Q725" s="327"/>
      <c r="R725" s="327"/>
      <c r="S725" s="194"/>
      <c r="T725" s="194"/>
      <c r="U725" s="194"/>
      <c r="V725" s="194"/>
      <c r="W725" s="194"/>
      <c r="X725" s="194"/>
      <c r="Y725" s="194"/>
      <c r="Z725" s="194"/>
      <c r="AA725" s="194"/>
      <c r="AB725" s="194"/>
      <c r="AC725" s="194"/>
    </row>
    <row r="726" spans="1:29" ht="20.100000000000001" customHeight="1">
      <c r="A726" s="187">
        <v>10</v>
      </c>
      <c r="B726" s="185" t="s">
        <v>69</v>
      </c>
      <c r="C726" s="326" t="s">
        <v>78</v>
      </c>
      <c r="D726" s="326"/>
      <c r="E726" s="176"/>
      <c r="F726" s="144" t="s">
        <v>71</v>
      </c>
      <c r="G726" s="203" t="s">
        <v>156</v>
      </c>
      <c r="H726" s="202" t="s">
        <v>156</v>
      </c>
      <c r="I726" s="202" t="s">
        <v>156</v>
      </c>
      <c r="J726" s="202" t="s">
        <v>156</v>
      </c>
      <c r="K726" s="202" t="s">
        <v>156</v>
      </c>
      <c r="L726" s="202" t="s">
        <v>156</v>
      </c>
      <c r="M726" s="93"/>
      <c r="O726" s="195"/>
      <c r="P726" s="196"/>
      <c r="Q726" s="327"/>
      <c r="R726" s="327"/>
      <c r="S726" s="194"/>
      <c r="T726" s="194"/>
      <c r="U726" s="194"/>
      <c r="V726" s="194"/>
      <c r="W726" s="194"/>
      <c r="X726" s="194"/>
      <c r="Y726" s="194"/>
      <c r="Z726" s="194"/>
      <c r="AA726" s="194"/>
      <c r="AB726" s="194"/>
      <c r="AC726" s="194"/>
    </row>
    <row r="727" spans="1:29" ht="20.100000000000001" customHeight="1">
      <c r="A727" s="187">
        <v>11</v>
      </c>
      <c r="B727" s="185" t="s">
        <v>69</v>
      </c>
      <c r="C727" s="326" t="s">
        <v>79</v>
      </c>
      <c r="D727" s="326"/>
      <c r="E727" s="176"/>
      <c r="F727" s="144" t="s">
        <v>71</v>
      </c>
      <c r="G727" s="203" t="s">
        <v>156</v>
      </c>
      <c r="H727" s="202" t="s">
        <v>156</v>
      </c>
      <c r="I727" s="202" t="s">
        <v>156</v>
      </c>
      <c r="J727" s="202" t="s">
        <v>156</v>
      </c>
      <c r="K727" s="202" t="s">
        <v>156</v>
      </c>
      <c r="L727" s="202" t="s">
        <v>156</v>
      </c>
      <c r="M727" s="93"/>
      <c r="O727" s="195"/>
      <c r="P727" s="196"/>
      <c r="Q727" s="327"/>
      <c r="R727" s="327"/>
      <c r="S727" s="194"/>
      <c r="T727" s="194"/>
      <c r="U727" s="194"/>
      <c r="V727" s="194"/>
      <c r="W727" s="194"/>
      <c r="X727" s="194"/>
      <c r="Y727" s="194"/>
      <c r="Z727" s="194"/>
      <c r="AA727" s="194"/>
      <c r="AB727" s="194"/>
      <c r="AC727" s="194"/>
    </row>
    <row r="728" spans="1:29" ht="20.100000000000001" customHeight="1">
      <c r="A728" s="187">
        <v>12</v>
      </c>
      <c r="B728" s="185" t="s">
        <v>69</v>
      </c>
      <c r="C728" s="326" t="s">
        <v>100</v>
      </c>
      <c r="D728" s="326"/>
      <c r="E728" s="176"/>
      <c r="F728" s="144" t="s">
        <v>71</v>
      </c>
      <c r="G728" s="203" t="s">
        <v>156</v>
      </c>
      <c r="H728" s="202" t="s">
        <v>156</v>
      </c>
      <c r="I728" s="202" t="s">
        <v>156</v>
      </c>
      <c r="J728" s="202" t="s">
        <v>156</v>
      </c>
      <c r="K728" s="202" t="s">
        <v>156</v>
      </c>
      <c r="L728" s="202" t="s">
        <v>156</v>
      </c>
      <c r="M728" s="93"/>
      <c r="O728" s="195"/>
      <c r="P728" s="196"/>
      <c r="Q728" s="327"/>
      <c r="R728" s="327"/>
      <c r="S728" s="194"/>
      <c r="T728" s="194"/>
      <c r="U728" s="194"/>
      <c r="V728" s="194"/>
      <c r="W728" s="194"/>
      <c r="X728" s="194"/>
      <c r="Y728" s="194"/>
      <c r="Z728" s="194"/>
      <c r="AA728" s="194"/>
      <c r="AB728" s="194"/>
      <c r="AC728" s="194"/>
    </row>
    <row r="729" spans="1:29" ht="20.100000000000001" customHeight="1">
      <c r="A729" s="187">
        <v>13</v>
      </c>
      <c r="B729" s="185" t="s">
        <v>69</v>
      </c>
      <c r="C729" s="326" t="s">
        <v>80</v>
      </c>
      <c r="D729" s="326"/>
      <c r="E729" s="176"/>
      <c r="F729" s="144" t="s">
        <v>71</v>
      </c>
      <c r="G729" s="203" t="s">
        <v>156</v>
      </c>
      <c r="H729" s="202" t="s">
        <v>156</v>
      </c>
      <c r="I729" s="202" t="s">
        <v>156</v>
      </c>
      <c r="J729" s="202" t="s">
        <v>156</v>
      </c>
      <c r="K729" s="202" t="s">
        <v>156</v>
      </c>
      <c r="L729" s="202" t="s">
        <v>156</v>
      </c>
      <c r="M729" s="93"/>
      <c r="O729" s="195"/>
      <c r="P729" s="196"/>
      <c r="Q729" s="327"/>
      <c r="R729" s="327"/>
      <c r="S729" s="194"/>
      <c r="T729" s="194"/>
      <c r="U729" s="194"/>
      <c r="V729" s="194"/>
      <c r="W729" s="194"/>
      <c r="X729" s="194"/>
      <c r="Y729" s="194"/>
      <c r="Z729" s="194"/>
      <c r="AA729" s="194"/>
      <c r="AB729" s="194"/>
      <c r="AC729" s="194"/>
    </row>
    <row r="730" spans="1:29" ht="20.100000000000001" customHeight="1">
      <c r="A730" s="187">
        <v>14</v>
      </c>
      <c r="B730" s="185" t="s">
        <v>69</v>
      </c>
      <c r="C730" s="326" t="s">
        <v>91</v>
      </c>
      <c r="D730" s="326"/>
      <c r="E730" s="176"/>
      <c r="F730" s="144" t="s">
        <v>71</v>
      </c>
      <c r="G730" s="203" t="s">
        <v>156</v>
      </c>
      <c r="H730" s="202" t="s">
        <v>156</v>
      </c>
      <c r="I730" s="202" t="s">
        <v>156</v>
      </c>
      <c r="J730" s="202" t="s">
        <v>156</v>
      </c>
      <c r="K730" s="202" t="s">
        <v>156</v>
      </c>
      <c r="L730" s="202" t="s">
        <v>156</v>
      </c>
      <c r="M730" s="93"/>
      <c r="O730" s="195"/>
      <c r="P730" s="196"/>
      <c r="Q730" s="327"/>
      <c r="R730" s="327"/>
      <c r="S730" s="194"/>
      <c r="T730" s="194"/>
      <c r="U730" s="194"/>
      <c r="V730" s="194"/>
      <c r="W730" s="194"/>
      <c r="X730" s="194"/>
      <c r="Y730" s="194"/>
      <c r="Z730" s="194"/>
      <c r="AA730" s="194"/>
      <c r="AB730" s="194"/>
      <c r="AC730" s="194"/>
    </row>
    <row r="731" spans="1:29" ht="20.100000000000001" customHeight="1">
      <c r="A731" s="187">
        <v>15</v>
      </c>
      <c r="B731" s="185" t="s">
        <v>69</v>
      </c>
      <c r="C731" s="326" t="s">
        <v>81</v>
      </c>
      <c r="D731" s="326"/>
      <c r="E731" s="176"/>
      <c r="F731" s="144" t="s">
        <v>71</v>
      </c>
      <c r="G731" s="203" t="s">
        <v>156</v>
      </c>
      <c r="H731" s="202" t="s">
        <v>156</v>
      </c>
      <c r="I731" s="202" t="s">
        <v>156</v>
      </c>
      <c r="J731" s="202" t="s">
        <v>156</v>
      </c>
      <c r="K731" s="202" t="s">
        <v>156</v>
      </c>
      <c r="L731" s="202" t="s">
        <v>156</v>
      </c>
      <c r="M731" s="93"/>
      <c r="O731" s="195"/>
      <c r="P731" s="196"/>
      <c r="Q731" s="327"/>
      <c r="R731" s="327"/>
      <c r="S731" s="194"/>
      <c r="T731" s="194"/>
      <c r="U731" s="194"/>
      <c r="V731" s="194"/>
      <c r="W731" s="194"/>
      <c r="X731" s="194"/>
      <c r="Y731" s="194"/>
      <c r="Z731" s="194"/>
      <c r="AA731" s="194"/>
      <c r="AB731" s="194"/>
      <c r="AC731" s="194"/>
    </row>
    <row r="732" spans="1:29" ht="20.100000000000001" customHeight="1">
      <c r="A732" s="187">
        <v>16</v>
      </c>
      <c r="B732" s="185" t="s">
        <v>69</v>
      </c>
      <c r="C732" s="326" t="s">
        <v>101</v>
      </c>
      <c r="D732" s="326"/>
      <c r="E732" s="151"/>
      <c r="F732" s="144" t="s">
        <v>71</v>
      </c>
      <c r="G732" s="203" t="s">
        <v>156</v>
      </c>
      <c r="H732" s="202" t="s">
        <v>156</v>
      </c>
      <c r="I732" s="202" t="s">
        <v>156</v>
      </c>
      <c r="J732" s="202" t="s">
        <v>156</v>
      </c>
      <c r="K732" s="202" t="s">
        <v>156</v>
      </c>
      <c r="L732" s="202" t="s">
        <v>156</v>
      </c>
      <c r="M732" s="93"/>
      <c r="N732" s="219"/>
      <c r="O732" s="195"/>
      <c r="P732" s="196"/>
      <c r="Q732" s="327"/>
      <c r="R732" s="327"/>
      <c r="S732" s="197"/>
      <c r="T732" s="197"/>
      <c r="U732" s="197"/>
      <c r="V732" s="197"/>
      <c r="W732" s="197"/>
      <c r="X732" s="197"/>
      <c r="Y732" s="197"/>
      <c r="Z732" s="197"/>
      <c r="AA732" s="197"/>
      <c r="AB732" s="197"/>
      <c r="AC732" s="197"/>
    </row>
    <row r="733" spans="1:29" ht="20.100000000000001" customHeight="1">
      <c r="A733" s="187">
        <v>17</v>
      </c>
      <c r="B733" s="186" t="s">
        <v>69</v>
      </c>
      <c r="C733" s="326" t="s">
        <v>141</v>
      </c>
      <c r="D733" s="326"/>
      <c r="E733" s="151"/>
      <c r="F733" s="144" t="s">
        <v>71</v>
      </c>
      <c r="G733" s="203" t="s">
        <v>156</v>
      </c>
      <c r="H733" s="202" t="s">
        <v>156</v>
      </c>
      <c r="I733" s="202" t="s">
        <v>156</v>
      </c>
      <c r="J733" s="202" t="s">
        <v>156</v>
      </c>
      <c r="K733" s="202" t="s">
        <v>156</v>
      </c>
      <c r="L733" s="202" t="s">
        <v>156</v>
      </c>
      <c r="M733" s="93"/>
      <c r="N733" s="219"/>
      <c r="O733" s="195"/>
      <c r="P733" s="104"/>
      <c r="Q733" s="327"/>
      <c r="R733" s="327"/>
      <c r="S733" s="197"/>
      <c r="T733" s="197"/>
      <c r="U733" s="197"/>
      <c r="V733" s="197"/>
      <c r="W733" s="197"/>
      <c r="X733" s="197"/>
      <c r="Y733" s="197"/>
      <c r="Z733" s="197"/>
      <c r="AA733" s="197"/>
      <c r="AB733" s="197"/>
      <c r="AC733" s="197"/>
    </row>
    <row r="734" spans="1:29" ht="20.100000000000001" customHeight="1">
      <c r="A734" s="187">
        <v>18</v>
      </c>
      <c r="B734" s="186" t="s">
        <v>69</v>
      </c>
      <c r="C734" s="326" t="s">
        <v>142</v>
      </c>
      <c r="D734" s="326"/>
      <c r="E734" s="151"/>
      <c r="F734" s="144" t="s">
        <v>71</v>
      </c>
      <c r="G734" s="203" t="s">
        <v>156</v>
      </c>
      <c r="H734" s="202" t="s">
        <v>156</v>
      </c>
      <c r="I734" s="202" t="s">
        <v>156</v>
      </c>
      <c r="J734" s="202" t="s">
        <v>156</v>
      </c>
      <c r="K734" s="202" t="s">
        <v>156</v>
      </c>
      <c r="L734" s="202" t="s">
        <v>156</v>
      </c>
      <c r="M734" s="93"/>
      <c r="N734" s="219"/>
      <c r="O734" s="195"/>
      <c r="P734" s="104"/>
      <c r="Q734" s="327"/>
      <c r="R734" s="327"/>
      <c r="S734" s="197"/>
      <c r="T734" s="197"/>
      <c r="U734" s="197"/>
      <c r="V734" s="197"/>
      <c r="W734" s="197"/>
      <c r="X734" s="197"/>
      <c r="Y734" s="197"/>
      <c r="Z734" s="197"/>
      <c r="AA734" s="197"/>
      <c r="AB734" s="197"/>
      <c r="AC734" s="197"/>
    </row>
    <row r="735" spans="1:29" ht="20.100000000000001" customHeight="1">
      <c r="A735" s="187">
        <v>19</v>
      </c>
      <c r="B735" s="186" t="s">
        <v>69</v>
      </c>
      <c r="C735" s="326" t="s">
        <v>143</v>
      </c>
      <c r="D735" s="326"/>
      <c r="E735" s="151"/>
      <c r="F735" s="144" t="s">
        <v>71</v>
      </c>
      <c r="G735" s="203" t="s">
        <v>156</v>
      </c>
      <c r="H735" s="202" t="s">
        <v>156</v>
      </c>
      <c r="I735" s="202" t="s">
        <v>156</v>
      </c>
      <c r="J735" s="202" t="s">
        <v>156</v>
      </c>
      <c r="K735" s="202" t="s">
        <v>156</v>
      </c>
      <c r="L735" s="202" t="s">
        <v>156</v>
      </c>
      <c r="M735" s="93"/>
      <c r="N735" s="219"/>
      <c r="O735" s="195"/>
      <c r="P735" s="104"/>
      <c r="Q735" s="327"/>
      <c r="R735" s="327"/>
      <c r="S735" s="197"/>
      <c r="T735" s="197"/>
      <c r="U735" s="197"/>
      <c r="V735" s="197"/>
      <c r="W735" s="197"/>
      <c r="X735" s="197"/>
      <c r="Y735" s="197"/>
      <c r="Z735" s="197"/>
      <c r="AA735" s="197"/>
      <c r="AB735" s="197"/>
      <c r="AC735" s="197"/>
    </row>
    <row r="736" spans="1:29" ht="20.100000000000001" customHeight="1">
      <c r="A736" s="187">
        <v>20</v>
      </c>
      <c r="B736" s="186" t="s">
        <v>69</v>
      </c>
      <c r="C736" s="326" t="s">
        <v>102</v>
      </c>
      <c r="D736" s="326"/>
      <c r="E736" s="150"/>
      <c r="F736" s="154" t="s">
        <v>71</v>
      </c>
      <c r="G736" s="203" t="s">
        <v>156</v>
      </c>
      <c r="H736" s="202" t="s">
        <v>156</v>
      </c>
      <c r="I736" s="202" t="s">
        <v>156</v>
      </c>
      <c r="J736" s="202" t="s">
        <v>156</v>
      </c>
      <c r="K736" s="202" t="s">
        <v>156</v>
      </c>
      <c r="L736" s="202" t="s">
        <v>156</v>
      </c>
      <c r="M736" s="93"/>
      <c r="N736" s="219"/>
      <c r="O736" s="195"/>
      <c r="P736" s="104"/>
      <c r="Q736" s="327"/>
      <c r="R736" s="327"/>
      <c r="S736" s="197"/>
      <c r="T736" s="197"/>
      <c r="U736" s="197"/>
      <c r="V736" s="197"/>
      <c r="W736" s="197"/>
      <c r="X736" s="197"/>
      <c r="Y736" s="197"/>
      <c r="Z736" s="197"/>
      <c r="AA736" s="197"/>
      <c r="AB736" s="197"/>
      <c r="AC736" s="197"/>
    </row>
    <row r="737" spans="1:29" ht="24.75" customHeight="1">
      <c r="A737" s="190" t="s">
        <v>128</v>
      </c>
      <c r="B737" s="142"/>
      <c r="C737" s="330" t="s">
        <v>130</v>
      </c>
      <c r="D737" s="330"/>
      <c r="E737" s="330"/>
      <c r="F737" s="330"/>
      <c r="G737" s="330"/>
      <c r="H737" s="330"/>
      <c r="I737" s="330"/>
      <c r="J737" s="330"/>
      <c r="K737" s="330"/>
      <c r="L737" s="330"/>
      <c r="M737" s="93"/>
      <c r="O737" s="156"/>
      <c r="P737" s="142"/>
      <c r="Q737" s="331"/>
      <c r="R737" s="331"/>
      <c r="S737" s="331"/>
      <c r="T737" s="331"/>
      <c r="U737" s="331"/>
      <c r="V737" s="331"/>
      <c r="W737" s="331"/>
      <c r="X737" s="331"/>
      <c r="Y737" s="331"/>
      <c r="Z737" s="331"/>
      <c r="AA737" s="331"/>
      <c r="AB737" s="331"/>
      <c r="AC737" s="331"/>
    </row>
    <row r="738" spans="1:29" ht="33" customHeight="1">
      <c r="A738" s="189">
        <v>21</v>
      </c>
      <c r="B738" s="188" t="s">
        <v>69</v>
      </c>
      <c r="C738" s="307" t="s">
        <v>82</v>
      </c>
      <c r="D738" s="308"/>
      <c r="E738" s="182"/>
      <c r="F738" s="191" t="s">
        <v>71</v>
      </c>
      <c r="G738" s="201">
        <v>58</v>
      </c>
      <c r="H738" s="201">
        <v>40</v>
      </c>
      <c r="I738" s="201">
        <v>21</v>
      </c>
      <c r="J738" s="201">
        <v>58</v>
      </c>
      <c r="K738" s="201">
        <v>40</v>
      </c>
      <c r="L738" s="201">
        <v>21</v>
      </c>
      <c r="M738" s="89"/>
      <c r="N738" s="219"/>
      <c r="O738" s="199"/>
      <c r="P738" s="200"/>
      <c r="Q738" s="309"/>
      <c r="R738" s="309"/>
      <c r="S738" s="86"/>
      <c r="T738" s="86"/>
      <c r="U738" s="86"/>
      <c r="V738" s="86"/>
      <c r="W738" s="86"/>
      <c r="X738" s="86"/>
      <c r="Y738" s="86"/>
      <c r="Z738" s="86"/>
      <c r="AA738" s="86"/>
      <c r="AB738" s="86"/>
      <c r="AC738" s="86"/>
    </row>
    <row r="739" spans="1:29" ht="33" customHeight="1">
      <c r="A739" s="189">
        <v>22</v>
      </c>
      <c r="B739" s="188" t="s">
        <v>69</v>
      </c>
      <c r="C739" s="307" t="s">
        <v>103</v>
      </c>
      <c r="D739" s="308"/>
      <c r="E739" s="179"/>
      <c r="F739" s="191" t="s">
        <v>71</v>
      </c>
      <c r="G739" s="201">
        <v>9</v>
      </c>
      <c r="H739" s="201">
        <v>9</v>
      </c>
      <c r="I739" s="201">
        <v>7</v>
      </c>
      <c r="J739" s="201">
        <v>9</v>
      </c>
      <c r="K739" s="201">
        <v>9</v>
      </c>
      <c r="L739" s="201">
        <v>7</v>
      </c>
      <c r="M739" s="89"/>
      <c r="N739" s="219"/>
      <c r="O739" s="199"/>
      <c r="P739" s="200"/>
      <c r="Q739" s="309"/>
      <c r="R739" s="309"/>
      <c r="S739" s="86"/>
      <c r="T739" s="86"/>
      <c r="U739" s="86"/>
      <c r="V739" s="86"/>
      <c r="W739" s="86"/>
      <c r="X739" s="86"/>
      <c r="Y739" s="86"/>
      <c r="Z739" s="86"/>
      <c r="AA739" s="86"/>
      <c r="AB739" s="86"/>
      <c r="AC739" s="86"/>
    </row>
    <row r="740" spans="1:29" ht="33" customHeight="1">
      <c r="A740" s="189">
        <v>23</v>
      </c>
      <c r="B740" s="188" t="s">
        <v>69</v>
      </c>
      <c r="C740" s="307" t="s">
        <v>104</v>
      </c>
      <c r="D740" s="308"/>
      <c r="E740" s="179"/>
      <c r="F740" s="191" t="s">
        <v>71</v>
      </c>
      <c r="G740" s="201">
        <v>5</v>
      </c>
      <c r="H740" s="201">
        <v>1</v>
      </c>
      <c r="I740" s="201">
        <v>1</v>
      </c>
      <c r="J740" s="201">
        <v>5</v>
      </c>
      <c r="K740" s="201">
        <v>1</v>
      </c>
      <c r="L740" s="201">
        <v>1</v>
      </c>
      <c r="M740" s="89"/>
      <c r="N740" s="219"/>
      <c r="O740" s="199"/>
      <c r="P740" s="200"/>
      <c r="Q740" s="309"/>
      <c r="R740" s="309"/>
      <c r="S740" s="86"/>
      <c r="T740" s="86"/>
      <c r="U740" s="86"/>
      <c r="V740" s="86"/>
      <c r="W740" s="86"/>
      <c r="X740" s="86"/>
      <c r="Y740" s="86"/>
      <c r="Z740" s="86"/>
      <c r="AA740" s="86"/>
      <c r="AB740" s="86"/>
      <c r="AC740" s="86"/>
    </row>
    <row r="741" spans="1:29" ht="27.75" customHeight="1">
      <c r="A741" s="317" t="s">
        <v>135</v>
      </c>
      <c r="B741" s="318"/>
      <c r="C741" s="317" t="s">
        <v>68</v>
      </c>
      <c r="D741" s="318"/>
      <c r="E741" s="183"/>
      <c r="F741" s="321" t="s">
        <v>136</v>
      </c>
      <c r="G741" s="322" t="s">
        <v>155</v>
      </c>
      <c r="H741" s="323"/>
      <c r="I741" s="323"/>
      <c r="J741" s="322" t="s">
        <v>154</v>
      </c>
      <c r="K741" s="323"/>
      <c r="L741" s="324"/>
      <c r="M741" s="92"/>
      <c r="O741" s="325"/>
      <c r="P741" s="325"/>
      <c r="Q741" s="325"/>
      <c r="R741" s="325"/>
      <c r="S741" s="316"/>
      <c r="T741" s="316"/>
      <c r="U741" s="316"/>
      <c r="V741" s="316"/>
      <c r="W741" s="316"/>
      <c r="X741" s="316"/>
      <c r="Y741" s="316"/>
      <c r="Z741" s="316"/>
      <c r="AA741" s="316"/>
      <c r="AB741" s="316"/>
      <c r="AC741" s="316"/>
    </row>
    <row r="742" spans="1:29" ht="125.25" customHeight="1">
      <c r="A742" s="319"/>
      <c r="B742" s="320"/>
      <c r="C742" s="319"/>
      <c r="D742" s="320"/>
      <c r="E742" s="184"/>
      <c r="F742" s="321"/>
      <c r="G742" s="153" t="s">
        <v>151</v>
      </c>
      <c r="H742" s="153" t="s">
        <v>152</v>
      </c>
      <c r="I742" s="153" t="s">
        <v>153</v>
      </c>
      <c r="J742" s="153" t="s">
        <v>151</v>
      </c>
      <c r="K742" s="153" t="s">
        <v>152</v>
      </c>
      <c r="L742" s="153" t="s">
        <v>153</v>
      </c>
      <c r="O742" s="325"/>
      <c r="P742" s="325"/>
      <c r="Q742" s="325"/>
      <c r="R742" s="325"/>
      <c r="S742" s="193"/>
      <c r="T742" s="193"/>
      <c r="U742" s="193"/>
      <c r="V742" s="193"/>
      <c r="W742" s="193"/>
      <c r="X742" s="193"/>
      <c r="Y742" s="193"/>
      <c r="Z742" s="193"/>
      <c r="AA742" s="193"/>
      <c r="AB742" s="193"/>
      <c r="AC742" s="193"/>
    </row>
    <row r="743" spans="1:29" ht="30" customHeight="1">
      <c r="A743" s="189">
        <v>24</v>
      </c>
      <c r="B743" s="188" t="s">
        <v>69</v>
      </c>
      <c r="C743" s="307" t="s">
        <v>131</v>
      </c>
      <c r="D743" s="308"/>
      <c r="E743" s="179"/>
      <c r="F743" s="191" t="s">
        <v>71</v>
      </c>
      <c r="G743" s="202" t="s">
        <v>156</v>
      </c>
      <c r="H743" s="202" t="s">
        <v>156</v>
      </c>
      <c r="I743" s="202" t="s">
        <v>156</v>
      </c>
      <c r="J743" s="202" t="s">
        <v>156</v>
      </c>
      <c r="K743" s="202" t="s">
        <v>156</v>
      </c>
      <c r="L743" s="202" t="s">
        <v>156</v>
      </c>
      <c r="M743" s="89"/>
      <c r="N743" s="219"/>
      <c r="O743" s="199"/>
      <c r="P743" s="200"/>
      <c r="Q743" s="309"/>
      <c r="R743" s="309"/>
      <c r="S743" s="86"/>
      <c r="T743" s="86"/>
      <c r="U743" s="86"/>
      <c r="V743" s="86"/>
      <c r="W743" s="86"/>
      <c r="X743" s="86"/>
      <c r="Y743" s="86"/>
      <c r="Z743" s="86"/>
      <c r="AA743" s="86"/>
      <c r="AB743" s="86"/>
      <c r="AC743" s="86"/>
    </row>
    <row r="744" spans="1:29" ht="30" customHeight="1">
      <c r="A744" s="189">
        <v>25</v>
      </c>
      <c r="B744" s="188" t="s">
        <v>69</v>
      </c>
      <c r="C744" s="307" t="s">
        <v>83</v>
      </c>
      <c r="D744" s="308"/>
      <c r="E744" s="179"/>
      <c r="F744" s="191" t="s">
        <v>71</v>
      </c>
      <c r="G744" s="201">
        <v>25</v>
      </c>
      <c r="H744" s="201">
        <v>40</v>
      </c>
      <c r="I744" s="201">
        <v>22</v>
      </c>
      <c r="J744" s="201">
        <v>25</v>
      </c>
      <c r="K744" s="201">
        <v>40</v>
      </c>
      <c r="L744" s="201">
        <v>22</v>
      </c>
      <c r="M744" s="89"/>
      <c r="N744" s="219"/>
      <c r="O744" s="199"/>
      <c r="P744" s="200"/>
      <c r="Q744" s="309"/>
      <c r="R744" s="309"/>
      <c r="S744" s="86"/>
      <c r="T744" s="86"/>
      <c r="U744" s="86"/>
      <c r="V744" s="86"/>
      <c r="W744" s="86"/>
      <c r="X744" s="86"/>
      <c r="Y744" s="86"/>
      <c r="Z744" s="86"/>
      <c r="AA744" s="86"/>
      <c r="AB744" s="86"/>
      <c r="AC744" s="86"/>
    </row>
    <row r="745" spans="1:29" ht="30" customHeight="1">
      <c r="A745" s="189">
        <v>26</v>
      </c>
      <c r="B745" s="188" t="s">
        <v>69</v>
      </c>
      <c r="C745" s="307" t="s">
        <v>84</v>
      </c>
      <c r="D745" s="308"/>
      <c r="E745" s="179"/>
      <c r="F745" s="191" t="s">
        <v>71</v>
      </c>
      <c r="G745" s="201">
        <v>5</v>
      </c>
      <c r="H745" s="202" t="s">
        <v>156</v>
      </c>
      <c r="I745" s="202" t="s">
        <v>156</v>
      </c>
      <c r="J745" s="201">
        <v>5</v>
      </c>
      <c r="K745" s="202" t="s">
        <v>156</v>
      </c>
      <c r="L745" s="202" t="s">
        <v>156</v>
      </c>
      <c r="M745" s="89"/>
      <c r="N745" s="219"/>
      <c r="O745" s="199"/>
      <c r="P745" s="200"/>
      <c r="Q745" s="309"/>
      <c r="R745" s="309"/>
      <c r="S745" s="86"/>
      <c r="T745" s="86"/>
      <c r="U745" s="86"/>
      <c r="V745" s="86"/>
      <c r="W745" s="86"/>
      <c r="X745" s="86"/>
      <c r="Y745" s="86"/>
      <c r="Z745" s="86"/>
      <c r="AA745" s="86"/>
      <c r="AB745" s="86"/>
      <c r="AC745" s="86"/>
    </row>
    <row r="746" spans="1:29" ht="30" customHeight="1">
      <c r="A746" s="189">
        <v>27</v>
      </c>
      <c r="B746" s="188" t="s">
        <v>69</v>
      </c>
      <c r="C746" s="307" t="s">
        <v>85</v>
      </c>
      <c r="D746" s="308"/>
      <c r="E746" s="179"/>
      <c r="F746" s="191" t="s">
        <v>71</v>
      </c>
      <c r="G746" s="201">
        <v>3</v>
      </c>
      <c r="H746" s="201">
        <v>1</v>
      </c>
      <c r="I746" s="201">
        <v>8</v>
      </c>
      <c r="J746" s="201">
        <v>3</v>
      </c>
      <c r="K746" s="201">
        <v>1</v>
      </c>
      <c r="L746" s="201">
        <v>8</v>
      </c>
      <c r="M746" s="89"/>
      <c r="N746" s="219"/>
      <c r="O746" s="199"/>
      <c r="P746" s="200"/>
      <c r="Q746" s="309"/>
      <c r="R746" s="309"/>
      <c r="S746" s="86"/>
      <c r="T746" s="86"/>
      <c r="U746" s="86"/>
      <c r="V746" s="86"/>
      <c r="W746" s="86"/>
      <c r="X746" s="86"/>
      <c r="Y746" s="86"/>
      <c r="Z746" s="86"/>
      <c r="AA746" s="86"/>
      <c r="AB746" s="86"/>
      <c r="AC746" s="86"/>
    </row>
    <row r="747" spans="1:29" ht="30" customHeight="1">
      <c r="A747" s="189">
        <v>28</v>
      </c>
      <c r="B747" s="188" t="s">
        <v>69</v>
      </c>
      <c r="C747" s="307" t="s">
        <v>132</v>
      </c>
      <c r="D747" s="308"/>
      <c r="E747" s="179"/>
      <c r="F747" s="191" t="s">
        <v>71</v>
      </c>
      <c r="G747" s="202" t="s">
        <v>156</v>
      </c>
      <c r="H747" s="202" t="s">
        <v>156</v>
      </c>
      <c r="I747" s="202" t="s">
        <v>156</v>
      </c>
      <c r="J747" s="202" t="s">
        <v>156</v>
      </c>
      <c r="K747" s="202" t="s">
        <v>156</v>
      </c>
      <c r="L747" s="202" t="s">
        <v>156</v>
      </c>
      <c r="M747" s="89"/>
      <c r="N747" s="219"/>
      <c r="O747" s="199"/>
      <c r="P747" s="200"/>
      <c r="Q747" s="309"/>
      <c r="R747" s="309"/>
      <c r="S747" s="86"/>
      <c r="T747" s="86"/>
      <c r="U747" s="86"/>
      <c r="V747" s="86"/>
      <c r="W747" s="86"/>
      <c r="X747" s="86"/>
      <c r="Y747" s="86"/>
      <c r="Z747" s="86"/>
      <c r="AA747" s="86"/>
      <c r="AB747" s="86"/>
      <c r="AC747" s="86"/>
    </row>
    <row r="748" spans="1:29" ht="30" customHeight="1">
      <c r="A748" s="189">
        <v>29</v>
      </c>
      <c r="B748" s="188" t="s">
        <v>69</v>
      </c>
      <c r="C748" s="307" t="s">
        <v>86</v>
      </c>
      <c r="D748" s="308"/>
      <c r="E748" s="179"/>
      <c r="F748" s="191" t="s">
        <v>71</v>
      </c>
      <c r="G748" s="201">
        <v>10</v>
      </c>
      <c r="H748" s="201">
        <v>12</v>
      </c>
      <c r="I748" s="201">
        <v>9</v>
      </c>
      <c r="J748" s="201">
        <v>10</v>
      </c>
      <c r="K748" s="201">
        <v>12</v>
      </c>
      <c r="L748" s="201">
        <v>9</v>
      </c>
      <c r="M748" s="89"/>
      <c r="N748" s="219"/>
      <c r="O748" s="199"/>
      <c r="P748" s="200"/>
      <c r="Q748" s="309"/>
      <c r="R748" s="309"/>
      <c r="S748" s="86"/>
      <c r="T748" s="86"/>
      <c r="U748" s="86"/>
      <c r="V748" s="86"/>
      <c r="W748" s="86"/>
      <c r="X748" s="86"/>
      <c r="Y748" s="86"/>
      <c r="Z748" s="86"/>
      <c r="AA748" s="86"/>
      <c r="AB748" s="86"/>
      <c r="AC748" s="86"/>
    </row>
    <row r="749" spans="1:29" ht="30" customHeight="1">
      <c r="A749" s="189">
        <v>30</v>
      </c>
      <c r="B749" s="188" t="s">
        <v>69</v>
      </c>
      <c r="C749" s="307" t="s">
        <v>87</v>
      </c>
      <c r="D749" s="308"/>
      <c r="E749" s="179"/>
      <c r="F749" s="191" t="s">
        <v>71</v>
      </c>
      <c r="G749" s="202" t="s">
        <v>156</v>
      </c>
      <c r="H749" s="202" t="s">
        <v>156</v>
      </c>
      <c r="I749" s="202" t="s">
        <v>156</v>
      </c>
      <c r="J749" s="202" t="s">
        <v>156</v>
      </c>
      <c r="K749" s="202" t="s">
        <v>156</v>
      </c>
      <c r="L749" s="202" t="s">
        <v>156</v>
      </c>
      <c r="M749" s="89"/>
      <c r="N749" s="219"/>
      <c r="O749" s="199"/>
      <c r="P749" s="200"/>
      <c r="Q749" s="309"/>
      <c r="R749" s="309"/>
      <c r="S749" s="86"/>
      <c r="T749" s="86"/>
      <c r="U749" s="86"/>
      <c r="V749" s="86"/>
      <c r="W749" s="86"/>
      <c r="X749" s="86"/>
      <c r="Y749" s="86"/>
      <c r="Z749" s="86"/>
      <c r="AA749" s="86"/>
      <c r="AB749" s="86"/>
      <c r="AC749" s="86"/>
    </row>
    <row r="750" spans="1:29" ht="30" customHeight="1">
      <c r="A750" s="189">
        <v>31</v>
      </c>
      <c r="B750" s="188" t="s">
        <v>69</v>
      </c>
      <c r="C750" s="307" t="s">
        <v>105</v>
      </c>
      <c r="D750" s="308"/>
      <c r="E750" s="179"/>
      <c r="F750" s="191" t="s">
        <v>71</v>
      </c>
      <c r="G750" s="201">
        <v>2</v>
      </c>
      <c r="H750" s="203" t="s">
        <v>156</v>
      </c>
      <c r="I750" s="201">
        <v>8</v>
      </c>
      <c r="J750" s="201">
        <v>2</v>
      </c>
      <c r="K750" s="203" t="s">
        <v>156</v>
      </c>
      <c r="L750" s="201">
        <v>8</v>
      </c>
      <c r="M750" s="89"/>
      <c r="N750" s="219"/>
      <c r="O750" s="199"/>
      <c r="P750" s="200"/>
      <c r="Q750" s="309"/>
      <c r="R750" s="309"/>
      <c r="S750" s="86"/>
      <c r="T750" s="86"/>
      <c r="U750" s="86"/>
      <c r="V750" s="86"/>
      <c r="W750" s="86"/>
      <c r="X750" s="86"/>
      <c r="Y750" s="86"/>
      <c r="Z750" s="86"/>
      <c r="AA750" s="86"/>
      <c r="AB750" s="86"/>
      <c r="AC750" s="86"/>
    </row>
    <row r="751" spans="1:29" ht="30" customHeight="1">
      <c r="A751" s="189">
        <v>32</v>
      </c>
      <c r="B751" s="188" t="s">
        <v>69</v>
      </c>
      <c r="C751" s="307" t="s">
        <v>133</v>
      </c>
      <c r="D751" s="308"/>
      <c r="E751" s="179"/>
      <c r="F751" s="191" t="s">
        <v>71</v>
      </c>
      <c r="G751" s="202" t="s">
        <v>156</v>
      </c>
      <c r="H751" s="202" t="s">
        <v>156</v>
      </c>
      <c r="I751" s="202" t="s">
        <v>156</v>
      </c>
      <c r="J751" s="202" t="s">
        <v>156</v>
      </c>
      <c r="K751" s="202" t="s">
        <v>156</v>
      </c>
      <c r="L751" s="202" t="s">
        <v>156</v>
      </c>
      <c r="M751" s="89"/>
      <c r="N751" s="219"/>
      <c r="O751" s="199"/>
      <c r="P751" s="200"/>
      <c r="Q751" s="309"/>
      <c r="R751" s="309"/>
      <c r="S751" s="86"/>
      <c r="T751" s="86"/>
      <c r="U751" s="86"/>
      <c r="V751" s="86"/>
      <c r="W751" s="86"/>
      <c r="X751" s="86"/>
      <c r="Y751" s="86"/>
      <c r="Z751" s="86"/>
      <c r="AA751" s="86"/>
      <c r="AB751" s="86"/>
      <c r="AC751" s="86"/>
    </row>
    <row r="752" spans="1:29" ht="30" customHeight="1">
      <c r="A752" s="189">
        <v>33</v>
      </c>
      <c r="B752" s="188" t="s">
        <v>69</v>
      </c>
      <c r="C752" s="307" t="s">
        <v>88</v>
      </c>
      <c r="D752" s="308"/>
      <c r="E752" s="179"/>
      <c r="F752" s="191" t="s">
        <v>71</v>
      </c>
      <c r="G752" s="201">
        <v>3</v>
      </c>
      <c r="H752" s="201">
        <v>7</v>
      </c>
      <c r="I752" s="201">
        <v>7</v>
      </c>
      <c r="J752" s="201">
        <v>3</v>
      </c>
      <c r="K752" s="201">
        <v>7</v>
      </c>
      <c r="L752" s="201">
        <v>7</v>
      </c>
      <c r="M752" s="89"/>
      <c r="N752" s="219"/>
      <c r="O752" s="199"/>
      <c r="P752" s="200"/>
      <c r="Q752" s="309"/>
      <c r="R752" s="309"/>
      <c r="S752" s="86"/>
      <c r="T752" s="86"/>
      <c r="U752" s="86"/>
      <c r="V752" s="86"/>
      <c r="W752" s="86"/>
      <c r="X752" s="86"/>
      <c r="Y752" s="86"/>
      <c r="Z752" s="86"/>
      <c r="AA752" s="86"/>
      <c r="AB752" s="86"/>
      <c r="AC752" s="86"/>
    </row>
    <row r="753" spans="1:29" ht="30" customHeight="1">
      <c r="A753" s="189">
        <v>34</v>
      </c>
      <c r="B753" s="188" t="s">
        <v>69</v>
      </c>
      <c r="C753" s="307" t="s">
        <v>89</v>
      </c>
      <c r="D753" s="308"/>
      <c r="E753" s="179"/>
      <c r="F753" s="191" t="s">
        <v>71</v>
      </c>
      <c r="G753" s="202" t="s">
        <v>156</v>
      </c>
      <c r="H753" s="202" t="s">
        <v>156</v>
      </c>
      <c r="I753" s="202" t="s">
        <v>156</v>
      </c>
      <c r="J753" s="202" t="s">
        <v>156</v>
      </c>
      <c r="K753" s="202" t="s">
        <v>156</v>
      </c>
      <c r="L753" s="202" t="s">
        <v>156</v>
      </c>
      <c r="M753" s="89"/>
      <c r="N753" s="219"/>
      <c r="O753" s="199"/>
      <c r="P753" s="200"/>
      <c r="Q753" s="309"/>
      <c r="R753" s="309"/>
      <c r="S753" s="86"/>
      <c r="T753" s="86"/>
      <c r="U753" s="86"/>
      <c r="V753" s="86"/>
      <c r="W753" s="86"/>
      <c r="X753" s="86"/>
      <c r="Y753" s="86"/>
      <c r="Z753" s="86"/>
      <c r="AA753" s="86"/>
      <c r="AB753" s="86"/>
      <c r="AC753" s="86"/>
    </row>
    <row r="754" spans="1:29" ht="30" customHeight="1">
      <c r="A754" s="189">
        <v>35</v>
      </c>
      <c r="B754" s="188" t="s">
        <v>69</v>
      </c>
      <c r="C754" s="307" t="s">
        <v>140</v>
      </c>
      <c r="D754" s="308"/>
      <c r="E754" s="179"/>
      <c r="F754" s="191" t="s">
        <v>71</v>
      </c>
      <c r="G754" s="202" t="s">
        <v>156</v>
      </c>
      <c r="H754" s="202" t="s">
        <v>156</v>
      </c>
      <c r="I754" s="201">
        <v>3</v>
      </c>
      <c r="J754" s="202" t="s">
        <v>156</v>
      </c>
      <c r="K754" s="202" t="s">
        <v>156</v>
      </c>
      <c r="L754" s="201">
        <v>3</v>
      </c>
      <c r="M754" s="89"/>
      <c r="N754" s="220"/>
      <c r="O754" s="199"/>
      <c r="P754" s="200"/>
      <c r="Q754" s="309"/>
      <c r="R754" s="309"/>
      <c r="S754" s="86"/>
      <c r="T754" s="86"/>
      <c r="U754" s="86"/>
      <c r="V754" s="86"/>
      <c r="W754" s="86"/>
      <c r="X754" s="86"/>
      <c r="Y754" s="86"/>
      <c r="Z754" s="86"/>
      <c r="AA754" s="86"/>
      <c r="AB754" s="86"/>
      <c r="AC754" s="86"/>
    </row>
    <row r="755" spans="1:29" ht="30" customHeight="1">
      <c r="A755" s="189">
        <v>36</v>
      </c>
      <c r="B755" s="188" t="s">
        <v>69</v>
      </c>
      <c r="C755" s="307" t="s">
        <v>134</v>
      </c>
      <c r="D755" s="308"/>
      <c r="E755" s="179"/>
      <c r="F755" s="191" t="s">
        <v>71</v>
      </c>
      <c r="G755" s="202" t="s">
        <v>156</v>
      </c>
      <c r="H755" s="202" t="s">
        <v>156</v>
      </c>
      <c r="I755" s="202" t="s">
        <v>156</v>
      </c>
      <c r="J755" s="202" t="s">
        <v>156</v>
      </c>
      <c r="K755" s="202" t="s">
        <v>156</v>
      </c>
      <c r="L755" s="202" t="s">
        <v>156</v>
      </c>
      <c r="M755" s="89"/>
      <c r="N755" s="220"/>
      <c r="O755" s="199"/>
      <c r="P755" s="200"/>
      <c r="Q755" s="309"/>
      <c r="R755" s="309"/>
      <c r="S755" s="86"/>
      <c r="T755" s="86"/>
      <c r="U755" s="86"/>
      <c r="V755" s="86"/>
      <c r="W755" s="86"/>
      <c r="X755" s="86"/>
      <c r="Y755" s="86"/>
      <c r="Z755" s="86"/>
      <c r="AA755" s="86"/>
      <c r="AB755" s="86"/>
      <c r="AC755" s="86"/>
    </row>
    <row r="756" spans="1:29" ht="30" customHeight="1">
      <c r="A756" s="189">
        <v>37</v>
      </c>
      <c r="B756" s="188" t="s">
        <v>69</v>
      </c>
      <c r="C756" s="307" t="s">
        <v>90</v>
      </c>
      <c r="D756" s="308"/>
      <c r="E756" s="179"/>
      <c r="F756" s="191" t="s">
        <v>71</v>
      </c>
      <c r="G756" s="202" t="s">
        <v>156</v>
      </c>
      <c r="H756" s="202" t="s">
        <v>156</v>
      </c>
      <c r="I756" s="202" t="s">
        <v>156</v>
      </c>
      <c r="J756" s="202" t="s">
        <v>156</v>
      </c>
      <c r="K756" s="202" t="s">
        <v>156</v>
      </c>
      <c r="L756" s="202" t="s">
        <v>156</v>
      </c>
      <c r="M756" s="89"/>
      <c r="N756" s="220"/>
      <c r="O756" s="199"/>
      <c r="P756" s="200"/>
      <c r="Q756" s="309"/>
      <c r="R756" s="309"/>
      <c r="S756" s="86"/>
      <c r="T756" s="86"/>
      <c r="U756" s="86"/>
      <c r="V756" s="86"/>
      <c r="W756" s="86"/>
      <c r="X756" s="86"/>
      <c r="Y756" s="86"/>
      <c r="Z756" s="86"/>
      <c r="AA756" s="86"/>
      <c r="AB756" s="86"/>
      <c r="AC756" s="86"/>
    </row>
    <row r="757" spans="1:29" ht="30" customHeight="1">
      <c r="A757" s="189">
        <v>38</v>
      </c>
      <c r="B757" s="188" t="s">
        <v>69</v>
      </c>
      <c r="C757" s="307" t="s">
        <v>106</v>
      </c>
      <c r="D757" s="308"/>
      <c r="E757" s="150"/>
      <c r="F757" s="191" t="s">
        <v>71</v>
      </c>
      <c r="G757" s="202" t="s">
        <v>156</v>
      </c>
      <c r="H757" s="202" t="s">
        <v>156</v>
      </c>
      <c r="I757" s="202" t="s">
        <v>156</v>
      </c>
      <c r="J757" s="202" t="s">
        <v>156</v>
      </c>
      <c r="K757" s="202" t="s">
        <v>156</v>
      </c>
      <c r="L757" s="202" t="s">
        <v>156</v>
      </c>
      <c r="M757" s="89"/>
      <c r="N757" s="220"/>
      <c r="O757" s="199"/>
      <c r="P757" s="200"/>
      <c r="Q757" s="309"/>
      <c r="R757" s="309"/>
      <c r="S757" s="86"/>
      <c r="T757" s="86"/>
      <c r="U757" s="86"/>
      <c r="V757" s="86"/>
      <c r="W757" s="86"/>
      <c r="X757" s="86"/>
      <c r="Y757" s="86"/>
      <c r="Z757" s="86"/>
      <c r="AA757" s="86"/>
      <c r="AB757" s="86"/>
      <c r="AC757" s="86"/>
    </row>
    <row r="758" spans="1:29" ht="25.5" customHeight="1">
      <c r="A758" s="310" t="s">
        <v>92</v>
      </c>
      <c r="B758" s="310"/>
      <c r="C758" s="310"/>
      <c r="D758" s="310"/>
      <c r="E758" s="310"/>
      <c r="F758" s="310"/>
      <c r="G758" s="310"/>
      <c r="H758" s="310"/>
      <c r="I758" s="310"/>
      <c r="J758" s="310"/>
      <c r="K758" s="310"/>
      <c r="L758" s="310"/>
      <c r="M758" s="92"/>
    </row>
    <row r="759" spans="1:29" ht="19.5" customHeight="1">
      <c r="A759" s="139"/>
      <c r="B759" s="139"/>
      <c r="C759" s="140"/>
      <c r="D759" s="140" t="s">
        <v>145</v>
      </c>
      <c r="E759" s="140"/>
      <c r="F759" s="152" t="s">
        <v>54</v>
      </c>
      <c r="G759" s="152"/>
      <c r="H759" s="152"/>
      <c r="I759" s="152"/>
      <c r="J759" s="152" t="s">
        <v>144</v>
      </c>
      <c r="K759" s="152"/>
      <c r="L759" s="140"/>
      <c r="M759" s="94"/>
    </row>
    <row r="760" spans="1:29" ht="28.5" customHeight="1">
      <c r="A760" s="310" t="s">
        <v>93</v>
      </c>
      <c r="B760" s="310"/>
      <c r="C760" s="310"/>
      <c r="D760" s="310"/>
      <c r="E760" s="310"/>
      <c r="F760" s="310"/>
      <c r="G760" s="310"/>
      <c r="H760" s="310"/>
      <c r="I760" s="310"/>
      <c r="J760" s="310"/>
      <c r="K760" s="310"/>
      <c r="L760" s="310"/>
      <c r="M760" s="92"/>
      <c r="N760" s="311"/>
      <c r="O760" s="311"/>
      <c r="P760" s="311"/>
    </row>
    <row r="761" spans="1:29" ht="20.25" customHeight="1">
      <c r="A761" s="139"/>
      <c r="B761" s="139"/>
      <c r="C761" s="139"/>
      <c r="D761" s="140" t="s">
        <v>145</v>
      </c>
      <c r="E761" s="140"/>
      <c r="F761" s="152" t="s">
        <v>54</v>
      </c>
      <c r="G761" s="152"/>
      <c r="H761" s="152"/>
      <c r="I761" s="152"/>
      <c r="J761" s="152" t="s">
        <v>144</v>
      </c>
      <c r="K761" s="152"/>
      <c r="L761" s="139"/>
      <c r="M761" s="94"/>
      <c r="N761" s="221"/>
      <c r="O761" s="95"/>
      <c r="P761" s="95"/>
    </row>
    <row r="762" spans="1:29" ht="26.25" customHeight="1">
      <c r="A762" s="312" t="s">
        <v>94</v>
      </c>
      <c r="B762" s="312"/>
      <c r="C762" s="312"/>
      <c r="D762" s="312"/>
      <c r="E762" s="312"/>
      <c r="F762" s="312"/>
      <c r="G762" s="312"/>
      <c r="H762" s="312"/>
      <c r="I762" s="312"/>
      <c r="J762" s="312"/>
      <c r="K762" s="312"/>
      <c r="L762" s="312"/>
      <c r="M762" s="92"/>
    </row>
    <row r="763" spans="1:29" ht="22.5" customHeight="1">
      <c r="A763" s="120"/>
      <c r="B763" s="120"/>
      <c r="C763" s="120"/>
      <c r="D763" s="120"/>
      <c r="E763" s="120"/>
      <c r="F763" s="120"/>
      <c r="G763" s="120"/>
      <c r="H763" s="120"/>
      <c r="I763" s="120"/>
      <c r="J763" s="120"/>
      <c r="K763" s="120"/>
      <c r="L763" s="120"/>
      <c r="M763" s="94"/>
    </row>
    <row r="764" spans="1:29" ht="22.5" customHeight="1">
      <c r="A764" s="313" t="s">
        <v>95</v>
      </c>
      <c r="B764" s="313"/>
      <c r="C764" s="313"/>
      <c r="D764" s="313"/>
      <c r="E764" s="313"/>
      <c r="F764" s="313"/>
      <c r="G764" s="313"/>
      <c r="H764" s="313"/>
      <c r="I764" s="313"/>
      <c r="J764" s="313"/>
      <c r="K764" s="313"/>
      <c r="L764" s="313"/>
      <c r="M764" s="92"/>
    </row>
    <row r="765" spans="1:29" ht="19.5" customHeight="1">
      <c r="A765" s="97"/>
      <c r="B765" s="97"/>
      <c r="C765" s="145"/>
      <c r="D765" s="97"/>
      <c r="E765" s="97"/>
      <c r="F765" s="97"/>
      <c r="G765" s="97"/>
      <c r="H765" s="97"/>
      <c r="I765" s="97"/>
      <c r="J765" s="97"/>
      <c r="K765" s="97"/>
      <c r="L765" s="97"/>
      <c r="M765" s="94"/>
    </row>
    <row r="766" spans="1:29" ht="5.25" customHeight="1">
      <c r="A766" s="94"/>
      <c r="B766" s="94"/>
      <c r="C766" s="146"/>
      <c r="D766" s="94"/>
      <c r="E766" s="94"/>
      <c r="F766" s="94"/>
      <c r="G766" s="94"/>
      <c r="H766" s="94"/>
      <c r="I766" s="94"/>
      <c r="J766" s="94"/>
      <c r="K766" s="94"/>
      <c r="L766" s="94"/>
      <c r="M766" s="94"/>
    </row>
    <row r="767" spans="1:29" ht="16.5" customHeight="1">
      <c r="A767" s="314" t="s">
        <v>96</v>
      </c>
      <c r="B767" s="314"/>
      <c r="C767" s="314"/>
      <c r="D767" s="314"/>
      <c r="E767" s="98"/>
      <c r="F767" s="98"/>
      <c r="G767" s="98"/>
      <c r="H767" s="315" t="s">
        <v>97</v>
      </c>
      <c r="I767" s="315"/>
      <c r="J767" s="315"/>
      <c r="K767" s="315"/>
      <c r="L767" s="315"/>
      <c r="M767" s="94"/>
    </row>
    <row r="768" spans="1:29" ht="95.1" customHeight="1">
      <c r="A768" s="99"/>
      <c r="B768" s="101" t="str">
        <f>B698</f>
        <v>Ông Huỳnh Phước Hải        ….............</v>
      </c>
      <c r="C768" s="147"/>
      <c r="D768" s="99"/>
      <c r="E768" s="81"/>
      <c r="F768" s="100"/>
      <c r="G768" s="100"/>
      <c r="H768" s="306" t="str">
        <f>H698</f>
        <v>Ông Phạm Tấn Việt          …..................</v>
      </c>
      <c r="I768" s="306"/>
      <c r="J768" s="306"/>
      <c r="K768" s="306"/>
      <c r="L768" s="306"/>
      <c r="M768" s="94"/>
    </row>
    <row r="769" spans="1:29" ht="49.5" customHeight="1">
      <c r="A769" s="99"/>
      <c r="B769" s="99"/>
      <c r="C769" s="147"/>
      <c r="D769" s="99"/>
      <c r="E769" s="81"/>
      <c r="F769" s="100"/>
      <c r="G769" s="100"/>
      <c r="H769" s="100"/>
      <c r="I769" s="100"/>
      <c r="J769" s="99"/>
      <c r="K769" s="99"/>
      <c r="L769" s="99"/>
      <c r="M769" s="94"/>
    </row>
    <row r="770" spans="1:29" ht="21.75" customHeight="1">
      <c r="A770" s="346" t="s">
        <v>165</v>
      </c>
      <c r="B770" s="346"/>
      <c r="C770" s="346"/>
      <c r="D770" s="346"/>
      <c r="E770" s="346"/>
      <c r="F770" s="346"/>
      <c r="G770" s="346"/>
      <c r="H770" s="346"/>
      <c r="I770" s="346"/>
      <c r="J770" s="346"/>
      <c r="K770" s="346"/>
      <c r="L770" s="346"/>
      <c r="M770" s="82"/>
    </row>
    <row r="771" spans="1:29" ht="19.5">
      <c r="A771" s="84" t="str">
        <f>"Ngày "&amp;N772&amp;" tháng "&amp;O3&amp;" năm "&amp;P3&amp;""</f>
        <v>Ngày 12 tháng 07 năm 2026</v>
      </c>
      <c r="B771" s="84"/>
      <c r="C771" s="85"/>
      <c r="N771" s="216"/>
      <c r="O771" s="20"/>
      <c r="P771" s="20"/>
    </row>
    <row r="772" spans="1:29" ht="16.5">
      <c r="A772" s="337" t="s">
        <v>57</v>
      </c>
      <c r="B772" s="337"/>
      <c r="C772" s="337"/>
      <c r="D772" s="311"/>
      <c r="E772" s="311"/>
      <c r="F772" s="311"/>
      <c r="G772" s="95"/>
      <c r="H772" s="95"/>
      <c r="I772" s="95"/>
      <c r="J772" s="95"/>
      <c r="K772" s="95"/>
      <c r="L772" s="95"/>
      <c r="N772" s="217" t="s">
        <v>174</v>
      </c>
      <c r="O772" s="214"/>
      <c r="P772" s="17"/>
    </row>
    <row r="773" spans="1:29" ht="15.75" customHeight="1">
      <c r="A773" s="338"/>
      <c r="B773" s="338"/>
      <c r="C773" s="338"/>
      <c r="D773" s="339" t="s">
        <v>58</v>
      </c>
      <c r="E773" s="340"/>
      <c r="F773" s="340"/>
      <c r="G773" s="340"/>
      <c r="H773" s="341"/>
      <c r="I773" s="339" t="s">
        <v>59</v>
      </c>
      <c r="J773" s="340"/>
      <c r="K773" s="340"/>
      <c r="L773" s="341"/>
    </row>
    <row r="774" spans="1:29" ht="19.5" customHeight="1">
      <c r="A774" s="342" t="s">
        <v>60</v>
      </c>
      <c r="B774" s="342"/>
      <c r="C774" s="342"/>
      <c r="D774" s="343" t="s">
        <v>54</v>
      </c>
      <c r="E774" s="344"/>
      <c r="F774" s="344"/>
      <c r="G774" s="344"/>
      <c r="H774" s="345"/>
      <c r="I774" s="343" t="s">
        <v>54</v>
      </c>
      <c r="J774" s="344"/>
      <c r="K774" s="344"/>
      <c r="L774" s="345"/>
    </row>
    <row r="775" spans="1:29" ht="22.5" customHeight="1">
      <c r="A775" s="342" t="s">
        <v>61</v>
      </c>
      <c r="B775" s="342"/>
      <c r="C775" s="342"/>
      <c r="D775" s="343" t="s">
        <v>163</v>
      </c>
      <c r="E775" s="344"/>
      <c r="F775" s="344"/>
      <c r="G775" s="344"/>
      <c r="H775" s="345"/>
      <c r="I775" s="343" t="str">
        <f>D775</f>
        <v>31° - 34°</v>
      </c>
      <c r="J775" s="344"/>
      <c r="K775" s="344"/>
      <c r="L775" s="345"/>
    </row>
    <row r="776" spans="1:29" s="87" customFormat="1" ht="15.75">
      <c r="A776" s="310" t="s">
        <v>62</v>
      </c>
      <c r="B776" s="310"/>
      <c r="C776" s="310"/>
      <c r="D776" s="310"/>
      <c r="E776" s="310"/>
      <c r="F776" s="310"/>
      <c r="G776" s="310"/>
      <c r="H776" s="310"/>
      <c r="I776" s="310"/>
      <c r="J776" s="310"/>
      <c r="K776" s="310"/>
      <c r="L776" s="310"/>
      <c r="M776" s="85"/>
      <c r="N776" s="218"/>
    </row>
    <row r="777" spans="1:29" s="87" customFormat="1" ht="15.75">
      <c r="A777" s="332" t="s">
        <v>63</v>
      </c>
      <c r="B777" s="332"/>
      <c r="C777" s="332"/>
      <c r="D777" s="332"/>
      <c r="E777" s="332"/>
      <c r="F777" s="332"/>
      <c r="G777" s="332"/>
      <c r="H777" s="332"/>
      <c r="I777" s="332"/>
      <c r="J777" s="332"/>
      <c r="K777" s="332"/>
      <c r="L777" s="332"/>
      <c r="M777" s="85"/>
      <c r="N777" s="218"/>
    </row>
    <row r="778" spans="1:29" s="87" customFormat="1" ht="20.100000000000001" customHeight="1">
      <c r="A778" s="88"/>
      <c r="B778" s="88"/>
      <c r="C778" s="333" t="s">
        <v>64</v>
      </c>
      <c r="D778" s="334"/>
      <c r="E778" s="334"/>
      <c r="F778" s="334"/>
      <c r="G778" s="334"/>
      <c r="H778" s="334"/>
      <c r="I778" s="334"/>
      <c r="J778" s="334"/>
      <c r="K778" s="334"/>
      <c r="L778" s="334"/>
      <c r="M778" s="85"/>
      <c r="N778" s="218"/>
    </row>
    <row r="779" spans="1:29" s="87" customFormat="1" ht="20.100000000000001" customHeight="1">
      <c r="A779" s="88"/>
      <c r="B779" s="88"/>
      <c r="C779" s="333" t="s">
        <v>65</v>
      </c>
      <c r="D779" s="334"/>
      <c r="E779" s="334"/>
      <c r="F779" s="334"/>
      <c r="G779" s="334"/>
      <c r="H779" s="334"/>
      <c r="I779" s="334"/>
      <c r="J779" s="334"/>
      <c r="K779" s="334"/>
      <c r="L779" s="334"/>
      <c r="M779" s="85"/>
      <c r="N779" s="218"/>
    </row>
    <row r="780" spans="1:29" s="87" customFormat="1" ht="17.25" customHeight="1">
      <c r="A780" s="335" t="s">
        <v>66</v>
      </c>
      <c r="B780" s="335"/>
      <c r="C780" s="335"/>
      <c r="D780" s="335"/>
      <c r="E780" s="335"/>
      <c r="F780" s="335"/>
      <c r="G780" s="335"/>
      <c r="H780" s="335"/>
      <c r="I780" s="335"/>
      <c r="J780" s="335"/>
      <c r="K780" s="335"/>
      <c r="L780" s="335"/>
      <c r="M780" s="85"/>
      <c r="N780" s="218"/>
    </row>
    <row r="781" spans="1:29" s="87" customFormat="1" ht="7.5" customHeight="1">
      <c r="A781" s="119"/>
      <c r="B781" s="119"/>
      <c r="C781" s="119"/>
      <c r="D781" s="119"/>
      <c r="E781" s="119"/>
      <c r="F781" s="119"/>
      <c r="G781" s="119"/>
      <c r="H781" s="119"/>
      <c r="I781" s="119"/>
      <c r="J781" s="119"/>
      <c r="K781" s="119"/>
      <c r="L781" s="119"/>
      <c r="M781" s="85"/>
      <c r="N781" s="218"/>
    </row>
    <row r="782" spans="1:29" ht="15.75">
      <c r="A782" s="336" t="s">
        <v>67</v>
      </c>
      <c r="B782" s="336"/>
      <c r="C782" s="336"/>
      <c r="D782" s="336"/>
      <c r="E782" s="336"/>
      <c r="F782" s="336"/>
      <c r="G782" s="336"/>
      <c r="H782" s="336"/>
      <c r="I782" s="336"/>
      <c r="J782" s="336"/>
      <c r="K782" s="336"/>
      <c r="L782" s="336"/>
    </row>
    <row r="783" spans="1:29" ht="2.25" customHeight="1">
      <c r="A783" s="141"/>
      <c r="B783" s="141"/>
      <c r="C783" s="141"/>
      <c r="D783" s="141"/>
      <c r="E783" s="141"/>
      <c r="F783" s="141"/>
      <c r="G783" s="155"/>
      <c r="H783" s="155"/>
      <c r="I783" s="155"/>
      <c r="J783" s="155"/>
      <c r="K783" s="155"/>
      <c r="L783" s="155"/>
    </row>
    <row r="784" spans="1:29" ht="27.75" customHeight="1">
      <c r="A784" s="317" t="s">
        <v>135</v>
      </c>
      <c r="B784" s="318"/>
      <c r="C784" s="317" t="s">
        <v>68</v>
      </c>
      <c r="D784" s="318"/>
      <c r="E784" s="183"/>
      <c r="F784" s="321" t="s">
        <v>136</v>
      </c>
      <c r="G784" s="322" t="s">
        <v>155</v>
      </c>
      <c r="H784" s="323"/>
      <c r="I784" s="323"/>
      <c r="J784" s="322" t="s">
        <v>154</v>
      </c>
      <c r="K784" s="323"/>
      <c r="L784" s="324"/>
      <c r="M784" s="92"/>
      <c r="O784" s="325"/>
      <c r="P784" s="325"/>
      <c r="Q784" s="325"/>
      <c r="R784" s="325"/>
      <c r="S784" s="316"/>
      <c r="T784" s="316"/>
      <c r="U784" s="316"/>
      <c r="V784" s="316"/>
      <c r="W784" s="316"/>
      <c r="X784" s="316"/>
      <c r="Y784" s="316"/>
      <c r="Z784" s="316"/>
      <c r="AA784" s="316"/>
      <c r="AB784" s="316"/>
      <c r="AC784" s="316"/>
    </row>
    <row r="785" spans="1:29" ht="125.25" customHeight="1">
      <c r="A785" s="319"/>
      <c r="B785" s="320"/>
      <c r="C785" s="319"/>
      <c r="D785" s="320"/>
      <c r="E785" s="184"/>
      <c r="F785" s="321"/>
      <c r="G785" s="153" t="s">
        <v>151</v>
      </c>
      <c r="H785" s="153" t="s">
        <v>152</v>
      </c>
      <c r="I785" s="153" t="s">
        <v>153</v>
      </c>
      <c r="J785" s="153" t="s">
        <v>151</v>
      </c>
      <c r="K785" s="153" t="s">
        <v>152</v>
      </c>
      <c r="L785" s="153" t="s">
        <v>153</v>
      </c>
      <c r="O785" s="325"/>
      <c r="P785" s="325"/>
      <c r="Q785" s="325"/>
      <c r="R785" s="325"/>
      <c r="S785" s="193"/>
      <c r="T785" s="193"/>
      <c r="U785" s="193"/>
      <c r="V785" s="193"/>
      <c r="W785" s="193"/>
      <c r="X785" s="193"/>
      <c r="Y785" s="193"/>
      <c r="Z785" s="193"/>
      <c r="AA785" s="193"/>
      <c r="AB785" s="193"/>
      <c r="AC785" s="193"/>
    </row>
    <row r="786" spans="1:29" ht="24.75" customHeight="1">
      <c r="A786" s="190" t="s">
        <v>128</v>
      </c>
      <c r="B786" s="142"/>
      <c r="C786" s="330" t="s">
        <v>129</v>
      </c>
      <c r="D786" s="330"/>
      <c r="E786" s="330"/>
      <c r="F786" s="330"/>
      <c r="G786" s="330"/>
      <c r="H786" s="330"/>
      <c r="I786" s="330"/>
      <c r="J786" s="330"/>
      <c r="K786" s="330"/>
      <c r="L786" s="330"/>
      <c r="M786" s="93"/>
      <c r="O786" s="156"/>
      <c r="P786" s="142"/>
      <c r="Q786" s="331"/>
      <c r="R786" s="331"/>
      <c r="S786" s="331"/>
      <c r="T786" s="331"/>
      <c r="U786" s="331"/>
      <c r="V786" s="331"/>
      <c r="W786" s="331"/>
      <c r="X786" s="331"/>
      <c r="Y786" s="331"/>
      <c r="Z786" s="331"/>
      <c r="AA786" s="331"/>
      <c r="AB786" s="331"/>
      <c r="AC786" s="331"/>
    </row>
    <row r="787" spans="1:29" ht="21" customHeight="1">
      <c r="A787" s="187">
        <v>1</v>
      </c>
      <c r="B787" s="185" t="s">
        <v>69</v>
      </c>
      <c r="C787" s="326" t="s">
        <v>70</v>
      </c>
      <c r="D787" s="326"/>
      <c r="E787" s="176"/>
      <c r="F787" s="144" t="s">
        <v>71</v>
      </c>
      <c r="G787" s="203" t="s">
        <v>156</v>
      </c>
      <c r="H787" s="202" t="s">
        <v>156</v>
      </c>
      <c r="I787" s="201">
        <v>1</v>
      </c>
      <c r="J787" s="202" t="s">
        <v>156</v>
      </c>
      <c r="K787" s="202" t="s">
        <v>156</v>
      </c>
      <c r="L787" s="201">
        <v>1</v>
      </c>
      <c r="M787" s="93"/>
      <c r="O787" s="195"/>
      <c r="P787" s="196"/>
      <c r="Q787" s="327"/>
      <c r="R787" s="327"/>
      <c r="S787" s="86"/>
      <c r="T787" s="86"/>
      <c r="U787" s="86"/>
      <c r="V787" s="86"/>
      <c r="W787" s="194"/>
      <c r="X787" s="194"/>
      <c r="Y787" s="194"/>
      <c r="Z787" s="194"/>
      <c r="AA787" s="194"/>
      <c r="AB787" s="194"/>
      <c r="AC787" s="194"/>
    </row>
    <row r="788" spans="1:29" ht="21" customHeight="1">
      <c r="A788" s="187">
        <v>2</v>
      </c>
      <c r="B788" s="185" t="s">
        <v>69</v>
      </c>
      <c r="C788" s="326" t="s">
        <v>72</v>
      </c>
      <c r="D788" s="326"/>
      <c r="E788" s="176"/>
      <c r="F788" s="144" t="s">
        <v>71</v>
      </c>
      <c r="G788" s="203" t="s">
        <v>156</v>
      </c>
      <c r="H788" s="202" t="s">
        <v>156</v>
      </c>
      <c r="I788" s="202" t="s">
        <v>156</v>
      </c>
      <c r="J788" s="202" t="s">
        <v>156</v>
      </c>
      <c r="K788" s="202" t="s">
        <v>156</v>
      </c>
      <c r="L788" s="202" t="s">
        <v>156</v>
      </c>
      <c r="M788" s="93"/>
      <c r="O788" s="195"/>
      <c r="P788" s="196"/>
      <c r="Q788" s="327"/>
      <c r="R788" s="327"/>
      <c r="S788" s="194"/>
      <c r="T788" s="194"/>
      <c r="U788" s="194"/>
      <c r="V788" s="86"/>
      <c r="W788" s="86"/>
      <c r="X788" s="86"/>
      <c r="Y788" s="86"/>
      <c r="Z788" s="194"/>
      <c r="AA788" s="194"/>
      <c r="AB788" s="194"/>
      <c r="AC788" s="194"/>
    </row>
    <row r="789" spans="1:29" ht="21" customHeight="1">
      <c r="A789" s="187">
        <v>3</v>
      </c>
      <c r="B789" s="185" t="s">
        <v>69</v>
      </c>
      <c r="C789" s="326" t="s">
        <v>73</v>
      </c>
      <c r="D789" s="326"/>
      <c r="E789" s="176"/>
      <c r="F789" s="144" t="s">
        <v>71</v>
      </c>
      <c r="G789" s="203" t="s">
        <v>156</v>
      </c>
      <c r="H789" s="202" t="s">
        <v>156</v>
      </c>
      <c r="I789" s="202" t="s">
        <v>156</v>
      </c>
      <c r="J789" s="202" t="s">
        <v>156</v>
      </c>
      <c r="K789" s="202" t="s">
        <v>156</v>
      </c>
      <c r="L789" s="202" t="s">
        <v>156</v>
      </c>
      <c r="M789" s="93"/>
      <c r="O789" s="195"/>
      <c r="P789" s="196"/>
      <c r="Q789" s="327"/>
      <c r="R789" s="327"/>
      <c r="S789" s="194"/>
      <c r="T789" s="86"/>
      <c r="U789" s="86"/>
      <c r="V789" s="86"/>
      <c r="W789" s="86"/>
      <c r="X789" s="194"/>
      <c r="Y789" s="194"/>
      <c r="Z789" s="194"/>
      <c r="AA789" s="194"/>
      <c r="AB789" s="194"/>
      <c r="AC789" s="194"/>
    </row>
    <row r="790" spans="1:29" ht="21" customHeight="1">
      <c r="A790" s="187">
        <v>4</v>
      </c>
      <c r="B790" s="185" t="s">
        <v>69</v>
      </c>
      <c r="C790" s="326" t="s">
        <v>98</v>
      </c>
      <c r="D790" s="326"/>
      <c r="E790" s="176"/>
      <c r="F790" s="144" t="s">
        <v>71</v>
      </c>
      <c r="G790" s="203" t="s">
        <v>156</v>
      </c>
      <c r="H790" s="202" t="s">
        <v>156</v>
      </c>
      <c r="I790" s="202" t="s">
        <v>156</v>
      </c>
      <c r="J790" s="202" t="s">
        <v>156</v>
      </c>
      <c r="K790" s="202" t="s">
        <v>156</v>
      </c>
      <c r="L790" s="202" t="s">
        <v>156</v>
      </c>
      <c r="M790" s="93"/>
      <c r="O790" s="195"/>
      <c r="P790" s="196"/>
      <c r="Q790" s="327"/>
      <c r="R790" s="327"/>
      <c r="S790" s="194"/>
      <c r="T790" s="194"/>
      <c r="U790" s="194"/>
      <c r="V790" s="194"/>
      <c r="W790" s="194"/>
      <c r="X790" s="194"/>
      <c r="Y790" s="194"/>
      <c r="Z790" s="86"/>
      <c r="AA790" s="86"/>
      <c r="AB790" s="86"/>
      <c r="AC790" s="86"/>
    </row>
    <row r="791" spans="1:29" ht="21" customHeight="1">
      <c r="A791" s="187">
        <v>5</v>
      </c>
      <c r="B791" s="185" t="s">
        <v>69</v>
      </c>
      <c r="C791" s="326" t="s">
        <v>74</v>
      </c>
      <c r="D791" s="326"/>
      <c r="E791" s="176"/>
      <c r="F791" s="144" t="s">
        <v>71</v>
      </c>
      <c r="G791" s="203" t="s">
        <v>156</v>
      </c>
      <c r="H791" s="202" t="s">
        <v>156</v>
      </c>
      <c r="I791" s="202" t="s">
        <v>156</v>
      </c>
      <c r="J791" s="202" t="s">
        <v>156</v>
      </c>
      <c r="K791" s="202" t="s">
        <v>156</v>
      </c>
      <c r="L791" s="202" t="s">
        <v>156</v>
      </c>
      <c r="M791" s="93"/>
      <c r="O791" s="195"/>
      <c r="P791" s="196"/>
      <c r="Q791" s="327"/>
      <c r="R791" s="327"/>
      <c r="S791" s="194"/>
      <c r="T791" s="194"/>
      <c r="U791" s="194"/>
      <c r="V791" s="194"/>
      <c r="W791" s="194"/>
      <c r="X791" s="194"/>
      <c r="Y791" s="194"/>
      <c r="Z791" s="194"/>
      <c r="AA791" s="194"/>
      <c r="AB791" s="194"/>
      <c r="AC791" s="194"/>
    </row>
    <row r="792" spans="1:29" ht="21" customHeight="1">
      <c r="A792" s="187">
        <v>6</v>
      </c>
      <c r="B792" s="185" t="s">
        <v>69</v>
      </c>
      <c r="C792" s="326" t="s">
        <v>75</v>
      </c>
      <c r="D792" s="326"/>
      <c r="E792" s="176"/>
      <c r="F792" s="144" t="s">
        <v>71</v>
      </c>
      <c r="G792" s="203" t="s">
        <v>156</v>
      </c>
      <c r="H792" s="202" t="s">
        <v>156</v>
      </c>
      <c r="I792" s="202" t="s">
        <v>156</v>
      </c>
      <c r="J792" s="202" t="s">
        <v>156</v>
      </c>
      <c r="K792" s="202" t="s">
        <v>156</v>
      </c>
      <c r="L792" s="202" t="s">
        <v>156</v>
      </c>
      <c r="M792" s="93"/>
      <c r="O792" s="195"/>
      <c r="P792" s="196"/>
      <c r="Q792" s="327"/>
      <c r="R792" s="327"/>
      <c r="S792" s="194"/>
      <c r="T792" s="194"/>
      <c r="U792" s="194"/>
      <c r="V792" s="194"/>
      <c r="W792" s="194"/>
      <c r="X792" s="194"/>
      <c r="Y792" s="194"/>
      <c r="Z792" s="194"/>
      <c r="AA792" s="194"/>
      <c r="AB792" s="194"/>
      <c r="AC792" s="194"/>
    </row>
    <row r="793" spans="1:29" ht="21" customHeight="1">
      <c r="A793" s="187">
        <v>7</v>
      </c>
      <c r="B793" s="185" t="s">
        <v>69</v>
      </c>
      <c r="C793" s="326" t="s">
        <v>76</v>
      </c>
      <c r="D793" s="326"/>
      <c r="E793" s="176"/>
      <c r="F793" s="144" t="s">
        <v>71</v>
      </c>
      <c r="G793" s="203" t="s">
        <v>156</v>
      </c>
      <c r="H793" s="202" t="s">
        <v>156</v>
      </c>
      <c r="I793" s="202" t="s">
        <v>156</v>
      </c>
      <c r="J793" s="202" t="s">
        <v>156</v>
      </c>
      <c r="K793" s="202" t="s">
        <v>156</v>
      </c>
      <c r="L793" s="202" t="s">
        <v>156</v>
      </c>
      <c r="M793" s="93"/>
      <c r="O793" s="195"/>
      <c r="P793" s="196"/>
      <c r="Q793" s="327"/>
      <c r="R793" s="327"/>
      <c r="S793" s="194"/>
      <c r="T793" s="194"/>
      <c r="U793" s="194"/>
      <c r="V793" s="194"/>
      <c r="W793" s="194"/>
      <c r="X793" s="194"/>
      <c r="Y793" s="194"/>
      <c r="Z793" s="194"/>
      <c r="AA793" s="194"/>
      <c r="AB793" s="194"/>
      <c r="AC793" s="194"/>
    </row>
    <row r="794" spans="1:29" ht="21" customHeight="1">
      <c r="A794" s="187">
        <v>8</v>
      </c>
      <c r="B794" s="185" t="s">
        <v>69</v>
      </c>
      <c r="C794" s="326" t="s">
        <v>99</v>
      </c>
      <c r="D794" s="326"/>
      <c r="E794" s="176"/>
      <c r="F794" s="144" t="s">
        <v>71</v>
      </c>
      <c r="G794" s="203" t="s">
        <v>156</v>
      </c>
      <c r="H794" s="202" t="s">
        <v>156</v>
      </c>
      <c r="I794" s="202" t="s">
        <v>156</v>
      </c>
      <c r="J794" s="202" t="s">
        <v>156</v>
      </c>
      <c r="K794" s="202" t="s">
        <v>156</v>
      </c>
      <c r="L794" s="202" t="s">
        <v>156</v>
      </c>
      <c r="M794" s="93"/>
      <c r="O794" s="195"/>
      <c r="P794" s="196"/>
      <c r="Q794" s="327"/>
      <c r="R794" s="327"/>
      <c r="S794" s="194"/>
      <c r="T794" s="194"/>
      <c r="U794" s="194"/>
      <c r="V794" s="194"/>
      <c r="W794" s="194"/>
      <c r="X794" s="194"/>
      <c r="Y794" s="194"/>
      <c r="Z794" s="194"/>
      <c r="AA794" s="194"/>
      <c r="AB794" s="194"/>
      <c r="AC794" s="194"/>
    </row>
    <row r="795" spans="1:29" ht="21" customHeight="1">
      <c r="A795" s="187">
        <v>9</v>
      </c>
      <c r="B795" s="185" t="s">
        <v>69</v>
      </c>
      <c r="C795" s="326" t="s">
        <v>77</v>
      </c>
      <c r="D795" s="326"/>
      <c r="E795" s="176"/>
      <c r="F795" s="144" t="s">
        <v>71</v>
      </c>
      <c r="G795" s="203" t="s">
        <v>156</v>
      </c>
      <c r="H795" s="202" t="s">
        <v>156</v>
      </c>
      <c r="I795" s="202" t="s">
        <v>156</v>
      </c>
      <c r="J795" s="202" t="s">
        <v>156</v>
      </c>
      <c r="K795" s="202" t="s">
        <v>156</v>
      </c>
      <c r="L795" s="202" t="s">
        <v>156</v>
      </c>
      <c r="M795" s="93"/>
      <c r="O795" s="195"/>
      <c r="P795" s="196"/>
      <c r="Q795" s="327"/>
      <c r="R795" s="327"/>
      <c r="S795" s="194"/>
      <c r="T795" s="194"/>
      <c r="U795" s="194"/>
      <c r="V795" s="194"/>
      <c r="W795" s="194"/>
      <c r="X795" s="194"/>
      <c r="Y795" s="194"/>
      <c r="Z795" s="194"/>
      <c r="AA795" s="194"/>
      <c r="AB795" s="194"/>
      <c r="AC795" s="194"/>
    </row>
    <row r="796" spans="1:29" ht="21" customHeight="1">
      <c r="A796" s="187">
        <v>10</v>
      </c>
      <c r="B796" s="185" t="s">
        <v>69</v>
      </c>
      <c r="C796" s="326" t="s">
        <v>78</v>
      </c>
      <c r="D796" s="326"/>
      <c r="E796" s="176"/>
      <c r="F796" s="144" t="s">
        <v>71</v>
      </c>
      <c r="G796" s="203" t="s">
        <v>156</v>
      </c>
      <c r="H796" s="202" t="s">
        <v>156</v>
      </c>
      <c r="I796" s="202" t="s">
        <v>156</v>
      </c>
      <c r="J796" s="202" t="s">
        <v>156</v>
      </c>
      <c r="K796" s="202" t="s">
        <v>156</v>
      </c>
      <c r="L796" s="202" t="s">
        <v>156</v>
      </c>
      <c r="M796" s="93"/>
      <c r="O796" s="195"/>
      <c r="P796" s="196"/>
      <c r="Q796" s="327"/>
      <c r="R796" s="327"/>
      <c r="S796" s="194"/>
      <c r="T796" s="194"/>
      <c r="U796" s="194"/>
      <c r="V796" s="194"/>
      <c r="W796" s="194"/>
      <c r="X796" s="194"/>
      <c r="Y796" s="194"/>
      <c r="Z796" s="194"/>
      <c r="AA796" s="194"/>
      <c r="AB796" s="194"/>
      <c r="AC796" s="194"/>
    </row>
    <row r="797" spans="1:29" ht="21" customHeight="1">
      <c r="A797" s="187">
        <v>11</v>
      </c>
      <c r="B797" s="185" t="s">
        <v>69</v>
      </c>
      <c r="C797" s="326" t="s">
        <v>79</v>
      </c>
      <c r="D797" s="326"/>
      <c r="E797" s="176"/>
      <c r="F797" s="144" t="s">
        <v>71</v>
      </c>
      <c r="G797" s="203" t="s">
        <v>156</v>
      </c>
      <c r="H797" s="202" t="s">
        <v>156</v>
      </c>
      <c r="I797" s="202" t="s">
        <v>156</v>
      </c>
      <c r="J797" s="202" t="s">
        <v>156</v>
      </c>
      <c r="K797" s="202" t="s">
        <v>156</v>
      </c>
      <c r="L797" s="202" t="s">
        <v>156</v>
      </c>
      <c r="M797" s="93"/>
      <c r="O797" s="195"/>
      <c r="P797" s="196"/>
      <c r="Q797" s="327"/>
      <c r="R797" s="327"/>
      <c r="S797" s="194"/>
      <c r="T797" s="194"/>
      <c r="U797" s="194"/>
      <c r="V797" s="194"/>
      <c r="W797" s="194"/>
      <c r="X797" s="194"/>
      <c r="Y797" s="194"/>
      <c r="Z797" s="194"/>
      <c r="AA797" s="194"/>
      <c r="AB797" s="194"/>
      <c r="AC797" s="194"/>
    </row>
    <row r="798" spans="1:29" ht="21" customHeight="1">
      <c r="A798" s="187">
        <v>12</v>
      </c>
      <c r="B798" s="185" t="s">
        <v>69</v>
      </c>
      <c r="C798" s="326" t="s">
        <v>100</v>
      </c>
      <c r="D798" s="326"/>
      <c r="E798" s="176"/>
      <c r="F798" s="144" t="s">
        <v>71</v>
      </c>
      <c r="G798" s="203" t="s">
        <v>156</v>
      </c>
      <c r="H798" s="202" t="s">
        <v>156</v>
      </c>
      <c r="I798" s="202" t="s">
        <v>156</v>
      </c>
      <c r="J798" s="202" t="s">
        <v>156</v>
      </c>
      <c r="K798" s="202" t="s">
        <v>156</v>
      </c>
      <c r="L798" s="202" t="s">
        <v>156</v>
      </c>
      <c r="M798" s="93"/>
      <c r="O798" s="195"/>
      <c r="P798" s="196"/>
      <c r="Q798" s="327"/>
      <c r="R798" s="327"/>
      <c r="S798" s="194"/>
      <c r="T798" s="194"/>
      <c r="U798" s="194"/>
      <c r="V798" s="194"/>
      <c r="W798" s="194"/>
      <c r="X798" s="194"/>
      <c r="Y798" s="194"/>
      <c r="Z798" s="194"/>
      <c r="AA798" s="194"/>
      <c r="AB798" s="194"/>
      <c r="AC798" s="194"/>
    </row>
    <row r="799" spans="1:29" ht="21" customHeight="1">
      <c r="A799" s="187">
        <v>13</v>
      </c>
      <c r="B799" s="185" t="s">
        <v>69</v>
      </c>
      <c r="C799" s="326" t="s">
        <v>80</v>
      </c>
      <c r="D799" s="326"/>
      <c r="E799" s="176"/>
      <c r="F799" s="144" t="s">
        <v>71</v>
      </c>
      <c r="G799" s="203" t="s">
        <v>156</v>
      </c>
      <c r="H799" s="202" t="s">
        <v>156</v>
      </c>
      <c r="I799" s="202" t="s">
        <v>156</v>
      </c>
      <c r="J799" s="202" t="s">
        <v>156</v>
      </c>
      <c r="K799" s="202" t="s">
        <v>156</v>
      </c>
      <c r="L799" s="202" t="s">
        <v>156</v>
      </c>
      <c r="M799" s="93"/>
      <c r="O799" s="195"/>
      <c r="P799" s="196"/>
      <c r="Q799" s="327"/>
      <c r="R799" s="327"/>
      <c r="S799" s="194"/>
      <c r="T799" s="194"/>
      <c r="U799" s="194"/>
      <c r="V799" s="194"/>
      <c r="W799" s="194"/>
      <c r="X799" s="194"/>
      <c r="Y799" s="194"/>
      <c r="Z799" s="194"/>
      <c r="AA799" s="194"/>
      <c r="AB799" s="194"/>
      <c r="AC799" s="194"/>
    </row>
    <row r="800" spans="1:29" ht="21" customHeight="1">
      <c r="A800" s="187">
        <v>14</v>
      </c>
      <c r="B800" s="185" t="s">
        <v>69</v>
      </c>
      <c r="C800" s="326" t="s">
        <v>91</v>
      </c>
      <c r="D800" s="326"/>
      <c r="E800" s="176"/>
      <c r="F800" s="144" t="s">
        <v>71</v>
      </c>
      <c r="G800" s="203" t="s">
        <v>156</v>
      </c>
      <c r="H800" s="202" t="s">
        <v>156</v>
      </c>
      <c r="I800" s="202" t="s">
        <v>156</v>
      </c>
      <c r="J800" s="202" t="s">
        <v>156</v>
      </c>
      <c r="K800" s="202" t="s">
        <v>156</v>
      </c>
      <c r="L800" s="202" t="s">
        <v>156</v>
      </c>
      <c r="M800" s="93"/>
      <c r="O800" s="195"/>
      <c r="P800" s="196"/>
      <c r="Q800" s="327"/>
      <c r="R800" s="327"/>
      <c r="S800" s="194"/>
      <c r="T800" s="194"/>
      <c r="U800" s="194"/>
      <c r="V800" s="194"/>
      <c r="W800" s="194"/>
      <c r="X800" s="194"/>
      <c r="Y800" s="194"/>
      <c r="Z800" s="194"/>
      <c r="AA800" s="194"/>
      <c r="AB800" s="194"/>
      <c r="AC800" s="194"/>
    </row>
    <row r="801" spans="1:29" ht="21" customHeight="1">
      <c r="A801" s="187">
        <v>15</v>
      </c>
      <c r="B801" s="185" t="s">
        <v>69</v>
      </c>
      <c r="C801" s="326" t="s">
        <v>81</v>
      </c>
      <c r="D801" s="326"/>
      <c r="E801" s="176"/>
      <c r="F801" s="144" t="s">
        <v>71</v>
      </c>
      <c r="G801" s="203" t="s">
        <v>156</v>
      </c>
      <c r="H801" s="202" t="s">
        <v>156</v>
      </c>
      <c r="I801" s="202" t="s">
        <v>156</v>
      </c>
      <c r="J801" s="202" t="s">
        <v>156</v>
      </c>
      <c r="K801" s="202" t="s">
        <v>156</v>
      </c>
      <c r="L801" s="202" t="s">
        <v>156</v>
      </c>
      <c r="M801" s="93"/>
      <c r="O801" s="195"/>
      <c r="P801" s="196"/>
      <c r="Q801" s="327"/>
      <c r="R801" s="327"/>
      <c r="S801" s="194"/>
      <c r="T801" s="194"/>
      <c r="U801" s="194"/>
      <c r="V801" s="194"/>
      <c r="W801" s="194"/>
      <c r="X801" s="194"/>
      <c r="Y801" s="194"/>
      <c r="Z801" s="194"/>
      <c r="AA801" s="194"/>
      <c r="AB801" s="194"/>
      <c r="AC801" s="194"/>
    </row>
    <row r="802" spans="1:29" ht="21" customHeight="1">
      <c r="A802" s="187">
        <v>16</v>
      </c>
      <c r="B802" s="185" t="s">
        <v>69</v>
      </c>
      <c r="C802" s="326" t="s">
        <v>101</v>
      </c>
      <c r="D802" s="326"/>
      <c r="E802" s="151"/>
      <c r="F802" s="144" t="s">
        <v>71</v>
      </c>
      <c r="G802" s="203" t="s">
        <v>156</v>
      </c>
      <c r="H802" s="202" t="s">
        <v>156</v>
      </c>
      <c r="I802" s="202" t="s">
        <v>156</v>
      </c>
      <c r="J802" s="202" t="s">
        <v>156</v>
      </c>
      <c r="K802" s="202" t="s">
        <v>156</v>
      </c>
      <c r="L802" s="202" t="s">
        <v>156</v>
      </c>
      <c r="M802" s="93"/>
      <c r="N802" s="219"/>
      <c r="O802" s="195"/>
      <c r="P802" s="196"/>
      <c r="Q802" s="327"/>
      <c r="R802" s="327"/>
      <c r="S802" s="197"/>
      <c r="T802" s="197"/>
      <c r="U802" s="197"/>
      <c r="V802" s="197"/>
      <c r="W802" s="197"/>
      <c r="X802" s="197"/>
      <c r="Y802" s="197"/>
      <c r="Z802" s="197"/>
      <c r="AA802" s="197"/>
      <c r="AB802" s="197"/>
      <c r="AC802" s="197"/>
    </row>
    <row r="803" spans="1:29" ht="21" customHeight="1">
      <c r="A803" s="187">
        <v>17</v>
      </c>
      <c r="B803" s="186" t="s">
        <v>69</v>
      </c>
      <c r="C803" s="326" t="s">
        <v>141</v>
      </c>
      <c r="D803" s="326"/>
      <c r="E803" s="151"/>
      <c r="F803" s="144" t="s">
        <v>71</v>
      </c>
      <c r="G803" s="203" t="s">
        <v>156</v>
      </c>
      <c r="H803" s="202" t="s">
        <v>156</v>
      </c>
      <c r="I803" s="202" t="s">
        <v>156</v>
      </c>
      <c r="J803" s="202" t="s">
        <v>156</v>
      </c>
      <c r="K803" s="202" t="s">
        <v>156</v>
      </c>
      <c r="L803" s="202" t="s">
        <v>156</v>
      </c>
      <c r="M803" s="93"/>
      <c r="N803" s="219"/>
      <c r="O803" s="195"/>
      <c r="P803" s="104"/>
      <c r="Q803" s="327"/>
      <c r="R803" s="327"/>
      <c r="S803" s="197"/>
      <c r="T803" s="197"/>
      <c r="U803" s="197"/>
      <c r="V803" s="197"/>
      <c r="W803" s="197"/>
      <c r="X803" s="197"/>
      <c r="Y803" s="197"/>
      <c r="Z803" s="197"/>
      <c r="AA803" s="197"/>
      <c r="AB803" s="197"/>
      <c r="AC803" s="197"/>
    </row>
    <row r="804" spans="1:29" ht="21" customHeight="1">
      <c r="A804" s="187">
        <v>18</v>
      </c>
      <c r="B804" s="186" t="s">
        <v>69</v>
      </c>
      <c r="C804" s="326" t="s">
        <v>142</v>
      </c>
      <c r="D804" s="326"/>
      <c r="E804" s="151"/>
      <c r="F804" s="144" t="s">
        <v>71</v>
      </c>
      <c r="G804" s="203" t="s">
        <v>156</v>
      </c>
      <c r="H804" s="202" t="s">
        <v>156</v>
      </c>
      <c r="I804" s="202" t="s">
        <v>156</v>
      </c>
      <c r="J804" s="202" t="s">
        <v>156</v>
      </c>
      <c r="K804" s="202" t="s">
        <v>156</v>
      </c>
      <c r="L804" s="202" t="s">
        <v>156</v>
      </c>
      <c r="M804" s="93"/>
      <c r="N804" s="219"/>
      <c r="O804" s="195"/>
      <c r="P804" s="104"/>
      <c r="Q804" s="327"/>
      <c r="R804" s="327"/>
      <c r="S804" s="197"/>
      <c r="T804" s="197"/>
      <c r="U804" s="197"/>
      <c r="V804" s="197"/>
      <c r="W804" s="197"/>
      <c r="X804" s="197"/>
      <c r="Y804" s="197"/>
      <c r="Z804" s="197"/>
      <c r="AA804" s="197"/>
      <c r="AB804" s="197"/>
      <c r="AC804" s="197"/>
    </row>
    <row r="805" spans="1:29" ht="21" customHeight="1">
      <c r="A805" s="187">
        <v>19</v>
      </c>
      <c r="B805" s="186" t="s">
        <v>69</v>
      </c>
      <c r="C805" s="326" t="s">
        <v>143</v>
      </c>
      <c r="D805" s="326"/>
      <c r="E805" s="151"/>
      <c r="F805" s="144" t="s">
        <v>71</v>
      </c>
      <c r="G805" s="203" t="s">
        <v>156</v>
      </c>
      <c r="H805" s="202" t="s">
        <v>156</v>
      </c>
      <c r="I805" s="202" t="s">
        <v>156</v>
      </c>
      <c r="J805" s="202" t="s">
        <v>156</v>
      </c>
      <c r="K805" s="202" t="s">
        <v>156</v>
      </c>
      <c r="L805" s="202" t="s">
        <v>156</v>
      </c>
      <c r="M805" s="93"/>
      <c r="N805" s="219"/>
      <c r="O805" s="195"/>
      <c r="P805" s="104"/>
      <c r="Q805" s="327"/>
      <c r="R805" s="327"/>
      <c r="S805" s="197"/>
      <c r="T805" s="197"/>
      <c r="U805" s="197"/>
      <c r="V805" s="197"/>
      <c r="W805" s="197"/>
      <c r="X805" s="197"/>
      <c r="Y805" s="197"/>
      <c r="Z805" s="197"/>
      <c r="AA805" s="197"/>
      <c r="AB805" s="197"/>
      <c r="AC805" s="197"/>
    </row>
    <row r="806" spans="1:29" ht="21" customHeight="1">
      <c r="A806" s="187">
        <v>20</v>
      </c>
      <c r="B806" s="186" t="s">
        <v>69</v>
      </c>
      <c r="C806" s="326" t="s">
        <v>102</v>
      </c>
      <c r="D806" s="326"/>
      <c r="E806" s="150"/>
      <c r="F806" s="154" t="s">
        <v>71</v>
      </c>
      <c r="G806" s="203" t="s">
        <v>156</v>
      </c>
      <c r="H806" s="202" t="s">
        <v>156</v>
      </c>
      <c r="I806" s="202" t="s">
        <v>156</v>
      </c>
      <c r="J806" s="202" t="s">
        <v>156</v>
      </c>
      <c r="K806" s="202" t="s">
        <v>156</v>
      </c>
      <c r="L806" s="202" t="s">
        <v>156</v>
      </c>
      <c r="M806" s="93"/>
      <c r="N806" s="219"/>
      <c r="O806" s="195"/>
      <c r="P806" s="104"/>
      <c r="Q806" s="327"/>
      <c r="R806" s="327"/>
      <c r="S806" s="197"/>
      <c r="T806" s="197"/>
      <c r="U806" s="197"/>
      <c r="V806" s="197"/>
      <c r="W806" s="197"/>
      <c r="X806" s="197"/>
      <c r="Y806" s="197"/>
      <c r="Z806" s="197"/>
      <c r="AA806" s="197"/>
      <c r="AB806" s="197"/>
      <c r="AC806" s="197"/>
    </row>
    <row r="807" spans="1:29" ht="24.75" customHeight="1">
      <c r="A807" s="192" t="s">
        <v>128</v>
      </c>
      <c r="B807" s="104"/>
      <c r="C807" s="328" t="s">
        <v>130</v>
      </c>
      <c r="D807" s="328"/>
      <c r="E807" s="328"/>
      <c r="F807" s="328"/>
      <c r="G807" s="328"/>
      <c r="H807" s="328"/>
      <c r="I807" s="328"/>
      <c r="J807" s="328"/>
      <c r="K807" s="328"/>
      <c r="L807" s="328"/>
      <c r="M807" s="89"/>
      <c r="N807" s="219"/>
      <c r="O807" s="198"/>
      <c r="P807" s="104"/>
      <c r="Q807" s="329"/>
      <c r="R807" s="329"/>
      <c r="S807" s="329"/>
      <c r="T807" s="329"/>
      <c r="U807" s="329"/>
      <c r="V807" s="329"/>
      <c r="W807" s="329"/>
      <c r="X807" s="329"/>
      <c r="Y807" s="329"/>
      <c r="Z807" s="329"/>
      <c r="AA807" s="329"/>
      <c r="AB807" s="329"/>
      <c r="AC807" s="329"/>
    </row>
    <row r="808" spans="1:29" ht="33" customHeight="1">
      <c r="A808" s="189">
        <v>21</v>
      </c>
      <c r="B808" s="188" t="s">
        <v>69</v>
      </c>
      <c r="C808" s="307" t="s">
        <v>82</v>
      </c>
      <c r="D808" s="308"/>
      <c r="E808" s="182"/>
      <c r="F808" s="191" t="s">
        <v>71</v>
      </c>
      <c r="G808" s="201">
        <v>58</v>
      </c>
      <c r="H808" s="201">
        <v>40</v>
      </c>
      <c r="I808" s="201">
        <v>21</v>
      </c>
      <c r="J808" s="201">
        <v>58</v>
      </c>
      <c r="K808" s="201">
        <v>40</v>
      </c>
      <c r="L808" s="201">
        <v>21</v>
      </c>
      <c r="M808" s="89"/>
      <c r="N808" s="219"/>
      <c r="O808" s="199"/>
      <c r="P808" s="200"/>
      <c r="Q808" s="309"/>
      <c r="R808" s="309"/>
      <c r="S808" s="86"/>
      <c r="T808" s="86"/>
      <c r="U808" s="86"/>
      <c r="V808" s="86"/>
      <c r="W808" s="86"/>
      <c r="X808" s="86"/>
      <c r="Y808" s="86"/>
      <c r="Z808" s="86"/>
      <c r="AA808" s="86"/>
      <c r="AB808" s="86"/>
      <c r="AC808" s="86"/>
    </row>
    <row r="809" spans="1:29" ht="33" customHeight="1">
      <c r="A809" s="189">
        <v>22</v>
      </c>
      <c r="B809" s="188" t="s">
        <v>69</v>
      </c>
      <c r="C809" s="307" t="s">
        <v>103</v>
      </c>
      <c r="D809" s="308"/>
      <c r="E809" s="179"/>
      <c r="F809" s="191" t="s">
        <v>71</v>
      </c>
      <c r="G809" s="201">
        <v>9</v>
      </c>
      <c r="H809" s="201">
        <v>9</v>
      </c>
      <c r="I809" s="201">
        <v>7</v>
      </c>
      <c r="J809" s="201">
        <v>9</v>
      </c>
      <c r="K809" s="201">
        <v>9</v>
      </c>
      <c r="L809" s="201">
        <v>7</v>
      </c>
      <c r="M809" s="89"/>
      <c r="N809" s="219"/>
      <c r="O809" s="199"/>
      <c r="P809" s="200"/>
      <c r="Q809" s="309"/>
      <c r="R809" s="309"/>
      <c r="S809" s="86"/>
      <c r="T809" s="86"/>
      <c r="U809" s="86"/>
      <c r="V809" s="86"/>
      <c r="W809" s="86"/>
      <c r="X809" s="86"/>
      <c r="Y809" s="86"/>
      <c r="Z809" s="86"/>
      <c r="AA809" s="86"/>
      <c r="AB809" s="86"/>
      <c r="AC809" s="86"/>
    </row>
    <row r="810" spans="1:29" ht="33" customHeight="1">
      <c r="A810" s="189">
        <v>23</v>
      </c>
      <c r="B810" s="188" t="s">
        <v>69</v>
      </c>
      <c r="C810" s="307" t="s">
        <v>104</v>
      </c>
      <c r="D810" s="308"/>
      <c r="E810" s="179"/>
      <c r="F810" s="191" t="s">
        <v>71</v>
      </c>
      <c r="G810" s="201">
        <v>5</v>
      </c>
      <c r="H810" s="201">
        <v>1</v>
      </c>
      <c r="I810" s="201">
        <v>1</v>
      </c>
      <c r="J810" s="201">
        <v>5</v>
      </c>
      <c r="K810" s="201">
        <v>1</v>
      </c>
      <c r="L810" s="201">
        <v>1</v>
      </c>
      <c r="M810" s="89"/>
      <c r="N810" s="219"/>
      <c r="O810" s="199"/>
      <c r="P810" s="200"/>
      <c r="Q810" s="309"/>
      <c r="R810" s="309"/>
      <c r="S810" s="86"/>
      <c r="T810" s="86"/>
      <c r="U810" s="86"/>
      <c r="V810" s="86"/>
      <c r="W810" s="86"/>
      <c r="X810" s="86"/>
      <c r="Y810" s="86"/>
      <c r="Z810" s="86"/>
      <c r="AA810" s="86"/>
      <c r="AB810" s="86"/>
      <c r="AC810" s="86"/>
    </row>
    <row r="811" spans="1:29" ht="27.75" customHeight="1">
      <c r="A811" s="317" t="s">
        <v>135</v>
      </c>
      <c r="B811" s="318"/>
      <c r="C811" s="317" t="s">
        <v>68</v>
      </c>
      <c r="D811" s="318"/>
      <c r="E811" s="183"/>
      <c r="F811" s="321" t="s">
        <v>136</v>
      </c>
      <c r="G811" s="322" t="s">
        <v>155</v>
      </c>
      <c r="H811" s="323"/>
      <c r="I811" s="323"/>
      <c r="J811" s="322" t="s">
        <v>154</v>
      </c>
      <c r="K811" s="323"/>
      <c r="L811" s="324"/>
      <c r="M811" s="92"/>
      <c r="O811" s="325"/>
      <c r="P811" s="325"/>
      <c r="Q811" s="325"/>
      <c r="R811" s="325"/>
      <c r="S811" s="316"/>
      <c r="T811" s="316"/>
      <c r="U811" s="316"/>
      <c r="V811" s="316"/>
      <c r="W811" s="316"/>
      <c r="X811" s="316"/>
      <c r="Y811" s="316"/>
      <c r="Z811" s="316"/>
      <c r="AA811" s="316"/>
      <c r="AB811" s="316"/>
      <c r="AC811" s="316"/>
    </row>
    <row r="812" spans="1:29" ht="125.25" customHeight="1">
      <c r="A812" s="319"/>
      <c r="B812" s="320"/>
      <c r="C812" s="319"/>
      <c r="D812" s="320"/>
      <c r="E812" s="184"/>
      <c r="F812" s="321"/>
      <c r="G812" s="153" t="s">
        <v>151</v>
      </c>
      <c r="H812" s="153" t="s">
        <v>152</v>
      </c>
      <c r="I812" s="153" t="s">
        <v>153</v>
      </c>
      <c r="J812" s="153" t="s">
        <v>151</v>
      </c>
      <c r="K812" s="153" t="s">
        <v>152</v>
      </c>
      <c r="L812" s="153" t="s">
        <v>153</v>
      </c>
      <c r="O812" s="325"/>
      <c r="P812" s="325"/>
      <c r="Q812" s="325"/>
      <c r="R812" s="325"/>
      <c r="S812" s="193"/>
      <c r="T812" s="193"/>
      <c r="U812" s="193"/>
      <c r="V812" s="193"/>
      <c r="W812" s="193"/>
      <c r="X812" s="193"/>
      <c r="Y812" s="193"/>
      <c r="Z812" s="193"/>
      <c r="AA812" s="193"/>
      <c r="AB812" s="193"/>
      <c r="AC812" s="193"/>
    </row>
    <row r="813" spans="1:29" ht="30" customHeight="1">
      <c r="A813" s="189">
        <v>24</v>
      </c>
      <c r="B813" s="188" t="s">
        <v>69</v>
      </c>
      <c r="C813" s="307" t="s">
        <v>131</v>
      </c>
      <c r="D813" s="308"/>
      <c r="E813" s="179"/>
      <c r="F813" s="191" t="s">
        <v>71</v>
      </c>
      <c r="G813" s="202" t="s">
        <v>156</v>
      </c>
      <c r="H813" s="202" t="s">
        <v>156</v>
      </c>
      <c r="I813" s="202" t="s">
        <v>156</v>
      </c>
      <c r="J813" s="202" t="s">
        <v>156</v>
      </c>
      <c r="K813" s="202" t="s">
        <v>156</v>
      </c>
      <c r="L813" s="202" t="s">
        <v>156</v>
      </c>
      <c r="M813" s="89"/>
      <c r="N813" s="219"/>
      <c r="O813" s="199"/>
      <c r="P813" s="200"/>
      <c r="Q813" s="309"/>
      <c r="R813" s="309"/>
      <c r="S813" s="86"/>
      <c r="T813" s="86"/>
      <c r="U813" s="86"/>
      <c r="V813" s="86"/>
      <c r="W813" s="86"/>
      <c r="X813" s="86"/>
      <c r="Y813" s="86"/>
      <c r="Z813" s="86"/>
      <c r="AA813" s="86"/>
      <c r="AB813" s="86"/>
      <c r="AC813" s="86"/>
    </row>
    <row r="814" spans="1:29" ht="30" customHeight="1">
      <c r="A814" s="189">
        <v>25</v>
      </c>
      <c r="B814" s="188" t="s">
        <v>69</v>
      </c>
      <c r="C814" s="307" t="s">
        <v>83</v>
      </c>
      <c r="D814" s="308"/>
      <c r="E814" s="179"/>
      <c r="F814" s="191" t="s">
        <v>71</v>
      </c>
      <c r="G814" s="201">
        <v>25</v>
      </c>
      <c r="H814" s="201">
        <v>40</v>
      </c>
      <c r="I814" s="201">
        <v>22</v>
      </c>
      <c r="J814" s="201">
        <v>25</v>
      </c>
      <c r="K814" s="201">
        <v>40</v>
      </c>
      <c r="L814" s="201">
        <v>22</v>
      </c>
      <c r="M814" s="89"/>
      <c r="N814" s="219"/>
      <c r="O814" s="199"/>
      <c r="P814" s="200"/>
      <c r="Q814" s="309"/>
      <c r="R814" s="309"/>
      <c r="S814" s="86"/>
      <c r="T814" s="86"/>
      <c r="U814" s="86"/>
      <c r="V814" s="86"/>
      <c r="W814" s="86"/>
      <c r="X814" s="86"/>
      <c r="Y814" s="86"/>
      <c r="Z814" s="86"/>
      <c r="AA814" s="86"/>
      <c r="AB814" s="86"/>
      <c r="AC814" s="86"/>
    </row>
    <row r="815" spans="1:29" ht="30" customHeight="1">
      <c r="A815" s="189">
        <v>26</v>
      </c>
      <c r="B815" s="188" t="s">
        <v>69</v>
      </c>
      <c r="C815" s="307" t="s">
        <v>84</v>
      </c>
      <c r="D815" s="308"/>
      <c r="E815" s="179"/>
      <c r="F815" s="191" t="s">
        <v>71</v>
      </c>
      <c r="G815" s="201">
        <v>5</v>
      </c>
      <c r="H815" s="202" t="s">
        <v>156</v>
      </c>
      <c r="I815" s="202" t="s">
        <v>156</v>
      </c>
      <c r="J815" s="201">
        <v>5</v>
      </c>
      <c r="K815" s="202" t="s">
        <v>156</v>
      </c>
      <c r="L815" s="202" t="s">
        <v>156</v>
      </c>
      <c r="M815" s="89"/>
      <c r="N815" s="219"/>
      <c r="O815" s="199"/>
      <c r="P815" s="200"/>
      <c r="Q815" s="309"/>
      <c r="R815" s="309"/>
      <c r="S815" s="86"/>
      <c r="T815" s="86"/>
      <c r="U815" s="86"/>
      <c r="V815" s="86"/>
      <c r="W815" s="86"/>
      <c r="X815" s="86"/>
      <c r="Y815" s="86"/>
      <c r="Z815" s="86"/>
      <c r="AA815" s="86"/>
      <c r="AB815" s="86"/>
      <c r="AC815" s="86"/>
    </row>
    <row r="816" spans="1:29" ht="30" customHeight="1">
      <c r="A816" s="189">
        <v>27</v>
      </c>
      <c r="B816" s="188" t="s">
        <v>69</v>
      </c>
      <c r="C816" s="307" t="s">
        <v>85</v>
      </c>
      <c r="D816" s="308"/>
      <c r="E816" s="179"/>
      <c r="F816" s="191" t="s">
        <v>71</v>
      </c>
      <c r="G816" s="201">
        <v>3</v>
      </c>
      <c r="H816" s="201">
        <v>1</v>
      </c>
      <c r="I816" s="201">
        <v>8</v>
      </c>
      <c r="J816" s="201">
        <v>3</v>
      </c>
      <c r="K816" s="201">
        <v>1</v>
      </c>
      <c r="L816" s="201">
        <v>8</v>
      </c>
      <c r="M816" s="89"/>
      <c r="N816" s="219"/>
      <c r="O816" s="199"/>
      <c r="P816" s="200"/>
      <c r="Q816" s="309"/>
      <c r="R816" s="309"/>
      <c r="S816" s="86"/>
      <c r="T816" s="86"/>
      <c r="U816" s="86"/>
      <c r="V816" s="86"/>
      <c r="W816" s="86"/>
      <c r="X816" s="86"/>
      <c r="Y816" s="86"/>
      <c r="Z816" s="86"/>
      <c r="AA816" s="86"/>
      <c r="AB816" s="86"/>
      <c r="AC816" s="86"/>
    </row>
    <row r="817" spans="1:29" ht="30" customHeight="1">
      <c r="A817" s="189">
        <v>28</v>
      </c>
      <c r="B817" s="188" t="s">
        <v>69</v>
      </c>
      <c r="C817" s="307" t="s">
        <v>132</v>
      </c>
      <c r="D817" s="308"/>
      <c r="E817" s="179"/>
      <c r="F817" s="191" t="s">
        <v>71</v>
      </c>
      <c r="G817" s="202" t="s">
        <v>156</v>
      </c>
      <c r="H817" s="202" t="s">
        <v>156</v>
      </c>
      <c r="I817" s="202" t="s">
        <v>156</v>
      </c>
      <c r="J817" s="202" t="s">
        <v>156</v>
      </c>
      <c r="K817" s="202" t="s">
        <v>156</v>
      </c>
      <c r="L817" s="202" t="s">
        <v>156</v>
      </c>
      <c r="M817" s="89"/>
      <c r="N817" s="219"/>
      <c r="O817" s="199"/>
      <c r="P817" s="200"/>
      <c r="Q817" s="309"/>
      <c r="R817" s="309"/>
      <c r="S817" s="86"/>
      <c r="T817" s="86"/>
      <c r="U817" s="86"/>
      <c r="V817" s="86"/>
      <c r="W817" s="86"/>
      <c r="X817" s="86"/>
      <c r="Y817" s="86"/>
      <c r="Z817" s="86"/>
      <c r="AA817" s="86"/>
      <c r="AB817" s="86"/>
      <c r="AC817" s="86"/>
    </row>
    <row r="818" spans="1:29" ht="30" customHeight="1">
      <c r="A818" s="189">
        <v>29</v>
      </c>
      <c r="B818" s="188" t="s">
        <v>69</v>
      </c>
      <c r="C818" s="307" t="s">
        <v>86</v>
      </c>
      <c r="D818" s="308"/>
      <c r="E818" s="179"/>
      <c r="F818" s="191" t="s">
        <v>71</v>
      </c>
      <c r="G818" s="201">
        <v>10</v>
      </c>
      <c r="H818" s="201">
        <v>12</v>
      </c>
      <c r="I818" s="201">
        <v>9</v>
      </c>
      <c r="J818" s="201">
        <v>10</v>
      </c>
      <c r="K818" s="201">
        <v>12</v>
      </c>
      <c r="L818" s="201">
        <v>9</v>
      </c>
      <c r="M818" s="89"/>
      <c r="N818" s="219"/>
      <c r="O818" s="199"/>
      <c r="P818" s="200"/>
      <c r="Q818" s="309"/>
      <c r="R818" s="309"/>
      <c r="S818" s="86"/>
      <c r="T818" s="86"/>
      <c r="U818" s="86"/>
      <c r="V818" s="86"/>
      <c r="W818" s="86"/>
      <c r="X818" s="86"/>
      <c r="Y818" s="86"/>
      <c r="Z818" s="86"/>
      <c r="AA818" s="86"/>
      <c r="AB818" s="86"/>
      <c r="AC818" s="86"/>
    </row>
    <row r="819" spans="1:29" ht="30" customHeight="1">
      <c r="A819" s="189">
        <v>30</v>
      </c>
      <c r="B819" s="188" t="s">
        <v>69</v>
      </c>
      <c r="C819" s="307" t="s">
        <v>87</v>
      </c>
      <c r="D819" s="308"/>
      <c r="E819" s="179"/>
      <c r="F819" s="191" t="s">
        <v>71</v>
      </c>
      <c r="G819" s="202" t="s">
        <v>156</v>
      </c>
      <c r="H819" s="202" t="s">
        <v>156</v>
      </c>
      <c r="I819" s="202" t="s">
        <v>156</v>
      </c>
      <c r="J819" s="202" t="s">
        <v>156</v>
      </c>
      <c r="K819" s="202" t="s">
        <v>156</v>
      </c>
      <c r="L819" s="202" t="s">
        <v>156</v>
      </c>
      <c r="M819" s="89"/>
      <c r="N819" s="219"/>
      <c r="O819" s="199"/>
      <c r="P819" s="200"/>
      <c r="Q819" s="309"/>
      <c r="R819" s="309"/>
      <c r="S819" s="86"/>
      <c r="T819" s="86"/>
      <c r="U819" s="86"/>
      <c r="V819" s="86"/>
      <c r="W819" s="86"/>
      <c r="X819" s="86"/>
      <c r="Y819" s="86"/>
      <c r="Z819" s="86"/>
      <c r="AA819" s="86"/>
      <c r="AB819" s="86"/>
      <c r="AC819" s="86"/>
    </row>
    <row r="820" spans="1:29" ht="30" customHeight="1">
      <c r="A820" s="189">
        <v>31</v>
      </c>
      <c r="B820" s="188" t="s">
        <v>69</v>
      </c>
      <c r="C820" s="307" t="s">
        <v>105</v>
      </c>
      <c r="D820" s="308"/>
      <c r="E820" s="179"/>
      <c r="F820" s="191" t="s">
        <v>71</v>
      </c>
      <c r="G820" s="201">
        <v>2</v>
      </c>
      <c r="H820" s="203" t="s">
        <v>156</v>
      </c>
      <c r="I820" s="201">
        <v>8</v>
      </c>
      <c r="J820" s="201">
        <v>2</v>
      </c>
      <c r="K820" s="203" t="s">
        <v>156</v>
      </c>
      <c r="L820" s="201">
        <v>8</v>
      </c>
      <c r="M820" s="89"/>
      <c r="N820" s="219"/>
      <c r="O820" s="199"/>
      <c r="P820" s="200"/>
      <c r="Q820" s="309"/>
      <c r="R820" s="309"/>
      <c r="S820" s="86"/>
      <c r="T820" s="86"/>
      <c r="U820" s="86"/>
      <c r="V820" s="86"/>
      <c r="W820" s="86"/>
      <c r="X820" s="86"/>
      <c r="Y820" s="86"/>
      <c r="Z820" s="86"/>
      <c r="AA820" s="86"/>
      <c r="AB820" s="86"/>
      <c r="AC820" s="86"/>
    </row>
    <row r="821" spans="1:29" ht="30" customHeight="1">
      <c r="A821" s="189">
        <v>32</v>
      </c>
      <c r="B821" s="188" t="s">
        <v>69</v>
      </c>
      <c r="C821" s="307" t="s">
        <v>133</v>
      </c>
      <c r="D821" s="308"/>
      <c r="E821" s="179"/>
      <c r="F821" s="191" t="s">
        <v>71</v>
      </c>
      <c r="G821" s="202" t="s">
        <v>156</v>
      </c>
      <c r="H821" s="202" t="s">
        <v>156</v>
      </c>
      <c r="I821" s="202" t="s">
        <v>156</v>
      </c>
      <c r="J821" s="202" t="s">
        <v>156</v>
      </c>
      <c r="K821" s="202" t="s">
        <v>156</v>
      </c>
      <c r="L821" s="202" t="s">
        <v>156</v>
      </c>
      <c r="M821" s="89"/>
      <c r="N821" s="219"/>
      <c r="O821" s="199"/>
      <c r="P821" s="200"/>
      <c r="Q821" s="309"/>
      <c r="R821" s="309"/>
      <c r="S821" s="86"/>
      <c r="T821" s="86"/>
      <c r="U821" s="86"/>
      <c r="V821" s="86"/>
      <c r="W821" s="86"/>
      <c r="X821" s="86"/>
      <c r="Y821" s="86"/>
      <c r="Z821" s="86"/>
      <c r="AA821" s="86"/>
      <c r="AB821" s="86"/>
      <c r="AC821" s="86"/>
    </row>
    <row r="822" spans="1:29" ht="30" customHeight="1">
      <c r="A822" s="189">
        <v>33</v>
      </c>
      <c r="B822" s="188" t="s">
        <v>69</v>
      </c>
      <c r="C822" s="307" t="s">
        <v>88</v>
      </c>
      <c r="D822" s="308"/>
      <c r="E822" s="179"/>
      <c r="F822" s="191" t="s">
        <v>71</v>
      </c>
      <c r="G822" s="201">
        <v>3</v>
      </c>
      <c r="H822" s="201">
        <v>7</v>
      </c>
      <c r="I822" s="201">
        <v>7</v>
      </c>
      <c r="J822" s="201">
        <v>3</v>
      </c>
      <c r="K822" s="201">
        <v>7</v>
      </c>
      <c r="L822" s="201">
        <v>7</v>
      </c>
      <c r="M822" s="89"/>
      <c r="N822" s="219"/>
      <c r="O822" s="199"/>
      <c r="P822" s="200"/>
      <c r="Q822" s="309"/>
      <c r="R822" s="309"/>
      <c r="S822" s="86"/>
      <c r="T822" s="86"/>
      <c r="U822" s="86"/>
      <c r="V822" s="86"/>
      <c r="W822" s="86"/>
      <c r="X822" s="86"/>
      <c r="Y822" s="86"/>
      <c r="Z822" s="86"/>
      <c r="AA822" s="86"/>
      <c r="AB822" s="86"/>
      <c r="AC822" s="86"/>
    </row>
    <row r="823" spans="1:29" ht="30" customHeight="1">
      <c r="A823" s="189">
        <v>34</v>
      </c>
      <c r="B823" s="188" t="s">
        <v>69</v>
      </c>
      <c r="C823" s="307" t="s">
        <v>89</v>
      </c>
      <c r="D823" s="308"/>
      <c r="E823" s="179"/>
      <c r="F823" s="191" t="s">
        <v>71</v>
      </c>
      <c r="G823" s="202" t="s">
        <v>156</v>
      </c>
      <c r="H823" s="202" t="s">
        <v>156</v>
      </c>
      <c r="I823" s="202" t="s">
        <v>156</v>
      </c>
      <c r="J823" s="202" t="s">
        <v>156</v>
      </c>
      <c r="K823" s="202" t="s">
        <v>156</v>
      </c>
      <c r="L823" s="202" t="s">
        <v>156</v>
      </c>
      <c r="M823" s="89"/>
      <c r="N823" s="219"/>
      <c r="O823" s="199"/>
      <c r="P823" s="200"/>
      <c r="Q823" s="309"/>
      <c r="R823" s="309"/>
      <c r="S823" s="86"/>
      <c r="T823" s="86"/>
      <c r="U823" s="86"/>
      <c r="V823" s="86"/>
      <c r="W823" s="86"/>
      <c r="X823" s="86"/>
      <c r="Y823" s="86"/>
      <c r="Z823" s="86"/>
      <c r="AA823" s="86"/>
      <c r="AB823" s="86"/>
      <c r="AC823" s="86"/>
    </row>
    <row r="824" spans="1:29" ht="30" customHeight="1">
      <c r="A824" s="189">
        <v>35</v>
      </c>
      <c r="B824" s="188" t="s">
        <v>69</v>
      </c>
      <c r="C824" s="307" t="s">
        <v>140</v>
      </c>
      <c r="D824" s="308"/>
      <c r="E824" s="179"/>
      <c r="F824" s="191" t="s">
        <v>71</v>
      </c>
      <c r="G824" s="202" t="s">
        <v>156</v>
      </c>
      <c r="H824" s="202" t="s">
        <v>156</v>
      </c>
      <c r="I824" s="201">
        <v>3</v>
      </c>
      <c r="J824" s="202" t="s">
        <v>156</v>
      </c>
      <c r="K824" s="202" t="s">
        <v>156</v>
      </c>
      <c r="L824" s="201">
        <v>3</v>
      </c>
      <c r="M824" s="89"/>
      <c r="N824" s="220"/>
      <c r="O824" s="199"/>
      <c r="P824" s="200"/>
      <c r="Q824" s="309"/>
      <c r="R824" s="309"/>
      <c r="S824" s="86"/>
      <c r="T824" s="86"/>
      <c r="U824" s="86"/>
      <c r="V824" s="86"/>
      <c r="W824" s="86"/>
      <c r="X824" s="86"/>
      <c r="Y824" s="86"/>
      <c r="Z824" s="86"/>
      <c r="AA824" s="86"/>
      <c r="AB824" s="86"/>
      <c r="AC824" s="86"/>
    </row>
    <row r="825" spans="1:29" ht="30" customHeight="1">
      <c r="A825" s="189">
        <v>36</v>
      </c>
      <c r="B825" s="188" t="s">
        <v>69</v>
      </c>
      <c r="C825" s="307" t="s">
        <v>134</v>
      </c>
      <c r="D825" s="308"/>
      <c r="E825" s="179"/>
      <c r="F825" s="191" t="s">
        <v>71</v>
      </c>
      <c r="G825" s="202" t="s">
        <v>156</v>
      </c>
      <c r="H825" s="202" t="s">
        <v>156</v>
      </c>
      <c r="I825" s="202" t="s">
        <v>156</v>
      </c>
      <c r="J825" s="202" t="s">
        <v>156</v>
      </c>
      <c r="K825" s="202" t="s">
        <v>156</v>
      </c>
      <c r="L825" s="202" t="s">
        <v>156</v>
      </c>
      <c r="M825" s="89"/>
      <c r="N825" s="220"/>
      <c r="O825" s="199"/>
      <c r="P825" s="200"/>
      <c r="Q825" s="309"/>
      <c r="R825" s="309"/>
      <c r="S825" s="86"/>
      <c r="T825" s="86"/>
      <c r="U825" s="86"/>
      <c r="V825" s="86"/>
      <c r="W825" s="86"/>
      <c r="X825" s="86"/>
      <c r="Y825" s="86"/>
      <c r="Z825" s="86"/>
      <c r="AA825" s="86"/>
      <c r="AB825" s="86"/>
      <c r="AC825" s="86"/>
    </row>
    <row r="826" spans="1:29" ht="30" customHeight="1">
      <c r="A826" s="189">
        <v>37</v>
      </c>
      <c r="B826" s="188" t="s">
        <v>69</v>
      </c>
      <c r="C826" s="307" t="s">
        <v>90</v>
      </c>
      <c r="D826" s="308"/>
      <c r="E826" s="179"/>
      <c r="F826" s="191" t="s">
        <v>71</v>
      </c>
      <c r="G826" s="202" t="s">
        <v>156</v>
      </c>
      <c r="H826" s="202" t="s">
        <v>156</v>
      </c>
      <c r="I826" s="202" t="s">
        <v>156</v>
      </c>
      <c r="J826" s="202" t="s">
        <v>156</v>
      </c>
      <c r="K826" s="202" t="s">
        <v>156</v>
      </c>
      <c r="L826" s="202" t="s">
        <v>156</v>
      </c>
      <c r="M826" s="89"/>
      <c r="N826" s="220"/>
      <c r="O826" s="199"/>
      <c r="P826" s="200"/>
      <c r="Q826" s="309"/>
      <c r="R826" s="309"/>
      <c r="S826" s="86"/>
      <c r="T826" s="86"/>
      <c r="U826" s="86"/>
      <c r="V826" s="86"/>
      <c r="W826" s="86"/>
      <c r="X826" s="86"/>
      <c r="Y826" s="86"/>
      <c r="Z826" s="86"/>
      <c r="AA826" s="86"/>
      <c r="AB826" s="86"/>
      <c r="AC826" s="86"/>
    </row>
    <row r="827" spans="1:29" ht="30" customHeight="1">
      <c r="A827" s="189">
        <v>38</v>
      </c>
      <c r="B827" s="188" t="s">
        <v>69</v>
      </c>
      <c r="C827" s="307" t="s">
        <v>106</v>
      </c>
      <c r="D827" s="308"/>
      <c r="E827" s="150"/>
      <c r="F827" s="191" t="s">
        <v>71</v>
      </c>
      <c r="G827" s="202" t="s">
        <v>156</v>
      </c>
      <c r="H827" s="202" t="s">
        <v>156</v>
      </c>
      <c r="I827" s="202" t="s">
        <v>156</v>
      </c>
      <c r="J827" s="202" t="s">
        <v>156</v>
      </c>
      <c r="K827" s="202" t="s">
        <v>156</v>
      </c>
      <c r="L827" s="202" t="s">
        <v>156</v>
      </c>
      <c r="M827" s="89"/>
      <c r="N827" s="220"/>
      <c r="O827" s="199"/>
      <c r="P827" s="200"/>
      <c r="Q827" s="309"/>
      <c r="R827" s="309"/>
      <c r="S827" s="86"/>
      <c r="T827" s="86"/>
      <c r="U827" s="86"/>
      <c r="V827" s="86"/>
      <c r="W827" s="86"/>
      <c r="X827" s="86"/>
      <c r="Y827" s="86"/>
      <c r="Z827" s="86"/>
      <c r="AA827" s="86"/>
      <c r="AB827" s="86"/>
      <c r="AC827" s="86"/>
    </row>
    <row r="828" spans="1:29" ht="25.5" customHeight="1">
      <c r="A828" s="310" t="s">
        <v>92</v>
      </c>
      <c r="B828" s="310"/>
      <c r="C828" s="310"/>
      <c r="D828" s="310"/>
      <c r="E828" s="310"/>
      <c r="F828" s="310"/>
      <c r="G828" s="310"/>
      <c r="H828" s="310"/>
      <c r="I828" s="310"/>
      <c r="J828" s="310"/>
      <c r="K828" s="310"/>
      <c r="L828" s="310"/>
      <c r="M828" s="92"/>
    </row>
    <row r="829" spans="1:29" ht="19.5" customHeight="1">
      <c r="A829" s="139"/>
      <c r="B829" s="139"/>
      <c r="C829" s="140"/>
      <c r="D829" s="140" t="s">
        <v>145</v>
      </c>
      <c r="E829" s="140"/>
      <c r="F829" s="152" t="s">
        <v>54</v>
      </c>
      <c r="G829" s="152"/>
      <c r="H829" s="152"/>
      <c r="I829" s="152"/>
      <c r="J829" s="152" t="s">
        <v>144</v>
      </c>
      <c r="K829" s="152"/>
      <c r="L829" s="140"/>
      <c r="M829" s="94"/>
    </row>
    <row r="830" spans="1:29" ht="28.5" customHeight="1">
      <c r="A830" s="310" t="s">
        <v>93</v>
      </c>
      <c r="B830" s="310"/>
      <c r="C830" s="310"/>
      <c r="D830" s="310"/>
      <c r="E830" s="310"/>
      <c r="F830" s="310"/>
      <c r="G830" s="310"/>
      <c r="H830" s="310"/>
      <c r="I830" s="310"/>
      <c r="J830" s="310"/>
      <c r="K830" s="310"/>
      <c r="L830" s="310"/>
      <c r="M830" s="92"/>
      <c r="N830" s="311"/>
      <c r="O830" s="311"/>
      <c r="P830" s="311"/>
    </row>
    <row r="831" spans="1:29" ht="20.25" customHeight="1">
      <c r="A831" s="139"/>
      <c r="B831" s="139"/>
      <c r="C831" s="139"/>
      <c r="D831" s="140" t="s">
        <v>145</v>
      </c>
      <c r="E831" s="140"/>
      <c r="F831" s="152" t="s">
        <v>54</v>
      </c>
      <c r="G831" s="152"/>
      <c r="H831" s="152"/>
      <c r="I831" s="152"/>
      <c r="J831" s="152" t="s">
        <v>144</v>
      </c>
      <c r="K831" s="152"/>
      <c r="L831" s="139"/>
      <c r="M831" s="94"/>
      <c r="N831" s="221"/>
      <c r="O831" s="95"/>
      <c r="P831" s="95"/>
    </row>
    <row r="832" spans="1:29" ht="26.25" customHeight="1">
      <c r="A832" s="312" t="s">
        <v>94</v>
      </c>
      <c r="B832" s="312"/>
      <c r="C832" s="312"/>
      <c r="D832" s="312"/>
      <c r="E832" s="312"/>
      <c r="F832" s="312"/>
      <c r="G832" s="312"/>
      <c r="H832" s="312"/>
      <c r="I832" s="312"/>
      <c r="J832" s="312"/>
      <c r="K832" s="312"/>
      <c r="L832" s="312"/>
      <c r="M832" s="92"/>
    </row>
    <row r="833" spans="1:16" ht="22.5" customHeight="1">
      <c r="A833" s="120"/>
      <c r="B833" s="120"/>
      <c r="C833" s="120"/>
      <c r="D833" s="120"/>
      <c r="E833" s="120"/>
      <c r="F833" s="120"/>
      <c r="G833" s="120"/>
      <c r="H833" s="120"/>
      <c r="I833" s="120"/>
      <c r="J833" s="120"/>
      <c r="K833" s="120"/>
      <c r="L833" s="120"/>
      <c r="M833" s="94"/>
    </row>
    <row r="834" spans="1:16" ht="22.5" customHeight="1">
      <c r="A834" s="313" t="s">
        <v>95</v>
      </c>
      <c r="B834" s="313"/>
      <c r="C834" s="313"/>
      <c r="D834" s="313"/>
      <c r="E834" s="313"/>
      <c r="F834" s="313"/>
      <c r="G834" s="313"/>
      <c r="H834" s="313"/>
      <c r="I834" s="313"/>
      <c r="J834" s="313"/>
      <c r="K834" s="313"/>
      <c r="L834" s="313"/>
      <c r="M834" s="92"/>
    </row>
    <row r="835" spans="1:16" ht="19.5" customHeight="1">
      <c r="A835" s="97"/>
      <c r="B835" s="97"/>
      <c r="C835" s="145"/>
      <c r="D835" s="97"/>
      <c r="E835" s="97"/>
      <c r="F835" s="97"/>
      <c r="G835" s="97"/>
      <c r="H835" s="97"/>
      <c r="I835" s="97"/>
      <c r="J835" s="97"/>
      <c r="K835" s="97"/>
      <c r="L835" s="97"/>
      <c r="M835" s="94"/>
    </row>
    <row r="836" spans="1:16" ht="15.75">
      <c r="A836" s="94"/>
      <c r="B836" s="94"/>
      <c r="C836" s="146"/>
      <c r="D836" s="94"/>
      <c r="E836" s="94"/>
      <c r="F836" s="94"/>
      <c r="G836" s="94"/>
      <c r="H836" s="94"/>
      <c r="I836" s="94"/>
      <c r="J836" s="94"/>
      <c r="K836" s="94"/>
      <c r="L836" s="94"/>
      <c r="M836" s="94"/>
    </row>
    <row r="837" spans="1:16" ht="31.5" customHeight="1">
      <c r="A837" s="314" t="s">
        <v>96</v>
      </c>
      <c r="B837" s="314"/>
      <c r="C837" s="314"/>
      <c r="D837" s="314"/>
      <c r="E837" s="98"/>
      <c r="F837" s="98"/>
      <c r="G837" s="98"/>
      <c r="H837" s="315" t="s">
        <v>97</v>
      </c>
      <c r="I837" s="315"/>
      <c r="J837" s="315"/>
      <c r="K837" s="315"/>
      <c r="L837" s="315"/>
      <c r="M837" s="94"/>
    </row>
    <row r="838" spans="1:16" ht="95.1" customHeight="1">
      <c r="A838" s="99"/>
      <c r="B838" s="101" t="str">
        <f>B768</f>
        <v>Ông Huỳnh Phước Hải        ….............</v>
      </c>
      <c r="C838" s="147"/>
      <c r="D838" s="99"/>
      <c r="E838" s="81"/>
      <c r="F838" s="100"/>
      <c r="G838" s="100"/>
      <c r="H838" s="306" t="str">
        <f>H768</f>
        <v>Ông Phạm Tấn Việt          …..................</v>
      </c>
      <c r="I838" s="306"/>
      <c r="J838" s="306"/>
      <c r="K838" s="306"/>
      <c r="L838" s="306"/>
      <c r="M838" s="94"/>
    </row>
    <row r="839" spans="1:16" ht="16.5" customHeight="1">
      <c r="A839" s="99"/>
      <c r="B839" s="101"/>
      <c r="C839" s="147"/>
      <c r="D839" s="99"/>
      <c r="E839" s="81"/>
      <c r="F839" s="100"/>
      <c r="G839" s="100"/>
      <c r="H839" s="204"/>
      <c r="I839" s="204"/>
      <c r="J839" s="204"/>
      <c r="K839" s="204"/>
      <c r="L839" s="204"/>
      <c r="M839" s="94"/>
    </row>
    <row r="840" spans="1:16" ht="21.75" customHeight="1">
      <c r="A840" s="348" t="s">
        <v>165</v>
      </c>
      <c r="B840" s="348"/>
      <c r="C840" s="348"/>
      <c r="D840" s="348"/>
      <c r="E840" s="348"/>
      <c r="F840" s="348"/>
      <c r="G840" s="348"/>
      <c r="H840" s="348"/>
      <c r="I840" s="348"/>
      <c r="J840" s="348"/>
      <c r="K840" s="348"/>
      <c r="L840" s="348"/>
      <c r="M840" s="82"/>
    </row>
    <row r="841" spans="1:16" ht="19.5">
      <c r="A841" s="84" t="str">
        <f>"Ngày "&amp;N842&amp;" tháng "&amp;O3&amp;" năm "&amp;P3&amp;""</f>
        <v>Ngày 13 tháng 07 năm 2026</v>
      </c>
      <c r="B841" s="84"/>
      <c r="C841" s="85"/>
      <c r="N841" s="216"/>
      <c r="O841" s="20"/>
      <c r="P841" s="20"/>
    </row>
    <row r="842" spans="1:16" ht="16.5">
      <c r="A842" s="337" t="s">
        <v>57</v>
      </c>
      <c r="B842" s="337"/>
      <c r="C842" s="337"/>
      <c r="D842" s="311"/>
      <c r="E842" s="311"/>
      <c r="F842" s="311"/>
      <c r="G842" s="95"/>
      <c r="H842" s="95"/>
      <c r="I842" s="95"/>
      <c r="J842" s="95"/>
      <c r="K842" s="95"/>
      <c r="L842" s="95"/>
      <c r="N842" s="217" t="s">
        <v>175</v>
      </c>
      <c r="O842" s="214"/>
      <c r="P842" s="17"/>
    </row>
    <row r="843" spans="1:16" ht="15.75" customHeight="1">
      <c r="A843" s="338"/>
      <c r="B843" s="338"/>
      <c r="C843" s="338"/>
      <c r="D843" s="339" t="s">
        <v>58</v>
      </c>
      <c r="E843" s="340"/>
      <c r="F843" s="340"/>
      <c r="G843" s="340"/>
      <c r="H843" s="341"/>
      <c r="I843" s="339" t="s">
        <v>59</v>
      </c>
      <c r="J843" s="340"/>
      <c r="K843" s="340"/>
      <c r="L843" s="341"/>
    </row>
    <row r="844" spans="1:16" ht="19.5" customHeight="1">
      <c r="A844" s="342" t="s">
        <v>60</v>
      </c>
      <c r="B844" s="342"/>
      <c r="C844" s="342"/>
      <c r="D844" s="343" t="s">
        <v>54</v>
      </c>
      <c r="E844" s="344"/>
      <c r="F844" s="344"/>
      <c r="G844" s="344"/>
      <c r="H844" s="345"/>
      <c r="I844" s="343" t="s">
        <v>54</v>
      </c>
      <c r="J844" s="344"/>
      <c r="K844" s="344"/>
      <c r="L844" s="345"/>
    </row>
    <row r="845" spans="1:16" ht="22.5" customHeight="1">
      <c r="A845" s="342" t="s">
        <v>61</v>
      </c>
      <c r="B845" s="342"/>
      <c r="C845" s="342"/>
      <c r="D845" s="343" t="s">
        <v>163</v>
      </c>
      <c r="E845" s="344"/>
      <c r="F845" s="344"/>
      <c r="G845" s="344"/>
      <c r="H845" s="345"/>
      <c r="I845" s="343" t="str">
        <f>D845</f>
        <v>31° - 34°</v>
      </c>
      <c r="J845" s="344"/>
      <c r="K845" s="344"/>
      <c r="L845" s="345"/>
    </row>
    <row r="846" spans="1:16" s="87" customFormat="1" ht="19.5" customHeight="1">
      <c r="A846" s="310" t="s">
        <v>62</v>
      </c>
      <c r="B846" s="310"/>
      <c r="C846" s="310"/>
      <c r="D846" s="310"/>
      <c r="E846" s="310"/>
      <c r="F846" s="310"/>
      <c r="G846" s="310"/>
      <c r="H846" s="310"/>
      <c r="I846" s="310"/>
      <c r="J846" s="310"/>
      <c r="K846" s="310"/>
      <c r="L846" s="310"/>
      <c r="M846" s="85"/>
      <c r="N846" s="218"/>
    </row>
    <row r="847" spans="1:16" s="87" customFormat="1" ht="15.75">
      <c r="A847" s="332" t="s">
        <v>63</v>
      </c>
      <c r="B847" s="332"/>
      <c r="C847" s="332"/>
      <c r="D847" s="332"/>
      <c r="E847" s="332"/>
      <c r="F847" s="332"/>
      <c r="G847" s="332"/>
      <c r="H847" s="332"/>
      <c r="I847" s="332"/>
      <c r="J847" s="332"/>
      <c r="K847" s="332"/>
      <c r="L847" s="332"/>
      <c r="M847" s="85"/>
      <c r="N847" s="218"/>
    </row>
    <row r="848" spans="1:16" s="87" customFormat="1" ht="20.100000000000001" customHeight="1">
      <c r="A848" s="88"/>
      <c r="B848" s="88"/>
      <c r="C848" s="333" t="s">
        <v>64</v>
      </c>
      <c r="D848" s="334"/>
      <c r="E848" s="334"/>
      <c r="F848" s="334"/>
      <c r="G848" s="334"/>
      <c r="H848" s="334"/>
      <c r="I848" s="334"/>
      <c r="J848" s="334"/>
      <c r="K848" s="334"/>
      <c r="L848" s="334"/>
      <c r="M848" s="85"/>
      <c r="N848" s="218"/>
    </row>
    <row r="849" spans="1:29" s="87" customFormat="1" ht="20.100000000000001" customHeight="1">
      <c r="A849" s="88"/>
      <c r="B849" s="88"/>
      <c r="C849" s="333" t="s">
        <v>65</v>
      </c>
      <c r="D849" s="334"/>
      <c r="E849" s="334"/>
      <c r="F849" s="334"/>
      <c r="G849" s="334"/>
      <c r="H849" s="334"/>
      <c r="I849" s="334"/>
      <c r="J849" s="334"/>
      <c r="K849" s="334"/>
      <c r="L849" s="334"/>
      <c r="M849" s="85"/>
      <c r="N849" s="218"/>
    </row>
    <row r="850" spans="1:29" s="87" customFormat="1" ht="17.25" customHeight="1">
      <c r="A850" s="335" t="s">
        <v>66</v>
      </c>
      <c r="B850" s="335"/>
      <c r="C850" s="335"/>
      <c r="D850" s="335"/>
      <c r="E850" s="335"/>
      <c r="F850" s="335"/>
      <c r="G850" s="335"/>
      <c r="H850" s="335"/>
      <c r="I850" s="335"/>
      <c r="J850" s="335"/>
      <c r="K850" s="335"/>
      <c r="L850" s="335"/>
      <c r="M850" s="85"/>
      <c r="N850" s="218"/>
    </row>
    <row r="851" spans="1:29" s="87" customFormat="1" ht="7.5" customHeight="1">
      <c r="A851" s="119"/>
      <c r="B851" s="119"/>
      <c r="C851" s="119"/>
      <c r="D851" s="119"/>
      <c r="E851" s="119"/>
      <c r="F851" s="119"/>
      <c r="G851" s="119"/>
      <c r="H851" s="119"/>
      <c r="I851" s="119"/>
      <c r="J851" s="119"/>
      <c r="K851" s="119"/>
      <c r="L851" s="119"/>
      <c r="M851" s="85"/>
      <c r="N851" s="218"/>
    </row>
    <row r="852" spans="1:29" ht="15.75">
      <c r="A852" s="336" t="s">
        <v>67</v>
      </c>
      <c r="B852" s="336"/>
      <c r="C852" s="336"/>
      <c r="D852" s="336"/>
      <c r="E852" s="336"/>
      <c r="F852" s="336"/>
      <c r="G852" s="336"/>
      <c r="H852" s="336"/>
      <c r="I852" s="336"/>
      <c r="J852" s="336"/>
      <c r="K852" s="336"/>
      <c r="L852" s="336"/>
    </row>
    <row r="853" spans="1:29" ht="2.25" customHeight="1">
      <c r="A853" s="141"/>
      <c r="B853" s="141"/>
      <c r="C853" s="141"/>
      <c r="D853" s="141"/>
      <c r="E853" s="141"/>
      <c r="F853" s="141"/>
      <c r="G853" s="155"/>
      <c r="H853" s="155"/>
      <c r="I853" s="155"/>
      <c r="J853" s="155"/>
      <c r="K853" s="155"/>
      <c r="L853" s="155"/>
    </row>
    <row r="854" spans="1:29" ht="27.75" customHeight="1">
      <c r="A854" s="317" t="s">
        <v>135</v>
      </c>
      <c r="B854" s="318"/>
      <c r="C854" s="317" t="s">
        <v>68</v>
      </c>
      <c r="D854" s="318"/>
      <c r="E854" s="183"/>
      <c r="F854" s="321" t="s">
        <v>136</v>
      </c>
      <c r="G854" s="322" t="s">
        <v>155</v>
      </c>
      <c r="H854" s="323"/>
      <c r="I854" s="323"/>
      <c r="J854" s="322" t="s">
        <v>154</v>
      </c>
      <c r="K854" s="323"/>
      <c r="L854" s="324"/>
      <c r="M854" s="92"/>
      <c r="O854" s="325"/>
      <c r="P854" s="325"/>
      <c r="Q854" s="325"/>
      <c r="R854" s="325"/>
      <c r="S854" s="316"/>
      <c r="T854" s="316"/>
      <c r="U854" s="316"/>
      <c r="V854" s="316"/>
      <c r="W854" s="316"/>
      <c r="X854" s="316"/>
      <c r="Y854" s="316"/>
      <c r="Z854" s="316"/>
      <c r="AA854" s="316"/>
      <c r="AB854" s="316"/>
      <c r="AC854" s="316"/>
    </row>
    <row r="855" spans="1:29" ht="125.25" customHeight="1">
      <c r="A855" s="319"/>
      <c r="B855" s="320"/>
      <c r="C855" s="319"/>
      <c r="D855" s="320"/>
      <c r="E855" s="184"/>
      <c r="F855" s="321"/>
      <c r="G855" s="153" t="s">
        <v>151</v>
      </c>
      <c r="H855" s="153" t="s">
        <v>152</v>
      </c>
      <c r="I855" s="153" t="s">
        <v>153</v>
      </c>
      <c r="J855" s="153" t="s">
        <v>151</v>
      </c>
      <c r="K855" s="153" t="s">
        <v>152</v>
      </c>
      <c r="L855" s="153" t="s">
        <v>153</v>
      </c>
      <c r="O855" s="325"/>
      <c r="P855" s="325"/>
      <c r="Q855" s="325"/>
      <c r="R855" s="325"/>
      <c r="S855" s="193"/>
      <c r="T855" s="193"/>
      <c r="U855" s="193"/>
      <c r="V855" s="193"/>
      <c r="W855" s="193"/>
      <c r="X855" s="193"/>
      <c r="Y855" s="193"/>
      <c r="Z855" s="193"/>
      <c r="AA855" s="193"/>
      <c r="AB855" s="193"/>
      <c r="AC855" s="193"/>
    </row>
    <row r="856" spans="1:29" ht="24.75" customHeight="1">
      <c r="A856" s="190" t="s">
        <v>128</v>
      </c>
      <c r="B856" s="142"/>
      <c r="C856" s="330" t="s">
        <v>129</v>
      </c>
      <c r="D856" s="330"/>
      <c r="E856" s="330"/>
      <c r="F856" s="330"/>
      <c r="G856" s="330"/>
      <c r="H856" s="330"/>
      <c r="I856" s="330"/>
      <c r="J856" s="330"/>
      <c r="K856" s="330"/>
      <c r="L856" s="330"/>
      <c r="M856" s="93"/>
      <c r="O856" s="156"/>
      <c r="P856" s="142"/>
      <c r="Q856" s="331"/>
      <c r="R856" s="331"/>
      <c r="S856" s="331"/>
      <c r="T856" s="331"/>
      <c r="U856" s="331"/>
      <c r="V856" s="331"/>
      <c r="W856" s="331"/>
      <c r="X856" s="331"/>
      <c r="Y856" s="331"/>
      <c r="Z856" s="331"/>
      <c r="AA856" s="331"/>
      <c r="AB856" s="331"/>
      <c r="AC856" s="331"/>
    </row>
    <row r="857" spans="1:29" ht="20.100000000000001" customHeight="1">
      <c r="A857" s="187">
        <v>1</v>
      </c>
      <c r="B857" s="185" t="s">
        <v>69</v>
      </c>
      <c r="C857" s="326" t="s">
        <v>70</v>
      </c>
      <c r="D857" s="326"/>
      <c r="E857" s="176"/>
      <c r="F857" s="144" t="s">
        <v>71</v>
      </c>
      <c r="G857" s="203" t="s">
        <v>156</v>
      </c>
      <c r="H857" s="202" t="s">
        <v>156</v>
      </c>
      <c r="I857" s="201">
        <v>1</v>
      </c>
      <c r="J857" s="202" t="s">
        <v>156</v>
      </c>
      <c r="K857" s="202" t="s">
        <v>156</v>
      </c>
      <c r="L857" s="201">
        <v>1</v>
      </c>
      <c r="M857" s="93"/>
      <c r="O857" s="195"/>
      <c r="P857" s="196"/>
      <c r="Q857" s="327"/>
      <c r="R857" s="327"/>
      <c r="S857" s="86"/>
      <c r="T857" s="86"/>
      <c r="U857" s="86"/>
      <c r="V857" s="86"/>
      <c r="W857" s="194"/>
      <c r="X857" s="194"/>
      <c r="Y857" s="194"/>
      <c r="Z857" s="194"/>
      <c r="AA857" s="194"/>
      <c r="AB857" s="194"/>
      <c r="AC857" s="194"/>
    </row>
    <row r="858" spans="1:29" ht="20.100000000000001" customHeight="1">
      <c r="A858" s="187">
        <v>2</v>
      </c>
      <c r="B858" s="185" t="s">
        <v>69</v>
      </c>
      <c r="C858" s="326" t="s">
        <v>72</v>
      </c>
      <c r="D858" s="326"/>
      <c r="E858" s="176"/>
      <c r="F858" s="144" t="s">
        <v>71</v>
      </c>
      <c r="G858" s="203" t="s">
        <v>156</v>
      </c>
      <c r="H858" s="202" t="s">
        <v>156</v>
      </c>
      <c r="I858" s="202" t="s">
        <v>156</v>
      </c>
      <c r="J858" s="202" t="s">
        <v>156</v>
      </c>
      <c r="K858" s="202" t="s">
        <v>156</v>
      </c>
      <c r="L858" s="202" t="s">
        <v>156</v>
      </c>
      <c r="M858" s="93"/>
      <c r="O858" s="195"/>
      <c r="P858" s="196"/>
      <c r="Q858" s="327"/>
      <c r="R858" s="327"/>
      <c r="S858" s="194"/>
      <c r="T858" s="194"/>
      <c r="U858" s="194"/>
      <c r="V858" s="86"/>
      <c r="W858" s="86"/>
      <c r="X858" s="86"/>
      <c r="Y858" s="86"/>
      <c r="Z858" s="194"/>
      <c r="AA858" s="194"/>
      <c r="AB858" s="194"/>
      <c r="AC858" s="194"/>
    </row>
    <row r="859" spans="1:29" ht="20.100000000000001" customHeight="1">
      <c r="A859" s="187">
        <v>3</v>
      </c>
      <c r="B859" s="185" t="s">
        <v>69</v>
      </c>
      <c r="C859" s="326" t="s">
        <v>73</v>
      </c>
      <c r="D859" s="326"/>
      <c r="E859" s="176"/>
      <c r="F859" s="144" t="s">
        <v>71</v>
      </c>
      <c r="G859" s="203" t="s">
        <v>156</v>
      </c>
      <c r="H859" s="202" t="s">
        <v>156</v>
      </c>
      <c r="I859" s="202" t="s">
        <v>156</v>
      </c>
      <c r="J859" s="202" t="s">
        <v>156</v>
      </c>
      <c r="K859" s="202" t="s">
        <v>156</v>
      </c>
      <c r="L859" s="202" t="s">
        <v>156</v>
      </c>
      <c r="M859" s="93"/>
      <c r="O859" s="195"/>
      <c r="P859" s="196"/>
      <c r="Q859" s="327"/>
      <c r="R859" s="327"/>
      <c r="S859" s="194"/>
      <c r="T859" s="86"/>
      <c r="U859" s="86"/>
      <c r="V859" s="86"/>
      <c r="W859" s="86"/>
      <c r="X859" s="194"/>
      <c r="Y859" s="194"/>
      <c r="Z859" s="194"/>
      <c r="AA859" s="194"/>
      <c r="AB859" s="194"/>
      <c r="AC859" s="194"/>
    </row>
    <row r="860" spans="1:29" ht="20.100000000000001" customHeight="1">
      <c r="A860" s="187">
        <v>4</v>
      </c>
      <c r="B860" s="185" t="s">
        <v>69</v>
      </c>
      <c r="C860" s="326" t="s">
        <v>98</v>
      </c>
      <c r="D860" s="326"/>
      <c r="E860" s="176"/>
      <c r="F860" s="144" t="s">
        <v>71</v>
      </c>
      <c r="G860" s="203" t="s">
        <v>156</v>
      </c>
      <c r="H860" s="202" t="s">
        <v>156</v>
      </c>
      <c r="I860" s="202" t="s">
        <v>156</v>
      </c>
      <c r="J860" s="202" t="s">
        <v>156</v>
      </c>
      <c r="K860" s="202" t="s">
        <v>156</v>
      </c>
      <c r="L860" s="202" t="s">
        <v>156</v>
      </c>
      <c r="M860" s="93"/>
      <c r="O860" s="195"/>
      <c r="P860" s="196"/>
      <c r="Q860" s="327"/>
      <c r="R860" s="327"/>
      <c r="S860" s="194"/>
      <c r="T860" s="194"/>
      <c r="U860" s="194"/>
      <c r="V860" s="194"/>
      <c r="W860" s="194"/>
      <c r="X860" s="194"/>
      <c r="Y860" s="194"/>
      <c r="Z860" s="86"/>
      <c r="AA860" s="86"/>
      <c r="AB860" s="86"/>
      <c r="AC860" s="86"/>
    </row>
    <row r="861" spans="1:29" ht="20.100000000000001" customHeight="1">
      <c r="A861" s="187">
        <v>5</v>
      </c>
      <c r="B861" s="185" t="s">
        <v>69</v>
      </c>
      <c r="C861" s="326" t="s">
        <v>74</v>
      </c>
      <c r="D861" s="326"/>
      <c r="E861" s="176"/>
      <c r="F861" s="144" t="s">
        <v>71</v>
      </c>
      <c r="G861" s="203" t="s">
        <v>156</v>
      </c>
      <c r="H861" s="202" t="s">
        <v>156</v>
      </c>
      <c r="I861" s="202" t="s">
        <v>156</v>
      </c>
      <c r="J861" s="202" t="s">
        <v>156</v>
      </c>
      <c r="K861" s="202" t="s">
        <v>156</v>
      </c>
      <c r="L861" s="202" t="s">
        <v>156</v>
      </c>
      <c r="M861" s="93"/>
      <c r="O861" s="195"/>
      <c r="P861" s="196"/>
      <c r="Q861" s="327"/>
      <c r="R861" s="327"/>
      <c r="S861" s="194"/>
      <c r="T861" s="194"/>
      <c r="U861" s="194"/>
      <c r="V861" s="194"/>
      <c r="W861" s="194"/>
      <c r="X861" s="194"/>
      <c r="Y861" s="194"/>
      <c r="Z861" s="194"/>
      <c r="AA861" s="194"/>
      <c r="AB861" s="194"/>
      <c r="AC861" s="194"/>
    </row>
    <row r="862" spans="1:29" ht="20.100000000000001" customHeight="1">
      <c r="A862" s="187">
        <v>6</v>
      </c>
      <c r="B862" s="185" t="s">
        <v>69</v>
      </c>
      <c r="C862" s="326" t="s">
        <v>75</v>
      </c>
      <c r="D862" s="326"/>
      <c r="E862" s="176"/>
      <c r="F862" s="144" t="s">
        <v>71</v>
      </c>
      <c r="G862" s="203" t="s">
        <v>156</v>
      </c>
      <c r="H862" s="202" t="s">
        <v>156</v>
      </c>
      <c r="I862" s="202" t="s">
        <v>156</v>
      </c>
      <c r="J862" s="202" t="s">
        <v>156</v>
      </c>
      <c r="K862" s="202" t="s">
        <v>156</v>
      </c>
      <c r="L862" s="202" t="s">
        <v>156</v>
      </c>
      <c r="M862" s="93"/>
      <c r="O862" s="195"/>
      <c r="P862" s="196"/>
      <c r="Q862" s="327"/>
      <c r="R862" s="327"/>
      <c r="S862" s="194"/>
      <c r="T862" s="194"/>
      <c r="U862" s="194"/>
      <c r="V862" s="194"/>
      <c r="W862" s="194"/>
      <c r="X862" s="194"/>
      <c r="Y862" s="194"/>
      <c r="Z862" s="194"/>
      <c r="AA862" s="194"/>
      <c r="AB862" s="194"/>
      <c r="AC862" s="194"/>
    </row>
    <row r="863" spans="1:29" ht="20.100000000000001" customHeight="1">
      <c r="A863" s="187">
        <v>7</v>
      </c>
      <c r="B863" s="185" t="s">
        <v>69</v>
      </c>
      <c r="C863" s="326" t="s">
        <v>76</v>
      </c>
      <c r="D863" s="326"/>
      <c r="E863" s="176"/>
      <c r="F863" s="144" t="s">
        <v>71</v>
      </c>
      <c r="G863" s="203" t="s">
        <v>156</v>
      </c>
      <c r="H863" s="202" t="s">
        <v>156</v>
      </c>
      <c r="I863" s="202" t="s">
        <v>156</v>
      </c>
      <c r="J863" s="202" t="s">
        <v>156</v>
      </c>
      <c r="K863" s="202" t="s">
        <v>156</v>
      </c>
      <c r="L863" s="202" t="s">
        <v>156</v>
      </c>
      <c r="M863" s="93"/>
      <c r="O863" s="195"/>
      <c r="P863" s="196"/>
      <c r="Q863" s="327"/>
      <c r="R863" s="327"/>
      <c r="S863" s="194"/>
      <c r="T863" s="194"/>
      <c r="U863" s="194"/>
      <c r="V863" s="194"/>
      <c r="W863" s="194"/>
      <c r="X863" s="194"/>
      <c r="Y863" s="194"/>
      <c r="Z863" s="194"/>
      <c r="AA863" s="194"/>
      <c r="AB863" s="194"/>
      <c r="AC863" s="194"/>
    </row>
    <row r="864" spans="1:29" ht="20.100000000000001" customHeight="1">
      <c r="A864" s="187">
        <v>8</v>
      </c>
      <c r="B864" s="185" t="s">
        <v>69</v>
      </c>
      <c r="C864" s="326" t="s">
        <v>99</v>
      </c>
      <c r="D864" s="326"/>
      <c r="E864" s="176"/>
      <c r="F864" s="144" t="s">
        <v>71</v>
      </c>
      <c r="G864" s="203" t="s">
        <v>156</v>
      </c>
      <c r="H864" s="202" t="s">
        <v>156</v>
      </c>
      <c r="I864" s="202" t="s">
        <v>156</v>
      </c>
      <c r="J864" s="202" t="s">
        <v>156</v>
      </c>
      <c r="K864" s="202" t="s">
        <v>156</v>
      </c>
      <c r="L864" s="202" t="s">
        <v>156</v>
      </c>
      <c r="M864" s="93"/>
      <c r="O864" s="195"/>
      <c r="P864" s="196"/>
      <c r="Q864" s="327"/>
      <c r="R864" s="327"/>
      <c r="S864" s="194"/>
      <c r="T864" s="194"/>
      <c r="U864" s="194"/>
      <c r="V864" s="194"/>
      <c r="W864" s="194"/>
      <c r="X864" s="194"/>
      <c r="Y864" s="194"/>
      <c r="Z864" s="194"/>
      <c r="AA864" s="194"/>
      <c r="AB864" s="194"/>
      <c r="AC864" s="194"/>
    </row>
    <row r="865" spans="1:29" ht="20.100000000000001" customHeight="1">
      <c r="A865" s="187">
        <v>9</v>
      </c>
      <c r="B865" s="185" t="s">
        <v>69</v>
      </c>
      <c r="C865" s="326" t="s">
        <v>77</v>
      </c>
      <c r="D865" s="326"/>
      <c r="E865" s="176"/>
      <c r="F865" s="144" t="s">
        <v>71</v>
      </c>
      <c r="G865" s="203" t="s">
        <v>156</v>
      </c>
      <c r="H865" s="202" t="s">
        <v>156</v>
      </c>
      <c r="I865" s="202" t="s">
        <v>156</v>
      </c>
      <c r="J865" s="202" t="s">
        <v>156</v>
      </c>
      <c r="K865" s="202" t="s">
        <v>156</v>
      </c>
      <c r="L865" s="202" t="s">
        <v>156</v>
      </c>
      <c r="M865" s="93"/>
      <c r="O865" s="195"/>
      <c r="P865" s="196"/>
      <c r="Q865" s="327"/>
      <c r="R865" s="327"/>
      <c r="S865" s="194"/>
      <c r="T865" s="194"/>
      <c r="U865" s="194"/>
      <c r="V865" s="194"/>
      <c r="W865" s="194"/>
      <c r="X865" s="194"/>
      <c r="Y865" s="194"/>
      <c r="Z865" s="194"/>
      <c r="AA865" s="194"/>
      <c r="AB865" s="194"/>
      <c r="AC865" s="194"/>
    </row>
    <row r="866" spans="1:29" ht="20.100000000000001" customHeight="1">
      <c r="A866" s="187">
        <v>10</v>
      </c>
      <c r="B866" s="185" t="s">
        <v>69</v>
      </c>
      <c r="C866" s="326" t="s">
        <v>78</v>
      </c>
      <c r="D866" s="326"/>
      <c r="E866" s="176"/>
      <c r="F866" s="144" t="s">
        <v>71</v>
      </c>
      <c r="G866" s="203" t="s">
        <v>156</v>
      </c>
      <c r="H866" s="202" t="s">
        <v>156</v>
      </c>
      <c r="I866" s="202" t="s">
        <v>156</v>
      </c>
      <c r="J866" s="202" t="s">
        <v>156</v>
      </c>
      <c r="K866" s="202" t="s">
        <v>156</v>
      </c>
      <c r="L866" s="202" t="s">
        <v>156</v>
      </c>
      <c r="M866" s="93"/>
      <c r="O866" s="195"/>
      <c r="P866" s="196"/>
      <c r="Q866" s="327"/>
      <c r="R866" s="327"/>
      <c r="S866" s="194"/>
      <c r="T866" s="194"/>
      <c r="U866" s="194"/>
      <c r="V866" s="194"/>
      <c r="W866" s="194"/>
      <c r="X866" s="194"/>
      <c r="Y866" s="194"/>
      <c r="Z866" s="194"/>
      <c r="AA866" s="194"/>
      <c r="AB866" s="194"/>
      <c r="AC866" s="194"/>
    </row>
    <row r="867" spans="1:29" ht="20.100000000000001" customHeight="1">
      <c r="A867" s="187">
        <v>11</v>
      </c>
      <c r="B867" s="185" t="s">
        <v>69</v>
      </c>
      <c r="C867" s="326" t="s">
        <v>79</v>
      </c>
      <c r="D867" s="326"/>
      <c r="E867" s="176"/>
      <c r="F867" s="144" t="s">
        <v>71</v>
      </c>
      <c r="G867" s="203" t="s">
        <v>156</v>
      </c>
      <c r="H867" s="202" t="s">
        <v>156</v>
      </c>
      <c r="I867" s="202" t="s">
        <v>156</v>
      </c>
      <c r="J867" s="202" t="s">
        <v>156</v>
      </c>
      <c r="K867" s="202" t="s">
        <v>156</v>
      </c>
      <c r="L867" s="202" t="s">
        <v>156</v>
      </c>
      <c r="M867" s="93"/>
      <c r="O867" s="195"/>
      <c r="P867" s="196"/>
      <c r="Q867" s="327"/>
      <c r="R867" s="327"/>
      <c r="S867" s="194"/>
      <c r="T867" s="194"/>
      <c r="U867" s="194"/>
      <c r="V867" s="194"/>
      <c r="W867" s="194"/>
      <c r="X867" s="194"/>
      <c r="Y867" s="194"/>
      <c r="Z867" s="194"/>
      <c r="AA867" s="194"/>
      <c r="AB867" s="194"/>
      <c r="AC867" s="194"/>
    </row>
    <row r="868" spans="1:29" ht="20.100000000000001" customHeight="1">
      <c r="A868" s="187">
        <v>12</v>
      </c>
      <c r="B868" s="185" t="s">
        <v>69</v>
      </c>
      <c r="C868" s="326" t="s">
        <v>100</v>
      </c>
      <c r="D868" s="326"/>
      <c r="E868" s="176"/>
      <c r="F868" s="144" t="s">
        <v>71</v>
      </c>
      <c r="G868" s="203" t="s">
        <v>156</v>
      </c>
      <c r="H868" s="202" t="s">
        <v>156</v>
      </c>
      <c r="I868" s="202" t="s">
        <v>156</v>
      </c>
      <c r="J868" s="202" t="s">
        <v>156</v>
      </c>
      <c r="K868" s="202" t="s">
        <v>156</v>
      </c>
      <c r="L868" s="202" t="s">
        <v>156</v>
      </c>
      <c r="M868" s="93"/>
      <c r="O868" s="195"/>
      <c r="P868" s="196"/>
      <c r="Q868" s="327"/>
      <c r="R868" s="327"/>
      <c r="S868" s="194"/>
      <c r="T868" s="194"/>
      <c r="U868" s="194"/>
      <c r="V868" s="194"/>
      <c r="W868" s="194"/>
      <c r="X868" s="194"/>
      <c r="Y868" s="194"/>
      <c r="Z868" s="194"/>
      <c r="AA868" s="194"/>
      <c r="AB868" s="194"/>
      <c r="AC868" s="194"/>
    </row>
    <row r="869" spans="1:29" ht="20.100000000000001" customHeight="1">
      <c r="A869" s="187">
        <v>13</v>
      </c>
      <c r="B869" s="185" t="s">
        <v>69</v>
      </c>
      <c r="C869" s="326" t="s">
        <v>80</v>
      </c>
      <c r="D869" s="326"/>
      <c r="E869" s="176"/>
      <c r="F869" s="144" t="s">
        <v>71</v>
      </c>
      <c r="G869" s="203" t="s">
        <v>156</v>
      </c>
      <c r="H869" s="202" t="s">
        <v>156</v>
      </c>
      <c r="I869" s="202" t="s">
        <v>156</v>
      </c>
      <c r="J869" s="202" t="s">
        <v>156</v>
      </c>
      <c r="K869" s="202" t="s">
        <v>156</v>
      </c>
      <c r="L869" s="202" t="s">
        <v>156</v>
      </c>
      <c r="M869" s="93"/>
      <c r="O869" s="195"/>
      <c r="P869" s="196"/>
      <c r="Q869" s="327"/>
      <c r="R869" s="327"/>
      <c r="S869" s="194"/>
      <c r="T869" s="194"/>
      <c r="U869" s="194"/>
      <c r="V869" s="194"/>
      <c r="W869" s="194"/>
      <c r="X869" s="194"/>
      <c r="Y869" s="194"/>
      <c r="Z869" s="194"/>
      <c r="AA869" s="194"/>
      <c r="AB869" s="194"/>
      <c r="AC869" s="194"/>
    </row>
    <row r="870" spans="1:29" ht="20.100000000000001" customHeight="1">
      <c r="A870" s="187">
        <v>14</v>
      </c>
      <c r="B870" s="185" t="s">
        <v>69</v>
      </c>
      <c r="C870" s="326" t="s">
        <v>91</v>
      </c>
      <c r="D870" s="326"/>
      <c r="E870" s="176"/>
      <c r="F870" s="144" t="s">
        <v>71</v>
      </c>
      <c r="G870" s="203" t="s">
        <v>156</v>
      </c>
      <c r="H870" s="202" t="s">
        <v>156</v>
      </c>
      <c r="I870" s="202" t="s">
        <v>156</v>
      </c>
      <c r="J870" s="202" t="s">
        <v>156</v>
      </c>
      <c r="K870" s="202" t="s">
        <v>156</v>
      </c>
      <c r="L870" s="202" t="s">
        <v>156</v>
      </c>
      <c r="M870" s="93"/>
      <c r="O870" s="195"/>
      <c r="P870" s="196"/>
      <c r="Q870" s="327"/>
      <c r="R870" s="327"/>
      <c r="S870" s="194"/>
      <c r="T870" s="194"/>
      <c r="U870" s="194"/>
      <c r="V870" s="194"/>
      <c r="W870" s="194"/>
      <c r="X870" s="194"/>
      <c r="Y870" s="194"/>
      <c r="Z870" s="194"/>
      <c r="AA870" s="194"/>
      <c r="AB870" s="194"/>
      <c r="AC870" s="194"/>
    </row>
    <row r="871" spans="1:29" ht="20.100000000000001" customHeight="1">
      <c r="A871" s="187">
        <v>15</v>
      </c>
      <c r="B871" s="185" t="s">
        <v>69</v>
      </c>
      <c r="C871" s="326" t="s">
        <v>81</v>
      </c>
      <c r="D871" s="326"/>
      <c r="E871" s="176"/>
      <c r="F871" s="144" t="s">
        <v>71</v>
      </c>
      <c r="G871" s="203" t="s">
        <v>156</v>
      </c>
      <c r="H871" s="202" t="s">
        <v>156</v>
      </c>
      <c r="I871" s="202" t="s">
        <v>156</v>
      </c>
      <c r="J871" s="202" t="s">
        <v>156</v>
      </c>
      <c r="K871" s="202" t="s">
        <v>156</v>
      </c>
      <c r="L871" s="202" t="s">
        <v>156</v>
      </c>
      <c r="M871" s="93"/>
      <c r="O871" s="195"/>
      <c r="P871" s="196"/>
      <c r="Q871" s="327"/>
      <c r="R871" s="327"/>
      <c r="S871" s="194"/>
      <c r="T871" s="194"/>
      <c r="U871" s="194"/>
      <c r="V871" s="194"/>
      <c r="W871" s="194"/>
      <c r="X871" s="194"/>
      <c r="Y871" s="194"/>
      <c r="Z871" s="194"/>
      <c r="AA871" s="194"/>
      <c r="AB871" s="194"/>
      <c r="AC871" s="194"/>
    </row>
    <row r="872" spans="1:29" ht="20.100000000000001" customHeight="1">
      <c r="A872" s="187">
        <v>16</v>
      </c>
      <c r="B872" s="185" t="s">
        <v>69</v>
      </c>
      <c r="C872" s="326" t="s">
        <v>101</v>
      </c>
      <c r="D872" s="326"/>
      <c r="E872" s="151"/>
      <c r="F872" s="144" t="s">
        <v>71</v>
      </c>
      <c r="G872" s="203" t="s">
        <v>156</v>
      </c>
      <c r="H872" s="202" t="s">
        <v>156</v>
      </c>
      <c r="I872" s="202" t="s">
        <v>156</v>
      </c>
      <c r="J872" s="202" t="s">
        <v>156</v>
      </c>
      <c r="K872" s="202" t="s">
        <v>156</v>
      </c>
      <c r="L872" s="202" t="s">
        <v>156</v>
      </c>
      <c r="M872" s="93"/>
      <c r="N872" s="219"/>
      <c r="O872" s="195"/>
      <c r="P872" s="196"/>
      <c r="Q872" s="327"/>
      <c r="R872" s="327"/>
      <c r="S872" s="197"/>
      <c r="T872" s="197"/>
      <c r="U872" s="197"/>
      <c r="V872" s="197"/>
      <c r="W872" s="197"/>
      <c r="X872" s="197"/>
      <c r="Y872" s="197"/>
      <c r="Z872" s="197"/>
      <c r="AA872" s="197"/>
      <c r="AB872" s="197"/>
      <c r="AC872" s="197"/>
    </row>
    <row r="873" spans="1:29" ht="20.100000000000001" customHeight="1">
      <c r="A873" s="187">
        <v>17</v>
      </c>
      <c r="B873" s="186" t="s">
        <v>69</v>
      </c>
      <c r="C873" s="326" t="s">
        <v>141</v>
      </c>
      <c r="D873" s="326"/>
      <c r="E873" s="151"/>
      <c r="F873" s="144" t="s">
        <v>71</v>
      </c>
      <c r="G873" s="203" t="s">
        <v>156</v>
      </c>
      <c r="H873" s="202" t="s">
        <v>156</v>
      </c>
      <c r="I873" s="202" t="s">
        <v>156</v>
      </c>
      <c r="J873" s="202" t="s">
        <v>156</v>
      </c>
      <c r="K873" s="202" t="s">
        <v>156</v>
      </c>
      <c r="L873" s="202" t="s">
        <v>156</v>
      </c>
      <c r="M873" s="93"/>
      <c r="N873" s="219"/>
      <c r="O873" s="195"/>
      <c r="P873" s="104"/>
      <c r="Q873" s="327"/>
      <c r="R873" s="327"/>
      <c r="S873" s="197"/>
      <c r="T873" s="197"/>
      <c r="U873" s="197"/>
      <c r="V873" s="197"/>
      <c r="W873" s="197"/>
      <c r="X873" s="197"/>
      <c r="Y873" s="197"/>
      <c r="Z873" s="197"/>
      <c r="AA873" s="197"/>
      <c r="AB873" s="197"/>
      <c r="AC873" s="197"/>
    </row>
    <row r="874" spans="1:29" ht="20.100000000000001" customHeight="1">
      <c r="A874" s="187">
        <v>18</v>
      </c>
      <c r="B874" s="186" t="s">
        <v>69</v>
      </c>
      <c r="C874" s="326" t="s">
        <v>142</v>
      </c>
      <c r="D874" s="326"/>
      <c r="E874" s="151"/>
      <c r="F874" s="144" t="s">
        <v>71</v>
      </c>
      <c r="G874" s="203" t="s">
        <v>156</v>
      </c>
      <c r="H874" s="202" t="s">
        <v>156</v>
      </c>
      <c r="I874" s="202" t="s">
        <v>156</v>
      </c>
      <c r="J874" s="202" t="s">
        <v>156</v>
      </c>
      <c r="K874" s="202" t="s">
        <v>156</v>
      </c>
      <c r="L874" s="202" t="s">
        <v>156</v>
      </c>
      <c r="M874" s="93"/>
      <c r="N874" s="219"/>
      <c r="O874" s="195"/>
      <c r="P874" s="104"/>
      <c r="Q874" s="327"/>
      <c r="R874" s="327"/>
      <c r="S874" s="197"/>
      <c r="T874" s="197"/>
      <c r="U874" s="197"/>
      <c r="V874" s="197"/>
      <c r="W874" s="197"/>
      <c r="X874" s="197"/>
      <c r="Y874" s="197"/>
      <c r="Z874" s="197"/>
      <c r="AA874" s="197"/>
      <c r="AB874" s="197"/>
      <c r="AC874" s="197"/>
    </row>
    <row r="875" spans="1:29" ht="20.100000000000001" customHeight="1">
      <c r="A875" s="187">
        <v>19</v>
      </c>
      <c r="B875" s="186" t="s">
        <v>69</v>
      </c>
      <c r="C875" s="326" t="s">
        <v>143</v>
      </c>
      <c r="D875" s="326"/>
      <c r="E875" s="151"/>
      <c r="F875" s="144" t="s">
        <v>71</v>
      </c>
      <c r="G875" s="203" t="s">
        <v>156</v>
      </c>
      <c r="H875" s="202" t="s">
        <v>156</v>
      </c>
      <c r="I875" s="202" t="s">
        <v>156</v>
      </c>
      <c r="J875" s="202" t="s">
        <v>156</v>
      </c>
      <c r="K875" s="202" t="s">
        <v>156</v>
      </c>
      <c r="L875" s="202" t="s">
        <v>156</v>
      </c>
      <c r="M875" s="93"/>
      <c r="N875" s="219"/>
      <c r="O875" s="195"/>
      <c r="P875" s="104"/>
      <c r="Q875" s="327"/>
      <c r="R875" s="327"/>
      <c r="S875" s="197"/>
      <c r="T875" s="197"/>
      <c r="U875" s="197"/>
      <c r="V875" s="197"/>
      <c r="W875" s="197"/>
      <c r="X875" s="197"/>
      <c r="Y875" s="197"/>
      <c r="Z875" s="197"/>
      <c r="AA875" s="197"/>
      <c r="AB875" s="197"/>
      <c r="AC875" s="197"/>
    </row>
    <row r="876" spans="1:29" ht="20.100000000000001" customHeight="1">
      <c r="A876" s="187">
        <v>20</v>
      </c>
      <c r="B876" s="186" t="s">
        <v>69</v>
      </c>
      <c r="C876" s="326" t="s">
        <v>102</v>
      </c>
      <c r="D876" s="326"/>
      <c r="E876" s="150"/>
      <c r="F876" s="154" t="s">
        <v>71</v>
      </c>
      <c r="G876" s="203" t="s">
        <v>156</v>
      </c>
      <c r="H876" s="202" t="s">
        <v>156</v>
      </c>
      <c r="I876" s="202" t="s">
        <v>156</v>
      </c>
      <c r="J876" s="202" t="s">
        <v>156</v>
      </c>
      <c r="K876" s="202" t="s">
        <v>156</v>
      </c>
      <c r="L876" s="202" t="s">
        <v>156</v>
      </c>
      <c r="M876" s="93"/>
      <c r="N876" s="219"/>
      <c r="O876" s="195"/>
      <c r="P876" s="104"/>
      <c r="Q876" s="327"/>
      <c r="R876" s="327"/>
      <c r="S876" s="197"/>
      <c r="T876" s="197"/>
      <c r="U876" s="197"/>
      <c r="V876" s="197"/>
      <c r="W876" s="197"/>
      <c r="X876" s="197"/>
      <c r="Y876" s="197"/>
      <c r="Z876" s="197"/>
      <c r="AA876" s="197"/>
      <c r="AB876" s="197"/>
      <c r="AC876" s="197"/>
    </row>
    <row r="877" spans="1:29" ht="24.75" customHeight="1">
      <c r="A877" s="190" t="s">
        <v>128</v>
      </c>
      <c r="B877" s="142"/>
      <c r="C877" s="330" t="s">
        <v>130</v>
      </c>
      <c r="D877" s="330"/>
      <c r="E877" s="330"/>
      <c r="F877" s="330"/>
      <c r="G877" s="330"/>
      <c r="H877" s="330"/>
      <c r="I877" s="330"/>
      <c r="J877" s="330"/>
      <c r="K877" s="330"/>
      <c r="L877" s="330"/>
      <c r="M877" s="93"/>
      <c r="O877" s="156"/>
      <c r="P877" s="142"/>
      <c r="Q877" s="331"/>
      <c r="R877" s="331"/>
      <c r="S877" s="331"/>
      <c r="T877" s="331"/>
      <c r="U877" s="331"/>
      <c r="V877" s="331"/>
      <c r="W877" s="331"/>
      <c r="X877" s="331"/>
      <c r="Y877" s="331"/>
      <c r="Z877" s="331"/>
      <c r="AA877" s="331"/>
      <c r="AB877" s="331"/>
      <c r="AC877" s="331"/>
    </row>
    <row r="878" spans="1:29" ht="33" customHeight="1">
      <c r="A878" s="189">
        <v>21</v>
      </c>
      <c r="B878" s="188" t="s">
        <v>69</v>
      </c>
      <c r="C878" s="307" t="s">
        <v>82</v>
      </c>
      <c r="D878" s="308"/>
      <c r="E878" s="182"/>
      <c r="F878" s="191" t="s">
        <v>71</v>
      </c>
      <c r="G878" s="201">
        <v>58</v>
      </c>
      <c r="H878" s="201">
        <v>40</v>
      </c>
      <c r="I878" s="201">
        <v>21</v>
      </c>
      <c r="J878" s="201">
        <v>58</v>
      </c>
      <c r="K878" s="201">
        <v>40</v>
      </c>
      <c r="L878" s="201">
        <v>21</v>
      </c>
      <c r="M878" s="89"/>
      <c r="N878" s="219"/>
      <c r="O878" s="199"/>
      <c r="P878" s="200"/>
      <c r="Q878" s="309"/>
      <c r="R878" s="309"/>
      <c r="S878" s="86"/>
      <c r="T878" s="86"/>
      <c r="U878" s="86"/>
      <c r="V878" s="86"/>
      <c r="W878" s="86"/>
      <c r="X878" s="86"/>
      <c r="Y878" s="86"/>
      <c r="Z878" s="86"/>
      <c r="AA878" s="86"/>
      <c r="AB878" s="86"/>
      <c r="AC878" s="86"/>
    </row>
    <row r="879" spans="1:29" ht="33" customHeight="1">
      <c r="A879" s="189">
        <v>22</v>
      </c>
      <c r="B879" s="188" t="s">
        <v>69</v>
      </c>
      <c r="C879" s="307" t="s">
        <v>103</v>
      </c>
      <c r="D879" s="308"/>
      <c r="E879" s="179"/>
      <c r="F879" s="191" t="s">
        <v>71</v>
      </c>
      <c r="G879" s="201">
        <v>9</v>
      </c>
      <c r="H879" s="201">
        <v>9</v>
      </c>
      <c r="I879" s="201">
        <v>7</v>
      </c>
      <c r="J879" s="201">
        <v>9</v>
      </c>
      <c r="K879" s="201">
        <v>9</v>
      </c>
      <c r="L879" s="201">
        <v>7</v>
      </c>
      <c r="M879" s="89"/>
      <c r="N879" s="219"/>
      <c r="O879" s="199"/>
      <c r="P879" s="200"/>
      <c r="Q879" s="309"/>
      <c r="R879" s="309"/>
      <c r="S879" s="86"/>
      <c r="T879" s="86"/>
      <c r="U879" s="86"/>
      <c r="V879" s="86"/>
      <c r="W879" s="86"/>
      <c r="X879" s="86"/>
      <c r="Y879" s="86"/>
      <c r="Z879" s="86"/>
      <c r="AA879" s="86"/>
      <c r="AB879" s="86"/>
      <c r="AC879" s="86"/>
    </row>
    <row r="880" spans="1:29" ht="33" customHeight="1">
      <c r="A880" s="189">
        <v>23</v>
      </c>
      <c r="B880" s="188" t="s">
        <v>69</v>
      </c>
      <c r="C880" s="307" t="s">
        <v>104</v>
      </c>
      <c r="D880" s="308"/>
      <c r="E880" s="179"/>
      <c r="F880" s="191" t="s">
        <v>71</v>
      </c>
      <c r="G880" s="201">
        <v>5</v>
      </c>
      <c r="H880" s="201">
        <v>1</v>
      </c>
      <c r="I880" s="201">
        <v>1</v>
      </c>
      <c r="J880" s="201">
        <v>5</v>
      </c>
      <c r="K880" s="201">
        <v>1</v>
      </c>
      <c r="L880" s="201">
        <v>1</v>
      </c>
      <c r="M880" s="89"/>
      <c r="N880" s="219"/>
      <c r="O880" s="199"/>
      <c r="P880" s="200"/>
      <c r="Q880" s="309"/>
      <c r="R880" s="309"/>
      <c r="S880" s="86"/>
      <c r="T880" s="86"/>
      <c r="U880" s="86"/>
      <c r="V880" s="86"/>
      <c r="W880" s="86"/>
      <c r="X880" s="86"/>
      <c r="Y880" s="86"/>
      <c r="Z880" s="86"/>
      <c r="AA880" s="86"/>
      <c r="AB880" s="86"/>
      <c r="AC880" s="86"/>
    </row>
    <row r="881" spans="1:29" ht="27.75" customHeight="1">
      <c r="A881" s="317" t="s">
        <v>135</v>
      </c>
      <c r="B881" s="318"/>
      <c r="C881" s="317" t="s">
        <v>68</v>
      </c>
      <c r="D881" s="318"/>
      <c r="E881" s="183"/>
      <c r="F881" s="321" t="s">
        <v>136</v>
      </c>
      <c r="G881" s="322" t="s">
        <v>155</v>
      </c>
      <c r="H881" s="323"/>
      <c r="I881" s="323"/>
      <c r="J881" s="322" t="s">
        <v>154</v>
      </c>
      <c r="K881" s="323"/>
      <c r="L881" s="324"/>
      <c r="M881" s="92"/>
      <c r="O881" s="325"/>
      <c r="P881" s="325"/>
      <c r="Q881" s="325"/>
      <c r="R881" s="325"/>
      <c r="S881" s="316"/>
      <c r="T881" s="316"/>
      <c r="U881" s="316"/>
      <c r="V881" s="316"/>
      <c r="W881" s="316"/>
      <c r="X881" s="316"/>
      <c r="Y881" s="316"/>
      <c r="Z881" s="316"/>
      <c r="AA881" s="316"/>
      <c r="AB881" s="316"/>
      <c r="AC881" s="316"/>
    </row>
    <row r="882" spans="1:29" ht="125.25" customHeight="1">
      <c r="A882" s="319"/>
      <c r="B882" s="320"/>
      <c r="C882" s="319"/>
      <c r="D882" s="320"/>
      <c r="E882" s="184"/>
      <c r="F882" s="321"/>
      <c r="G882" s="153" t="s">
        <v>151</v>
      </c>
      <c r="H882" s="153" t="s">
        <v>152</v>
      </c>
      <c r="I882" s="153" t="s">
        <v>153</v>
      </c>
      <c r="J882" s="153" t="s">
        <v>151</v>
      </c>
      <c r="K882" s="153" t="s">
        <v>152</v>
      </c>
      <c r="L882" s="153" t="s">
        <v>153</v>
      </c>
      <c r="O882" s="325"/>
      <c r="P882" s="325"/>
      <c r="Q882" s="325"/>
      <c r="R882" s="325"/>
      <c r="S882" s="193"/>
      <c r="T882" s="193"/>
      <c r="U882" s="193"/>
      <c r="V882" s="193"/>
      <c r="W882" s="193"/>
      <c r="X882" s="193"/>
      <c r="Y882" s="193"/>
      <c r="Z882" s="193"/>
      <c r="AA882" s="193"/>
      <c r="AB882" s="193"/>
      <c r="AC882" s="193"/>
    </row>
    <row r="883" spans="1:29" ht="30" customHeight="1">
      <c r="A883" s="189">
        <v>24</v>
      </c>
      <c r="B883" s="188" t="s">
        <v>69</v>
      </c>
      <c r="C883" s="307" t="s">
        <v>131</v>
      </c>
      <c r="D883" s="308"/>
      <c r="E883" s="179"/>
      <c r="F883" s="191" t="s">
        <v>71</v>
      </c>
      <c r="G883" s="202" t="s">
        <v>156</v>
      </c>
      <c r="H883" s="202" t="s">
        <v>156</v>
      </c>
      <c r="I883" s="202" t="s">
        <v>156</v>
      </c>
      <c r="J883" s="202" t="s">
        <v>156</v>
      </c>
      <c r="K883" s="202" t="s">
        <v>156</v>
      </c>
      <c r="L883" s="202" t="s">
        <v>156</v>
      </c>
      <c r="M883" s="89"/>
      <c r="N883" s="219"/>
      <c r="O883" s="199"/>
      <c r="P883" s="200"/>
      <c r="Q883" s="309"/>
      <c r="R883" s="309"/>
      <c r="S883" s="86"/>
      <c r="T883" s="86"/>
      <c r="U883" s="86"/>
      <c r="V883" s="86"/>
      <c r="W883" s="86"/>
      <c r="X883" s="86"/>
      <c r="Y883" s="86"/>
      <c r="Z883" s="86"/>
      <c r="AA883" s="86"/>
      <c r="AB883" s="86"/>
      <c r="AC883" s="86"/>
    </row>
    <row r="884" spans="1:29" ht="30" customHeight="1">
      <c r="A884" s="189">
        <v>25</v>
      </c>
      <c r="B884" s="188" t="s">
        <v>69</v>
      </c>
      <c r="C884" s="307" t="s">
        <v>83</v>
      </c>
      <c r="D884" s="308"/>
      <c r="E884" s="179"/>
      <c r="F884" s="191" t="s">
        <v>71</v>
      </c>
      <c r="G884" s="201">
        <v>25</v>
      </c>
      <c r="H884" s="201">
        <v>40</v>
      </c>
      <c r="I884" s="201">
        <v>22</v>
      </c>
      <c r="J884" s="201">
        <v>25</v>
      </c>
      <c r="K884" s="201">
        <v>40</v>
      </c>
      <c r="L884" s="201">
        <v>22</v>
      </c>
      <c r="M884" s="89"/>
      <c r="N884" s="219"/>
      <c r="O884" s="199"/>
      <c r="P884" s="200"/>
      <c r="Q884" s="309"/>
      <c r="R884" s="309"/>
      <c r="S884" s="86"/>
      <c r="T884" s="86"/>
      <c r="U884" s="86"/>
      <c r="V884" s="86"/>
      <c r="W884" s="86"/>
      <c r="X884" s="86"/>
      <c r="Y884" s="86"/>
      <c r="Z884" s="86"/>
      <c r="AA884" s="86"/>
      <c r="AB884" s="86"/>
      <c r="AC884" s="86"/>
    </row>
    <row r="885" spans="1:29" ht="30" customHeight="1">
      <c r="A885" s="189">
        <v>26</v>
      </c>
      <c r="B885" s="188" t="s">
        <v>69</v>
      </c>
      <c r="C885" s="307" t="s">
        <v>84</v>
      </c>
      <c r="D885" s="308"/>
      <c r="E885" s="179"/>
      <c r="F885" s="191" t="s">
        <v>71</v>
      </c>
      <c r="G885" s="201">
        <v>5</v>
      </c>
      <c r="H885" s="202" t="s">
        <v>156</v>
      </c>
      <c r="I885" s="202" t="s">
        <v>156</v>
      </c>
      <c r="J885" s="201">
        <v>5</v>
      </c>
      <c r="K885" s="202" t="s">
        <v>156</v>
      </c>
      <c r="L885" s="202" t="s">
        <v>156</v>
      </c>
      <c r="M885" s="89"/>
      <c r="N885" s="219"/>
      <c r="O885" s="199"/>
      <c r="P885" s="200"/>
      <c r="Q885" s="309"/>
      <c r="R885" s="309"/>
      <c r="S885" s="86"/>
      <c r="T885" s="86"/>
      <c r="U885" s="86"/>
      <c r="V885" s="86"/>
      <c r="W885" s="86"/>
      <c r="X885" s="86"/>
      <c r="Y885" s="86"/>
      <c r="Z885" s="86"/>
      <c r="AA885" s="86"/>
      <c r="AB885" s="86"/>
      <c r="AC885" s="86"/>
    </row>
    <row r="886" spans="1:29" ht="30" customHeight="1">
      <c r="A886" s="189">
        <v>27</v>
      </c>
      <c r="B886" s="188" t="s">
        <v>69</v>
      </c>
      <c r="C886" s="307" t="s">
        <v>85</v>
      </c>
      <c r="D886" s="308"/>
      <c r="E886" s="179"/>
      <c r="F886" s="191" t="s">
        <v>71</v>
      </c>
      <c r="G886" s="201">
        <v>3</v>
      </c>
      <c r="H886" s="201">
        <v>1</v>
      </c>
      <c r="I886" s="201">
        <v>8</v>
      </c>
      <c r="J886" s="201">
        <v>3</v>
      </c>
      <c r="K886" s="201">
        <v>1</v>
      </c>
      <c r="L886" s="201">
        <v>8</v>
      </c>
      <c r="M886" s="89"/>
      <c r="N886" s="219"/>
      <c r="O886" s="199"/>
      <c r="P886" s="200"/>
      <c r="Q886" s="309"/>
      <c r="R886" s="309"/>
      <c r="S886" s="86"/>
      <c r="T886" s="86"/>
      <c r="U886" s="86"/>
      <c r="V886" s="86"/>
      <c r="W886" s="86"/>
      <c r="X886" s="86"/>
      <c r="Y886" s="86"/>
      <c r="Z886" s="86"/>
      <c r="AA886" s="86"/>
      <c r="AB886" s="86"/>
      <c r="AC886" s="86"/>
    </row>
    <row r="887" spans="1:29" ht="30" customHeight="1">
      <c r="A887" s="189">
        <v>28</v>
      </c>
      <c r="B887" s="188" t="s">
        <v>69</v>
      </c>
      <c r="C887" s="307" t="s">
        <v>132</v>
      </c>
      <c r="D887" s="308"/>
      <c r="E887" s="179"/>
      <c r="F887" s="191" t="s">
        <v>71</v>
      </c>
      <c r="G887" s="202" t="s">
        <v>156</v>
      </c>
      <c r="H887" s="202" t="s">
        <v>156</v>
      </c>
      <c r="I887" s="202" t="s">
        <v>156</v>
      </c>
      <c r="J887" s="202" t="s">
        <v>156</v>
      </c>
      <c r="K887" s="202" t="s">
        <v>156</v>
      </c>
      <c r="L887" s="202" t="s">
        <v>156</v>
      </c>
      <c r="M887" s="89"/>
      <c r="N887" s="219"/>
      <c r="O887" s="199"/>
      <c r="P887" s="200"/>
      <c r="Q887" s="309"/>
      <c r="R887" s="309"/>
      <c r="S887" s="86"/>
      <c r="T887" s="86"/>
      <c r="U887" s="86"/>
      <c r="V887" s="86"/>
      <c r="W887" s="86"/>
      <c r="X887" s="86"/>
      <c r="Y887" s="86"/>
      <c r="Z887" s="86"/>
      <c r="AA887" s="86"/>
      <c r="AB887" s="86"/>
      <c r="AC887" s="86"/>
    </row>
    <row r="888" spans="1:29" ht="30" customHeight="1">
      <c r="A888" s="189">
        <v>29</v>
      </c>
      <c r="B888" s="188" t="s">
        <v>69</v>
      </c>
      <c r="C888" s="307" t="s">
        <v>86</v>
      </c>
      <c r="D888" s="308"/>
      <c r="E888" s="179"/>
      <c r="F888" s="191" t="s">
        <v>71</v>
      </c>
      <c r="G888" s="201">
        <v>10</v>
      </c>
      <c r="H888" s="201">
        <v>12</v>
      </c>
      <c r="I888" s="201">
        <v>9</v>
      </c>
      <c r="J888" s="201">
        <v>10</v>
      </c>
      <c r="K888" s="201">
        <v>12</v>
      </c>
      <c r="L888" s="201">
        <v>9</v>
      </c>
      <c r="M888" s="89"/>
      <c r="N888" s="219"/>
      <c r="O888" s="199"/>
      <c r="P888" s="200"/>
      <c r="Q888" s="309"/>
      <c r="R888" s="309"/>
      <c r="S888" s="86"/>
      <c r="T888" s="86"/>
      <c r="U888" s="86"/>
      <c r="V888" s="86"/>
      <c r="W888" s="86"/>
      <c r="X888" s="86"/>
      <c r="Y888" s="86"/>
      <c r="Z888" s="86"/>
      <c r="AA888" s="86"/>
      <c r="AB888" s="86"/>
      <c r="AC888" s="86"/>
    </row>
    <row r="889" spans="1:29" ht="30" customHeight="1">
      <c r="A889" s="189">
        <v>30</v>
      </c>
      <c r="B889" s="188" t="s">
        <v>69</v>
      </c>
      <c r="C889" s="307" t="s">
        <v>87</v>
      </c>
      <c r="D889" s="308"/>
      <c r="E889" s="179"/>
      <c r="F889" s="191" t="s">
        <v>71</v>
      </c>
      <c r="G889" s="202" t="s">
        <v>156</v>
      </c>
      <c r="H889" s="202" t="s">
        <v>156</v>
      </c>
      <c r="I889" s="202" t="s">
        <v>156</v>
      </c>
      <c r="J889" s="202" t="s">
        <v>156</v>
      </c>
      <c r="K889" s="202" t="s">
        <v>156</v>
      </c>
      <c r="L889" s="202" t="s">
        <v>156</v>
      </c>
      <c r="M889" s="89"/>
      <c r="N889" s="219"/>
      <c r="O889" s="199"/>
      <c r="P889" s="200"/>
      <c r="Q889" s="309"/>
      <c r="R889" s="309"/>
      <c r="S889" s="86"/>
      <c r="T889" s="86"/>
      <c r="U889" s="86"/>
      <c r="V889" s="86"/>
      <c r="W889" s="86"/>
      <c r="X889" s="86"/>
      <c r="Y889" s="86"/>
      <c r="Z889" s="86"/>
      <c r="AA889" s="86"/>
      <c r="AB889" s="86"/>
      <c r="AC889" s="86"/>
    </row>
    <row r="890" spans="1:29" ht="30" customHeight="1">
      <c r="A890" s="189">
        <v>31</v>
      </c>
      <c r="B890" s="188" t="s">
        <v>69</v>
      </c>
      <c r="C890" s="307" t="s">
        <v>105</v>
      </c>
      <c r="D890" s="308"/>
      <c r="E890" s="179"/>
      <c r="F890" s="191" t="s">
        <v>71</v>
      </c>
      <c r="G890" s="201">
        <v>2</v>
      </c>
      <c r="H890" s="203" t="s">
        <v>156</v>
      </c>
      <c r="I890" s="201">
        <v>8</v>
      </c>
      <c r="J890" s="201">
        <v>2</v>
      </c>
      <c r="K890" s="203" t="s">
        <v>156</v>
      </c>
      <c r="L890" s="201">
        <v>8</v>
      </c>
      <c r="M890" s="89"/>
      <c r="N890" s="219"/>
      <c r="O890" s="199"/>
      <c r="P890" s="200"/>
      <c r="Q890" s="309"/>
      <c r="R890" s="309"/>
      <c r="S890" s="86"/>
      <c r="T890" s="86"/>
      <c r="U890" s="86"/>
      <c r="V890" s="86"/>
      <c r="W890" s="86"/>
      <c r="X890" s="86"/>
      <c r="Y890" s="86"/>
      <c r="Z890" s="86"/>
      <c r="AA890" s="86"/>
      <c r="AB890" s="86"/>
      <c r="AC890" s="86"/>
    </row>
    <row r="891" spans="1:29" ht="30" customHeight="1">
      <c r="A891" s="189">
        <v>32</v>
      </c>
      <c r="B891" s="188" t="s">
        <v>69</v>
      </c>
      <c r="C891" s="307" t="s">
        <v>133</v>
      </c>
      <c r="D891" s="308"/>
      <c r="E891" s="179"/>
      <c r="F891" s="191" t="s">
        <v>71</v>
      </c>
      <c r="G891" s="202" t="s">
        <v>156</v>
      </c>
      <c r="H891" s="202" t="s">
        <v>156</v>
      </c>
      <c r="I891" s="202" t="s">
        <v>156</v>
      </c>
      <c r="J891" s="202" t="s">
        <v>156</v>
      </c>
      <c r="K891" s="202" t="s">
        <v>156</v>
      </c>
      <c r="L891" s="202" t="s">
        <v>156</v>
      </c>
      <c r="M891" s="89"/>
      <c r="N891" s="219"/>
      <c r="O891" s="199"/>
      <c r="P891" s="200"/>
      <c r="Q891" s="309"/>
      <c r="R891" s="309"/>
      <c r="S891" s="86"/>
      <c r="T891" s="86"/>
      <c r="U891" s="86"/>
      <c r="V891" s="86"/>
      <c r="W891" s="86"/>
      <c r="X891" s="86"/>
      <c r="Y891" s="86"/>
      <c r="Z891" s="86"/>
      <c r="AA891" s="86"/>
      <c r="AB891" s="86"/>
      <c r="AC891" s="86"/>
    </row>
    <row r="892" spans="1:29" ht="30" customHeight="1">
      <c r="A892" s="189">
        <v>33</v>
      </c>
      <c r="B892" s="188" t="s">
        <v>69</v>
      </c>
      <c r="C892" s="307" t="s">
        <v>88</v>
      </c>
      <c r="D892" s="308"/>
      <c r="E892" s="179"/>
      <c r="F892" s="191" t="s">
        <v>71</v>
      </c>
      <c r="G892" s="201">
        <v>3</v>
      </c>
      <c r="H892" s="201">
        <v>7</v>
      </c>
      <c r="I892" s="201">
        <v>7</v>
      </c>
      <c r="J892" s="201">
        <v>3</v>
      </c>
      <c r="K892" s="201">
        <v>7</v>
      </c>
      <c r="L892" s="201">
        <v>7</v>
      </c>
      <c r="M892" s="89"/>
      <c r="N892" s="219"/>
      <c r="O892" s="199"/>
      <c r="P892" s="200"/>
      <c r="Q892" s="309"/>
      <c r="R892" s="309"/>
      <c r="S892" s="86"/>
      <c r="T892" s="86"/>
      <c r="U892" s="86"/>
      <c r="V892" s="86"/>
      <c r="W892" s="86"/>
      <c r="X892" s="86"/>
      <c r="Y892" s="86"/>
      <c r="Z892" s="86"/>
      <c r="AA892" s="86"/>
      <c r="AB892" s="86"/>
      <c r="AC892" s="86"/>
    </row>
    <row r="893" spans="1:29" ht="30" customHeight="1">
      <c r="A893" s="189">
        <v>34</v>
      </c>
      <c r="B893" s="188" t="s">
        <v>69</v>
      </c>
      <c r="C893" s="307" t="s">
        <v>89</v>
      </c>
      <c r="D893" s="308"/>
      <c r="E893" s="179"/>
      <c r="F893" s="191" t="s">
        <v>71</v>
      </c>
      <c r="G893" s="202" t="s">
        <v>156</v>
      </c>
      <c r="H893" s="202" t="s">
        <v>156</v>
      </c>
      <c r="I893" s="202" t="s">
        <v>156</v>
      </c>
      <c r="J893" s="202" t="s">
        <v>156</v>
      </c>
      <c r="K893" s="202" t="s">
        <v>156</v>
      </c>
      <c r="L893" s="202" t="s">
        <v>156</v>
      </c>
      <c r="M893" s="89"/>
      <c r="N893" s="219"/>
      <c r="O893" s="199"/>
      <c r="P893" s="200"/>
      <c r="Q893" s="309"/>
      <c r="R893" s="309"/>
      <c r="S893" s="86"/>
      <c r="T893" s="86"/>
      <c r="U893" s="86"/>
      <c r="V893" s="86"/>
      <c r="W893" s="86"/>
      <c r="X893" s="86"/>
      <c r="Y893" s="86"/>
      <c r="Z893" s="86"/>
      <c r="AA893" s="86"/>
      <c r="AB893" s="86"/>
      <c r="AC893" s="86"/>
    </row>
    <row r="894" spans="1:29" ht="30" customHeight="1">
      <c r="A894" s="189">
        <v>35</v>
      </c>
      <c r="B894" s="188" t="s">
        <v>69</v>
      </c>
      <c r="C894" s="307" t="s">
        <v>140</v>
      </c>
      <c r="D894" s="308"/>
      <c r="E894" s="179"/>
      <c r="F894" s="191" t="s">
        <v>71</v>
      </c>
      <c r="G894" s="202" t="s">
        <v>156</v>
      </c>
      <c r="H894" s="202" t="s">
        <v>156</v>
      </c>
      <c r="I894" s="201">
        <v>3</v>
      </c>
      <c r="J894" s="202" t="s">
        <v>156</v>
      </c>
      <c r="K894" s="202" t="s">
        <v>156</v>
      </c>
      <c r="L894" s="201">
        <v>3</v>
      </c>
      <c r="M894" s="89"/>
      <c r="N894" s="220"/>
      <c r="O894" s="199"/>
      <c r="P894" s="200"/>
      <c r="Q894" s="309"/>
      <c r="R894" s="309"/>
      <c r="S894" s="86"/>
      <c r="T894" s="86"/>
      <c r="U894" s="86"/>
      <c r="V894" s="86"/>
      <c r="W894" s="86"/>
      <c r="X894" s="86"/>
      <c r="Y894" s="86"/>
      <c r="Z894" s="86"/>
      <c r="AA894" s="86"/>
      <c r="AB894" s="86"/>
      <c r="AC894" s="86"/>
    </row>
    <row r="895" spans="1:29" ht="30" customHeight="1">
      <c r="A895" s="189">
        <v>36</v>
      </c>
      <c r="B895" s="188" t="s">
        <v>69</v>
      </c>
      <c r="C895" s="307" t="s">
        <v>134</v>
      </c>
      <c r="D895" s="308"/>
      <c r="E895" s="179"/>
      <c r="F895" s="191" t="s">
        <v>71</v>
      </c>
      <c r="G895" s="202" t="s">
        <v>156</v>
      </c>
      <c r="H895" s="202" t="s">
        <v>156</v>
      </c>
      <c r="I895" s="202" t="s">
        <v>156</v>
      </c>
      <c r="J895" s="202" t="s">
        <v>156</v>
      </c>
      <c r="K895" s="202" t="s">
        <v>156</v>
      </c>
      <c r="L895" s="202" t="s">
        <v>156</v>
      </c>
      <c r="M895" s="89"/>
      <c r="N895" s="220"/>
      <c r="O895" s="199"/>
      <c r="P895" s="200"/>
      <c r="Q895" s="309"/>
      <c r="R895" s="309"/>
      <c r="S895" s="86"/>
      <c r="T895" s="86"/>
      <c r="U895" s="86"/>
      <c r="V895" s="86"/>
      <c r="W895" s="86"/>
      <c r="X895" s="86"/>
      <c r="Y895" s="86"/>
      <c r="Z895" s="86"/>
      <c r="AA895" s="86"/>
      <c r="AB895" s="86"/>
      <c r="AC895" s="86"/>
    </row>
    <row r="896" spans="1:29" ht="30" customHeight="1">
      <c r="A896" s="189">
        <v>37</v>
      </c>
      <c r="B896" s="188" t="s">
        <v>69</v>
      </c>
      <c r="C896" s="307" t="s">
        <v>90</v>
      </c>
      <c r="D896" s="308"/>
      <c r="E896" s="179"/>
      <c r="F896" s="191" t="s">
        <v>71</v>
      </c>
      <c r="G896" s="202" t="s">
        <v>156</v>
      </c>
      <c r="H896" s="202" t="s">
        <v>156</v>
      </c>
      <c r="I896" s="202" t="s">
        <v>156</v>
      </c>
      <c r="J896" s="202" t="s">
        <v>156</v>
      </c>
      <c r="K896" s="202" t="s">
        <v>156</v>
      </c>
      <c r="L896" s="202" t="s">
        <v>156</v>
      </c>
      <c r="M896" s="89"/>
      <c r="N896" s="220"/>
      <c r="O896" s="199"/>
      <c r="P896" s="200"/>
      <c r="Q896" s="309"/>
      <c r="R896" s="309"/>
      <c r="S896" s="86"/>
      <c r="T896" s="86"/>
      <c r="U896" s="86"/>
      <c r="V896" s="86"/>
      <c r="W896" s="86"/>
      <c r="X896" s="86"/>
      <c r="Y896" s="86"/>
      <c r="Z896" s="86"/>
      <c r="AA896" s="86"/>
      <c r="AB896" s="86"/>
      <c r="AC896" s="86"/>
    </row>
    <row r="897" spans="1:29" ht="30" customHeight="1">
      <c r="A897" s="189">
        <v>38</v>
      </c>
      <c r="B897" s="188" t="s">
        <v>69</v>
      </c>
      <c r="C897" s="307" t="s">
        <v>106</v>
      </c>
      <c r="D897" s="308"/>
      <c r="E897" s="150"/>
      <c r="F897" s="191" t="s">
        <v>71</v>
      </c>
      <c r="G897" s="202" t="s">
        <v>156</v>
      </c>
      <c r="H897" s="202" t="s">
        <v>156</v>
      </c>
      <c r="I897" s="202" t="s">
        <v>156</v>
      </c>
      <c r="J897" s="202" t="s">
        <v>156</v>
      </c>
      <c r="K897" s="202" t="s">
        <v>156</v>
      </c>
      <c r="L897" s="202" t="s">
        <v>156</v>
      </c>
      <c r="M897" s="89"/>
      <c r="N897" s="220"/>
      <c r="O897" s="199"/>
      <c r="P897" s="200"/>
      <c r="Q897" s="309"/>
      <c r="R897" s="309"/>
      <c r="S897" s="86"/>
      <c r="T897" s="86"/>
      <c r="U897" s="86"/>
      <c r="V897" s="86"/>
      <c r="W897" s="86"/>
      <c r="X897" s="86"/>
      <c r="Y897" s="86"/>
      <c r="Z897" s="86"/>
      <c r="AA897" s="86"/>
      <c r="AB897" s="86"/>
      <c r="AC897" s="86"/>
    </row>
    <row r="898" spans="1:29" ht="25.5" customHeight="1">
      <c r="A898" s="310" t="s">
        <v>92</v>
      </c>
      <c r="B898" s="310"/>
      <c r="C898" s="310"/>
      <c r="D898" s="310"/>
      <c r="E898" s="310"/>
      <c r="F898" s="310"/>
      <c r="G898" s="310"/>
      <c r="H898" s="310"/>
      <c r="I898" s="310"/>
      <c r="J898" s="310"/>
      <c r="K898" s="310"/>
      <c r="L898" s="310"/>
      <c r="M898" s="92"/>
    </row>
    <row r="899" spans="1:29" ht="19.5" customHeight="1">
      <c r="A899" s="139"/>
      <c r="B899" s="139"/>
      <c r="C899" s="140"/>
      <c r="D899" s="140" t="s">
        <v>145</v>
      </c>
      <c r="E899" s="140"/>
      <c r="F899" s="152" t="s">
        <v>54</v>
      </c>
      <c r="G899" s="152"/>
      <c r="H899" s="152"/>
      <c r="I899" s="152"/>
      <c r="J899" s="152" t="s">
        <v>144</v>
      </c>
      <c r="K899" s="152"/>
      <c r="L899" s="140"/>
      <c r="M899" s="94"/>
    </row>
    <row r="900" spans="1:29" ht="28.5" customHeight="1">
      <c r="A900" s="310" t="s">
        <v>93</v>
      </c>
      <c r="B900" s="310"/>
      <c r="C900" s="310"/>
      <c r="D900" s="310"/>
      <c r="E900" s="310"/>
      <c r="F900" s="310"/>
      <c r="G900" s="310"/>
      <c r="H900" s="310"/>
      <c r="I900" s="310"/>
      <c r="J900" s="310"/>
      <c r="K900" s="310"/>
      <c r="L900" s="310"/>
      <c r="M900" s="92"/>
      <c r="N900" s="311"/>
      <c r="O900" s="311"/>
      <c r="P900" s="311"/>
    </row>
    <row r="901" spans="1:29" ht="20.25" customHeight="1">
      <c r="A901" s="139"/>
      <c r="B901" s="139"/>
      <c r="C901" s="139"/>
      <c r="D901" s="140" t="s">
        <v>145</v>
      </c>
      <c r="E901" s="140"/>
      <c r="F901" s="152" t="s">
        <v>54</v>
      </c>
      <c r="G901" s="152"/>
      <c r="H901" s="152"/>
      <c r="I901" s="152"/>
      <c r="J901" s="152" t="s">
        <v>144</v>
      </c>
      <c r="K901" s="152"/>
      <c r="L901" s="139"/>
      <c r="M901" s="94"/>
      <c r="N901" s="221"/>
      <c r="O901" s="95"/>
      <c r="P901" s="95"/>
    </row>
    <row r="902" spans="1:29" ht="26.25" customHeight="1">
      <c r="A902" s="312" t="s">
        <v>94</v>
      </c>
      <c r="B902" s="312"/>
      <c r="C902" s="312"/>
      <c r="D902" s="312"/>
      <c r="E902" s="312"/>
      <c r="F902" s="312"/>
      <c r="G902" s="312"/>
      <c r="H902" s="312"/>
      <c r="I902" s="312"/>
      <c r="J902" s="312"/>
      <c r="K902" s="312"/>
      <c r="L902" s="312"/>
      <c r="M902" s="92"/>
    </row>
    <row r="903" spans="1:29" ht="22.5" customHeight="1">
      <c r="A903" s="120"/>
      <c r="B903" s="120"/>
      <c r="C903" s="120"/>
      <c r="D903" s="120"/>
      <c r="E903" s="120"/>
      <c r="F903" s="120"/>
      <c r="G903" s="120"/>
      <c r="H903" s="120"/>
      <c r="I903" s="120"/>
      <c r="J903" s="120"/>
      <c r="K903" s="120"/>
      <c r="L903" s="120"/>
      <c r="M903" s="94"/>
    </row>
    <row r="904" spans="1:29" ht="22.5" customHeight="1">
      <c r="A904" s="313" t="s">
        <v>95</v>
      </c>
      <c r="B904" s="313"/>
      <c r="C904" s="313"/>
      <c r="D904" s="313"/>
      <c r="E904" s="313"/>
      <c r="F904" s="313"/>
      <c r="G904" s="313"/>
      <c r="H904" s="313"/>
      <c r="I904" s="313"/>
      <c r="J904" s="313"/>
      <c r="K904" s="313"/>
      <c r="L904" s="313"/>
      <c r="M904" s="92"/>
    </row>
    <row r="905" spans="1:29" ht="19.5" customHeight="1">
      <c r="A905" s="97"/>
      <c r="B905" s="97"/>
      <c r="C905" s="145"/>
      <c r="D905" s="97"/>
      <c r="E905" s="97"/>
      <c r="F905" s="97"/>
      <c r="G905" s="97"/>
      <c r="H905" s="97"/>
      <c r="I905" s="97"/>
      <c r="J905" s="97"/>
      <c r="K905" s="97"/>
      <c r="L905" s="97"/>
      <c r="M905" s="94"/>
    </row>
    <row r="906" spans="1:29" ht="5.25" customHeight="1">
      <c r="A906" s="94"/>
      <c r="B906" s="94"/>
      <c r="C906" s="146"/>
      <c r="D906" s="94"/>
      <c r="E906" s="94"/>
      <c r="F906" s="94"/>
      <c r="G906" s="94"/>
      <c r="H906" s="94"/>
      <c r="I906" s="94"/>
      <c r="J906" s="94"/>
      <c r="K906" s="94"/>
      <c r="L906" s="94"/>
      <c r="M906" s="94"/>
    </row>
    <row r="907" spans="1:29" ht="16.5" customHeight="1">
      <c r="A907" s="314" t="s">
        <v>96</v>
      </c>
      <c r="B907" s="314"/>
      <c r="C907" s="314"/>
      <c r="D907" s="314"/>
      <c r="E907" s="98"/>
      <c r="F907" s="98"/>
      <c r="G907" s="98"/>
      <c r="H907" s="315" t="s">
        <v>97</v>
      </c>
      <c r="I907" s="315"/>
      <c r="J907" s="315"/>
      <c r="K907" s="315"/>
      <c r="L907" s="315"/>
      <c r="M907" s="94"/>
    </row>
    <row r="908" spans="1:29" ht="95.1" customHeight="1">
      <c r="A908" s="99"/>
      <c r="B908" s="101" t="str">
        <f>B838</f>
        <v>Ông Huỳnh Phước Hải        ….............</v>
      </c>
      <c r="C908" s="147"/>
      <c r="D908" s="99"/>
      <c r="E908" s="81"/>
      <c r="F908" s="100"/>
      <c r="G908" s="100"/>
      <c r="H908" s="306" t="str">
        <f>H838</f>
        <v>Ông Phạm Tấn Việt          …..................</v>
      </c>
      <c r="I908" s="306"/>
      <c r="J908" s="306"/>
      <c r="K908" s="306"/>
      <c r="L908" s="306"/>
      <c r="M908" s="94"/>
    </row>
    <row r="909" spans="1:29" ht="49.5" customHeight="1">
      <c r="A909" s="99"/>
      <c r="B909" s="99"/>
      <c r="C909" s="147"/>
      <c r="D909" s="99"/>
      <c r="E909" s="81"/>
      <c r="F909" s="100"/>
      <c r="G909" s="100"/>
      <c r="H909" s="100"/>
      <c r="I909" s="100"/>
      <c r="J909" s="99"/>
      <c r="K909" s="99"/>
      <c r="L909" s="99"/>
      <c r="M909" s="94"/>
    </row>
    <row r="910" spans="1:29" ht="21.75" customHeight="1">
      <c r="A910" s="348" t="s">
        <v>165</v>
      </c>
      <c r="B910" s="348"/>
      <c r="C910" s="348"/>
      <c r="D910" s="348"/>
      <c r="E910" s="348"/>
      <c r="F910" s="348"/>
      <c r="G910" s="348"/>
      <c r="H910" s="348"/>
      <c r="I910" s="348"/>
      <c r="J910" s="348"/>
      <c r="K910" s="348"/>
      <c r="L910" s="348"/>
      <c r="M910" s="82"/>
    </row>
    <row r="911" spans="1:29" ht="19.5">
      <c r="A911" s="84" t="str">
        <f>"Ngày "&amp;N912&amp;" tháng "&amp;O3&amp;" năm "&amp;P3&amp;""</f>
        <v>Ngày 14 tháng 07 năm 2026</v>
      </c>
      <c r="B911" s="84"/>
      <c r="C911" s="85"/>
      <c r="N911" s="216"/>
      <c r="O911" s="20"/>
      <c r="P911" s="20"/>
    </row>
    <row r="912" spans="1:29" ht="16.5">
      <c r="A912" s="337" t="s">
        <v>57</v>
      </c>
      <c r="B912" s="337"/>
      <c r="C912" s="337"/>
      <c r="D912" s="311"/>
      <c r="E912" s="311"/>
      <c r="F912" s="311"/>
      <c r="G912" s="95"/>
      <c r="H912" s="95"/>
      <c r="I912" s="95"/>
      <c r="J912" s="95"/>
      <c r="K912" s="95"/>
      <c r="L912" s="95"/>
      <c r="N912" s="217" t="s">
        <v>176</v>
      </c>
      <c r="O912" s="214"/>
      <c r="P912" s="17"/>
    </row>
    <row r="913" spans="1:29" ht="15.75" customHeight="1">
      <c r="A913" s="338"/>
      <c r="B913" s="338"/>
      <c r="C913" s="338"/>
      <c r="D913" s="339" t="s">
        <v>58</v>
      </c>
      <c r="E913" s="340"/>
      <c r="F913" s="340"/>
      <c r="G913" s="340"/>
      <c r="H913" s="341"/>
      <c r="I913" s="339" t="s">
        <v>59</v>
      </c>
      <c r="J913" s="340"/>
      <c r="K913" s="340"/>
      <c r="L913" s="341"/>
    </row>
    <row r="914" spans="1:29" ht="19.5" customHeight="1">
      <c r="A914" s="342" t="s">
        <v>60</v>
      </c>
      <c r="B914" s="342"/>
      <c r="C914" s="342"/>
      <c r="D914" s="343" t="s">
        <v>54</v>
      </c>
      <c r="E914" s="344"/>
      <c r="F914" s="344"/>
      <c r="G914" s="344"/>
      <c r="H914" s="345"/>
      <c r="I914" s="343" t="s">
        <v>54</v>
      </c>
      <c r="J914" s="344"/>
      <c r="K914" s="344"/>
      <c r="L914" s="345"/>
    </row>
    <row r="915" spans="1:29" ht="22.5" customHeight="1">
      <c r="A915" s="342" t="s">
        <v>61</v>
      </c>
      <c r="B915" s="342"/>
      <c r="C915" s="342"/>
      <c r="D915" s="343" t="s">
        <v>163</v>
      </c>
      <c r="E915" s="344"/>
      <c r="F915" s="344"/>
      <c r="G915" s="344"/>
      <c r="H915" s="345"/>
      <c r="I915" s="343" t="str">
        <f>D915</f>
        <v>31° - 34°</v>
      </c>
      <c r="J915" s="344"/>
      <c r="K915" s="344"/>
      <c r="L915" s="345"/>
    </row>
    <row r="916" spans="1:29" s="87" customFormat="1" ht="19.5" customHeight="1">
      <c r="A916" s="310" t="s">
        <v>62</v>
      </c>
      <c r="B916" s="310"/>
      <c r="C916" s="310"/>
      <c r="D916" s="310"/>
      <c r="E916" s="310"/>
      <c r="F916" s="310"/>
      <c r="G916" s="310"/>
      <c r="H916" s="310"/>
      <c r="I916" s="310"/>
      <c r="J916" s="310"/>
      <c r="K916" s="310"/>
      <c r="L916" s="310"/>
      <c r="M916" s="85"/>
      <c r="N916" s="218"/>
    </row>
    <row r="917" spans="1:29" s="87" customFormat="1" ht="15.75">
      <c r="A917" s="332" t="s">
        <v>63</v>
      </c>
      <c r="B917" s="332"/>
      <c r="C917" s="332"/>
      <c r="D917" s="332"/>
      <c r="E917" s="332"/>
      <c r="F917" s="332"/>
      <c r="G917" s="332"/>
      <c r="H917" s="332"/>
      <c r="I917" s="332"/>
      <c r="J917" s="332"/>
      <c r="K917" s="332"/>
      <c r="L917" s="332"/>
      <c r="M917" s="85"/>
      <c r="N917" s="218"/>
    </row>
    <row r="918" spans="1:29" s="87" customFormat="1" ht="20.100000000000001" customHeight="1">
      <c r="A918" s="88"/>
      <c r="B918" s="88"/>
      <c r="C918" s="333" t="s">
        <v>64</v>
      </c>
      <c r="D918" s="334"/>
      <c r="E918" s="334"/>
      <c r="F918" s="334"/>
      <c r="G918" s="334"/>
      <c r="H918" s="334"/>
      <c r="I918" s="334"/>
      <c r="J918" s="334"/>
      <c r="K918" s="334"/>
      <c r="L918" s="334"/>
      <c r="M918" s="85"/>
      <c r="N918" s="218"/>
    </row>
    <row r="919" spans="1:29" s="87" customFormat="1" ht="20.100000000000001" customHeight="1">
      <c r="A919" s="88"/>
      <c r="B919" s="88"/>
      <c r="C919" s="333" t="s">
        <v>65</v>
      </c>
      <c r="D919" s="334"/>
      <c r="E919" s="334"/>
      <c r="F919" s="334"/>
      <c r="G919" s="334"/>
      <c r="H919" s="334"/>
      <c r="I919" s="334"/>
      <c r="J919" s="334"/>
      <c r="K919" s="334"/>
      <c r="L919" s="334"/>
      <c r="M919" s="85"/>
      <c r="N919" s="218"/>
    </row>
    <row r="920" spans="1:29" s="87" customFormat="1" ht="17.25" customHeight="1">
      <c r="A920" s="335" t="s">
        <v>66</v>
      </c>
      <c r="B920" s="335"/>
      <c r="C920" s="335"/>
      <c r="D920" s="335"/>
      <c r="E920" s="335"/>
      <c r="F920" s="335"/>
      <c r="G920" s="335"/>
      <c r="H920" s="335"/>
      <c r="I920" s="335"/>
      <c r="J920" s="335"/>
      <c r="K920" s="335"/>
      <c r="L920" s="335"/>
      <c r="M920" s="85"/>
      <c r="N920" s="218"/>
    </row>
    <row r="921" spans="1:29" s="87" customFormat="1" ht="7.5" customHeight="1">
      <c r="A921" s="119"/>
      <c r="B921" s="119"/>
      <c r="C921" s="119"/>
      <c r="D921" s="119"/>
      <c r="E921" s="119"/>
      <c r="F921" s="119"/>
      <c r="G921" s="119"/>
      <c r="H921" s="119"/>
      <c r="I921" s="119"/>
      <c r="J921" s="119"/>
      <c r="K921" s="119"/>
      <c r="L921" s="119"/>
      <c r="M921" s="85"/>
      <c r="N921" s="218"/>
    </row>
    <row r="922" spans="1:29" ht="15.75">
      <c r="A922" s="336" t="s">
        <v>67</v>
      </c>
      <c r="B922" s="336"/>
      <c r="C922" s="336"/>
      <c r="D922" s="336"/>
      <c r="E922" s="336"/>
      <c r="F922" s="336"/>
      <c r="G922" s="336"/>
      <c r="H922" s="336"/>
      <c r="I922" s="336"/>
      <c r="J922" s="336"/>
      <c r="K922" s="336"/>
      <c r="L922" s="336"/>
    </row>
    <row r="923" spans="1:29" ht="2.25" customHeight="1">
      <c r="A923" s="141"/>
      <c r="B923" s="141"/>
      <c r="C923" s="141"/>
      <c r="D923" s="141"/>
      <c r="E923" s="141"/>
      <c r="F923" s="141"/>
      <c r="G923" s="155"/>
      <c r="H923" s="155"/>
      <c r="I923" s="155"/>
      <c r="J923" s="155"/>
      <c r="K923" s="155"/>
      <c r="L923" s="155"/>
    </row>
    <row r="924" spans="1:29" ht="27.75" customHeight="1">
      <c r="A924" s="317" t="s">
        <v>135</v>
      </c>
      <c r="B924" s="318"/>
      <c r="C924" s="317" t="s">
        <v>68</v>
      </c>
      <c r="D924" s="318"/>
      <c r="E924" s="183"/>
      <c r="F924" s="321" t="s">
        <v>136</v>
      </c>
      <c r="G924" s="322" t="s">
        <v>155</v>
      </c>
      <c r="H924" s="323"/>
      <c r="I924" s="323"/>
      <c r="J924" s="322" t="s">
        <v>154</v>
      </c>
      <c r="K924" s="323"/>
      <c r="L924" s="324"/>
      <c r="M924" s="92"/>
      <c r="O924" s="325"/>
      <c r="P924" s="325"/>
      <c r="Q924" s="325"/>
      <c r="R924" s="325"/>
      <c r="S924" s="316"/>
      <c r="T924" s="316"/>
      <c r="U924" s="316"/>
      <c r="V924" s="316"/>
      <c r="W924" s="316"/>
      <c r="X924" s="316"/>
      <c r="Y924" s="316"/>
      <c r="Z924" s="316"/>
      <c r="AA924" s="316"/>
      <c r="AB924" s="316"/>
      <c r="AC924" s="316"/>
    </row>
    <row r="925" spans="1:29" ht="125.25" customHeight="1">
      <c r="A925" s="319"/>
      <c r="B925" s="320"/>
      <c r="C925" s="319"/>
      <c r="D925" s="320"/>
      <c r="E925" s="184"/>
      <c r="F925" s="321"/>
      <c r="G925" s="153" t="s">
        <v>151</v>
      </c>
      <c r="H925" s="153" t="s">
        <v>152</v>
      </c>
      <c r="I925" s="153" t="s">
        <v>153</v>
      </c>
      <c r="J925" s="153" t="s">
        <v>151</v>
      </c>
      <c r="K925" s="153" t="s">
        <v>152</v>
      </c>
      <c r="L925" s="153" t="s">
        <v>153</v>
      </c>
      <c r="O925" s="325"/>
      <c r="P925" s="325"/>
      <c r="Q925" s="325"/>
      <c r="R925" s="325"/>
      <c r="S925" s="193"/>
      <c r="T925" s="193"/>
      <c r="U925" s="193"/>
      <c r="V925" s="193"/>
      <c r="W925" s="193"/>
      <c r="X925" s="193"/>
      <c r="Y925" s="193"/>
      <c r="Z925" s="193"/>
      <c r="AA925" s="193"/>
      <c r="AB925" s="193"/>
      <c r="AC925" s="193"/>
    </row>
    <row r="926" spans="1:29" ht="24.75" customHeight="1">
      <c r="A926" s="190" t="s">
        <v>128</v>
      </c>
      <c r="B926" s="142"/>
      <c r="C926" s="330" t="s">
        <v>129</v>
      </c>
      <c r="D926" s="330"/>
      <c r="E926" s="330"/>
      <c r="F926" s="330"/>
      <c r="G926" s="330"/>
      <c r="H926" s="330"/>
      <c r="I926" s="330"/>
      <c r="J926" s="330"/>
      <c r="K926" s="330"/>
      <c r="L926" s="330"/>
      <c r="M926" s="93"/>
      <c r="O926" s="156"/>
      <c r="P926" s="142"/>
      <c r="Q926" s="331"/>
      <c r="R926" s="331"/>
      <c r="S926" s="331"/>
      <c r="T926" s="331"/>
      <c r="U926" s="331"/>
      <c r="V926" s="331"/>
      <c r="W926" s="331"/>
      <c r="X926" s="331"/>
      <c r="Y926" s="331"/>
      <c r="Z926" s="331"/>
      <c r="AA926" s="331"/>
      <c r="AB926" s="331"/>
      <c r="AC926" s="331"/>
    </row>
    <row r="927" spans="1:29" ht="20.100000000000001" customHeight="1">
      <c r="A927" s="187">
        <v>1</v>
      </c>
      <c r="B927" s="185" t="s">
        <v>69</v>
      </c>
      <c r="C927" s="326" t="s">
        <v>70</v>
      </c>
      <c r="D927" s="326"/>
      <c r="E927" s="176"/>
      <c r="F927" s="144" t="s">
        <v>71</v>
      </c>
      <c r="G927" s="203" t="s">
        <v>156</v>
      </c>
      <c r="H927" s="202" t="s">
        <v>156</v>
      </c>
      <c r="I927" s="201">
        <v>1</v>
      </c>
      <c r="J927" s="202" t="s">
        <v>156</v>
      </c>
      <c r="K927" s="202" t="s">
        <v>156</v>
      </c>
      <c r="L927" s="201">
        <v>1</v>
      </c>
      <c r="M927" s="93"/>
      <c r="O927" s="195"/>
      <c r="P927" s="196"/>
      <c r="Q927" s="327"/>
      <c r="R927" s="327"/>
      <c r="S927" s="86"/>
      <c r="T927" s="86"/>
      <c r="U927" s="86"/>
      <c r="V927" s="86"/>
      <c r="W927" s="194"/>
      <c r="X927" s="194"/>
      <c r="Y927" s="194"/>
      <c r="Z927" s="194"/>
      <c r="AA927" s="194"/>
      <c r="AB927" s="194"/>
      <c r="AC927" s="194"/>
    </row>
    <row r="928" spans="1:29" ht="20.100000000000001" customHeight="1">
      <c r="A928" s="187">
        <v>2</v>
      </c>
      <c r="B928" s="185" t="s">
        <v>69</v>
      </c>
      <c r="C928" s="326" t="s">
        <v>72</v>
      </c>
      <c r="D928" s="326"/>
      <c r="E928" s="176"/>
      <c r="F928" s="144" t="s">
        <v>71</v>
      </c>
      <c r="G928" s="203" t="s">
        <v>156</v>
      </c>
      <c r="H928" s="202" t="s">
        <v>156</v>
      </c>
      <c r="I928" s="202" t="s">
        <v>156</v>
      </c>
      <c r="J928" s="202" t="s">
        <v>156</v>
      </c>
      <c r="K928" s="202" t="s">
        <v>156</v>
      </c>
      <c r="L928" s="202" t="s">
        <v>156</v>
      </c>
      <c r="M928" s="93"/>
      <c r="O928" s="195"/>
      <c r="P928" s="196"/>
      <c r="Q928" s="327"/>
      <c r="R928" s="327"/>
      <c r="S928" s="194"/>
      <c r="T928" s="194"/>
      <c r="U928" s="194"/>
      <c r="V928" s="86"/>
      <c r="W928" s="86"/>
      <c r="X928" s="86"/>
      <c r="Y928" s="86"/>
      <c r="Z928" s="194"/>
      <c r="AA928" s="194"/>
      <c r="AB928" s="194"/>
      <c r="AC928" s="194"/>
    </row>
    <row r="929" spans="1:29" ht="20.100000000000001" customHeight="1">
      <c r="A929" s="187">
        <v>3</v>
      </c>
      <c r="B929" s="185" t="s">
        <v>69</v>
      </c>
      <c r="C929" s="326" t="s">
        <v>73</v>
      </c>
      <c r="D929" s="326"/>
      <c r="E929" s="176"/>
      <c r="F929" s="144" t="s">
        <v>71</v>
      </c>
      <c r="G929" s="203" t="s">
        <v>156</v>
      </c>
      <c r="H929" s="202" t="s">
        <v>156</v>
      </c>
      <c r="I929" s="202" t="s">
        <v>156</v>
      </c>
      <c r="J929" s="202" t="s">
        <v>156</v>
      </c>
      <c r="K929" s="202" t="s">
        <v>156</v>
      </c>
      <c r="L929" s="202" t="s">
        <v>156</v>
      </c>
      <c r="M929" s="93"/>
      <c r="O929" s="195"/>
      <c r="P929" s="196"/>
      <c r="Q929" s="327"/>
      <c r="R929" s="327"/>
      <c r="S929" s="194"/>
      <c r="T929" s="86"/>
      <c r="U929" s="86"/>
      <c r="V929" s="86"/>
      <c r="W929" s="86"/>
      <c r="X929" s="194"/>
      <c r="Y929" s="194"/>
      <c r="Z929" s="194"/>
      <c r="AA929" s="194"/>
      <c r="AB929" s="194"/>
      <c r="AC929" s="194"/>
    </row>
    <row r="930" spans="1:29" ht="20.100000000000001" customHeight="1">
      <c r="A930" s="187">
        <v>4</v>
      </c>
      <c r="B930" s="185" t="s">
        <v>69</v>
      </c>
      <c r="C930" s="326" t="s">
        <v>98</v>
      </c>
      <c r="D930" s="326"/>
      <c r="E930" s="176"/>
      <c r="F930" s="144" t="s">
        <v>71</v>
      </c>
      <c r="G930" s="203" t="s">
        <v>156</v>
      </c>
      <c r="H930" s="202" t="s">
        <v>156</v>
      </c>
      <c r="I930" s="202" t="s">
        <v>156</v>
      </c>
      <c r="J930" s="202" t="s">
        <v>156</v>
      </c>
      <c r="K930" s="202" t="s">
        <v>156</v>
      </c>
      <c r="L930" s="202" t="s">
        <v>156</v>
      </c>
      <c r="M930" s="93"/>
      <c r="O930" s="195"/>
      <c r="P930" s="196"/>
      <c r="Q930" s="327"/>
      <c r="R930" s="327"/>
      <c r="S930" s="194"/>
      <c r="T930" s="194"/>
      <c r="U930" s="194"/>
      <c r="V930" s="194"/>
      <c r="W930" s="194"/>
      <c r="X930" s="194"/>
      <c r="Y930" s="194"/>
      <c r="Z930" s="86"/>
      <c r="AA930" s="86"/>
      <c r="AB930" s="86"/>
      <c r="AC930" s="86"/>
    </row>
    <row r="931" spans="1:29" ht="20.100000000000001" customHeight="1">
      <c r="A931" s="187">
        <v>5</v>
      </c>
      <c r="B931" s="185" t="s">
        <v>69</v>
      </c>
      <c r="C931" s="326" t="s">
        <v>74</v>
      </c>
      <c r="D931" s="326"/>
      <c r="E931" s="176"/>
      <c r="F931" s="144" t="s">
        <v>71</v>
      </c>
      <c r="G931" s="203" t="s">
        <v>156</v>
      </c>
      <c r="H931" s="202" t="s">
        <v>156</v>
      </c>
      <c r="I931" s="202" t="s">
        <v>156</v>
      </c>
      <c r="J931" s="202" t="s">
        <v>156</v>
      </c>
      <c r="K931" s="202" t="s">
        <v>156</v>
      </c>
      <c r="L931" s="202" t="s">
        <v>156</v>
      </c>
      <c r="M931" s="93"/>
      <c r="O931" s="195"/>
      <c r="P931" s="196"/>
      <c r="Q931" s="327"/>
      <c r="R931" s="327"/>
      <c r="S931" s="194"/>
      <c r="T931" s="194"/>
      <c r="U931" s="194"/>
      <c r="V931" s="194"/>
      <c r="W931" s="194"/>
      <c r="X931" s="194"/>
      <c r="Y931" s="194"/>
      <c r="Z931" s="194"/>
      <c r="AA931" s="194"/>
      <c r="AB931" s="194"/>
      <c r="AC931" s="194"/>
    </row>
    <row r="932" spans="1:29" ht="20.100000000000001" customHeight="1">
      <c r="A932" s="187">
        <v>6</v>
      </c>
      <c r="B932" s="185" t="s">
        <v>69</v>
      </c>
      <c r="C932" s="326" t="s">
        <v>75</v>
      </c>
      <c r="D932" s="326"/>
      <c r="E932" s="176"/>
      <c r="F932" s="144" t="s">
        <v>71</v>
      </c>
      <c r="G932" s="203" t="s">
        <v>156</v>
      </c>
      <c r="H932" s="202" t="s">
        <v>156</v>
      </c>
      <c r="I932" s="202" t="s">
        <v>156</v>
      </c>
      <c r="J932" s="202" t="s">
        <v>156</v>
      </c>
      <c r="K932" s="202" t="s">
        <v>156</v>
      </c>
      <c r="L932" s="202" t="s">
        <v>156</v>
      </c>
      <c r="M932" s="93"/>
      <c r="O932" s="195"/>
      <c r="P932" s="196"/>
      <c r="Q932" s="327"/>
      <c r="R932" s="327"/>
      <c r="S932" s="194"/>
      <c r="T932" s="194"/>
      <c r="U932" s="194"/>
      <c r="V932" s="194"/>
      <c r="W932" s="194"/>
      <c r="X932" s="194"/>
      <c r="Y932" s="194"/>
      <c r="Z932" s="194"/>
      <c r="AA932" s="194"/>
      <c r="AB932" s="194"/>
      <c r="AC932" s="194"/>
    </row>
    <row r="933" spans="1:29" ht="20.100000000000001" customHeight="1">
      <c r="A933" s="187">
        <v>7</v>
      </c>
      <c r="B933" s="185" t="s">
        <v>69</v>
      </c>
      <c r="C933" s="326" t="s">
        <v>76</v>
      </c>
      <c r="D933" s="326"/>
      <c r="E933" s="176"/>
      <c r="F933" s="144" t="s">
        <v>71</v>
      </c>
      <c r="G933" s="203" t="s">
        <v>156</v>
      </c>
      <c r="H933" s="202" t="s">
        <v>156</v>
      </c>
      <c r="I933" s="202" t="s">
        <v>156</v>
      </c>
      <c r="J933" s="202" t="s">
        <v>156</v>
      </c>
      <c r="K933" s="202" t="s">
        <v>156</v>
      </c>
      <c r="L933" s="202" t="s">
        <v>156</v>
      </c>
      <c r="M933" s="93"/>
      <c r="O933" s="195"/>
      <c r="P933" s="196"/>
      <c r="Q933" s="327"/>
      <c r="R933" s="327"/>
      <c r="S933" s="194"/>
      <c r="T933" s="194"/>
      <c r="U933" s="194"/>
      <c r="V933" s="194"/>
      <c r="W933" s="194"/>
      <c r="X933" s="194"/>
      <c r="Y933" s="194"/>
      <c r="Z933" s="194"/>
      <c r="AA933" s="194"/>
      <c r="AB933" s="194"/>
      <c r="AC933" s="194"/>
    </row>
    <row r="934" spans="1:29" ht="20.100000000000001" customHeight="1">
      <c r="A934" s="187">
        <v>8</v>
      </c>
      <c r="B934" s="185" t="s">
        <v>69</v>
      </c>
      <c r="C934" s="326" t="s">
        <v>99</v>
      </c>
      <c r="D934" s="326"/>
      <c r="E934" s="176"/>
      <c r="F934" s="144" t="s">
        <v>71</v>
      </c>
      <c r="G934" s="203" t="s">
        <v>156</v>
      </c>
      <c r="H934" s="202" t="s">
        <v>156</v>
      </c>
      <c r="I934" s="202" t="s">
        <v>156</v>
      </c>
      <c r="J934" s="202" t="s">
        <v>156</v>
      </c>
      <c r="K934" s="202" t="s">
        <v>156</v>
      </c>
      <c r="L934" s="202" t="s">
        <v>156</v>
      </c>
      <c r="M934" s="93"/>
      <c r="O934" s="195"/>
      <c r="P934" s="196"/>
      <c r="Q934" s="327"/>
      <c r="R934" s="327"/>
      <c r="S934" s="194"/>
      <c r="T934" s="194"/>
      <c r="U934" s="194"/>
      <c r="V934" s="194"/>
      <c r="W934" s="194"/>
      <c r="X934" s="194"/>
      <c r="Y934" s="194"/>
      <c r="Z934" s="194"/>
      <c r="AA934" s="194"/>
      <c r="AB934" s="194"/>
      <c r="AC934" s="194"/>
    </row>
    <row r="935" spans="1:29" ht="20.100000000000001" customHeight="1">
      <c r="A935" s="187">
        <v>9</v>
      </c>
      <c r="B935" s="185" t="s">
        <v>69</v>
      </c>
      <c r="C935" s="326" t="s">
        <v>77</v>
      </c>
      <c r="D935" s="326"/>
      <c r="E935" s="176"/>
      <c r="F935" s="144" t="s">
        <v>71</v>
      </c>
      <c r="G935" s="203" t="s">
        <v>156</v>
      </c>
      <c r="H935" s="202" t="s">
        <v>156</v>
      </c>
      <c r="I935" s="202" t="s">
        <v>156</v>
      </c>
      <c r="J935" s="202" t="s">
        <v>156</v>
      </c>
      <c r="K935" s="202" t="s">
        <v>156</v>
      </c>
      <c r="L935" s="202" t="s">
        <v>156</v>
      </c>
      <c r="M935" s="93"/>
      <c r="O935" s="195"/>
      <c r="P935" s="196"/>
      <c r="Q935" s="327"/>
      <c r="R935" s="327"/>
      <c r="S935" s="194"/>
      <c r="T935" s="194"/>
      <c r="U935" s="194"/>
      <c r="V935" s="194"/>
      <c r="W935" s="194"/>
      <c r="X935" s="194"/>
      <c r="Y935" s="194"/>
      <c r="Z935" s="194"/>
      <c r="AA935" s="194"/>
      <c r="AB935" s="194"/>
      <c r="AC935" s="194"/>
    </row>
    <row r="936" spans="1:29" ht="20.100000000000001" customHeight="1">
      <c r="A936" s="187">
        <v>10</v>
      </c>
      <c r="B936" s="185" t="s">
        <v>69</v>
      </c>
      <c r="C936" s="326" t="s">
        <v>78</v>
      </c>
      <c r="D936" s="326"/>
      <c r="E936" s="176"/>
      <c r="F936" s="144" t="s">
        <v>71</v>
      </c>
      <c r="G936" s="203" t="s">
        <v>156</v>
      </c>
      <c r="H936" s="202" t="s">
        <v>156</v>
      </c>
      <c r="I936" s="202" t="s">
        <v>156</v>
      </c>
      <c r="J936" s="202" t="s">
        <v>156</v>
      </c>
      <c r="K936" s="202" t="s">
        <v>156</v>
      </c>
      <c r="L936" s="202" t="s">
        <v>156</v>
      </c>
      <c r="M936" s="93"/>
      <c r="O936" s="195"/>
      <c r="P936" s="196"/>
      <c r="Q936" s="327"/>
      <c r="R936" s="327"/>
      <c r="S936" s="194"/>
      <c r="T936" s="194"/>
      <c r="U936" s="194"/>
      <c r="V936" s="194"/>
      <c r="W936" s="194"/>
      <c r="X936" s="194"/>
      <c r="Y936" s="194"/>
      <c r="Z936" s="194"/>
      <c r="AA936" s="194"/>
      <c r="AB936" s="194"/>
      <c r="AC936" s="194"/>
    </row>
    <row r="937" spans="1:29" ht="20.100000000000001" customHeight="1">
      <c r="A937" s="187">
        <v>11</v>
      </c>
      <c r="B937" s="185" t="s">
        <v>69</v>
      </c>
      <c r="C937" s="326" t="s">
        <v>79</v>
      </c>
      <c r="D937" s="326"/>
      <c r="E937" s="176"/>
      <c r="F937" s="144" t="s">
        <v>71</v>
      </c>
      <c r="G937" s="203" t="s">
        <v>156</v>
      </c>
      <c r="H937" s="202" t="s">
        <v>156</v>
      </c>
      <c r="I937" s="202" t="s">
        <v>156</v>
      </c>
      <c r="J937" s="202" t="s">
        <v>156</v>
      </c>
      <c r="K937" s="202" t="s">
        <v>156</v>
      </c>
      <c r="L937" s="202" t="s">
        <v>156</v>
      </c>
      <c r="M937" s="93"/>
      <c r="O937" s="195"/>
      <c r="P937" s="196"/>
      <c r="Q937" s="327"/>
      <c r="R937" s="327"/>
      <c r="S937" s="194"/>
      <c r="T937" s="194"/>
      <c r="U937" s="194"/>
      <c r="V937" s="194"/>
      <c r="W937" s="194"/>
      <c r="X937" s="194"/>
      <c r="Y937" s="194"/>
      <c r="Z937" s="194"/>
      <c r="AA937" s="194"/>
      <c r="AB937" s="194"/>
      <c r="AC937" s="194"/>
    </row>
    <row r="938" spans="1:29" ht="20.100000000000001" customHeight="1">
      <c r="A938" s="187">
        <v>12</v>
      </c>
      <c r="B938" s="185" t="s">
        <v>69</v>
      </c>
      <c r="C938" s="326" t="s">
        <v>100</v>
      </c>
      <c r="D938" s="326"/>
      <c r="E938" s="176"/>
      <c r="F938" s="144" t="s">
        <v>71</v>
      </c>
      <c r="G938" s="203" t="s">
        <v>156</v>
      </c>
      <c r="H938" s="202" t="s">
        <v>156</v>
      </c>
      <c r="I938" s="202" t="s">
        <v>156</v>
      </c>
      <c r="J938" s="202" t="s">
        <v>156</v>
      </c>
      <c r="K938" s="202" t="s">
        <v>156</v>
      </c>
      <c r="L938" s="202" t="s">
        <v>156</v>
      </c>
      <c r="M938" s="93"/>
      <c r="O938" s="195"/>
      <c r="P938" s="196"/>
      <c r="Q938" s="327"/>
      <c r="R938" s="327"/>
      <c r="S938" s="194"/>
      <c r="T938" s="194"/>
      <c r="U938" s="194"/>
      <c r="V938" s="194"/>
      <c r="W938" s="194"/>
      <c r="X938" s="194"/>
      <c r="Y938" s="194"/>
      <c r="Z938" s="194"/>
      <c r="AA938" s="194"/>
      <c r="AB938" s="194"/>
      <c r="AC938" s="194"/>
    </row>
    <row r="939" spans="1:29" ht="20.100000000000001" customHeight="1">
      <c r="A939" s="187">
        <v>13</v>
      </c>
      <c r="B939" s="185" t="s">
        <v>69</v>
      </c>
      <c r="C939" s="326" t="s">
        <v>80</v>
      </c>
      <c r="D939" s="326"/>
      <c r="E939" s="176"/>
      <c r="F939" s="144" t="s">
        <v>71</v>
      </c>
      <c r="G939" s="203" t="s">
        <v>156</v>
      </c>
      <c r="H939" s="202" t="s">
        <v>156</v>
      </c>
      <c r="I939" s="202" t="s">
        <v>156</v>
      </c>
      <c r="J939" s="202" t="s">
        <v>156</v>
      </c>
      <c r="K939" s="202" t="s">
        <v>156</v>
      </c>
      <c r="L939" s="202" t="s">
        <v>156</v>
      </c>
      <c r="M939" s="93"/>
      <c r="O939" s="195"/>
      <c r="P939" s="196"/>
      <c r="Q939" s="327"/>
      <c r="R939" s="327"/>
      <c r="S939" s="194"/>
      <c r="T939" s="194"/>
      <c r="U939" s="194"/>
      <c r="V939" s="194"/>
      <c r="W939" s="194"/>
      <c r="X939" s="194"/>
      <c r="Y939" s="194"/>
      <c r="Z939" s="194"/>
      <c r="AA939" s="194"/>
      <c r="AB939" s="194"/>
      <c r="AC939" s="194"/>
    </row>
    <row r="940" spans="1:29" ht="20.100000000000001" customHeight="1">
      <c r="A940" s="187">
        <v>14</v>
      </c>
      <c r="B940" s="185" t="s">
        <v>69</v>
      </c>
      <c r="C940" s="326" t="s">
        <v>91</v>
      </c>
      <c r="D940" s="326"/>
      <c r="E940" s="176"/>
      <c r="F940" s="144" t="s">
        <v>71</v>
      </c>
      <c r="G940" s="203" t="s">
        <v>156</v>
      </c>
      <c r="H940" s="202" t="s">
        <v>156</v>
      </c>
      <c r="I940" s="202" t="s">
        <v>156</v>
      </c>
      <c r="J940" s="202" t="s">
        <v>156</v>
      </c>
      <c r="K940" s="202" t="s">
        <v>156</v>
      </c>
      <c r="L940" s="202" t="s">
        <v>156</v>
      </c>
      <c r="M940" s="93"/>
      <c r="O940" s="195"/>
      <c r="P940" s="196"/>
      <c r="Q940" s="327"/>
      <c r="R940" s="327"/>
      <c r="S940" s="194"/>
      <c r="T940" s="194"/>
      <c r="U940" s="194"/>
      <c r="V940" s="194"/>
      <c r="W940" s="194"/>
      <c r="X940" s="194"/>
      <c r="Y940" s="194"/>
      <c r="Z940" s="194"/>
      <c r="AA940" s="194"/>
      <c r="AB940" s="194"/>
      <c r="AC940" s="194"/>
    </row>
    <row r="941" spans="1:29" ht="20.100000000000001" customHeight="1">
      <c r="A941" s="187">
        <v>15</v>
      </c>
      <c r="B941" s="185" t="s">
        <v>69</v>
      </c>
      <c r="C941" s="326" t="s">
        <v>81</v>
      </c>
      <c r="D941" s="326"/>
      <c r="E941" s="176"/>
      <c r="F941" s="144" t="s">
        <v>71</v>
      </c>
      <c r="G941" s="203" t="s">
        <v>156</v>
      </c>
      <c r="H941" s="202" t="s">
        <v>156</v>
      </c>
      <c r="I941" s="202" t="s">
        <v>156</v>
      </c>
      <c r="J941" s="202" t="s">
        <v>156</v>
      </c>
      <c r="K941" s="202" t="s">
        <v>156</v>
      </c>
      <c r="L941" s="202" t="s">
        <v>156</v>
      </c>
      <c r="M941" s="93"/>
      <c r="O941" s="195"/>
      <c r="P941" s="196"/>
      <c r="Q941" s="327"/>
      <c r="R941" s="327"/>
      <c r="S941" s="194"/>
      <c r="T941" s="194"/>
      <c r="U941" s="194"/>
      <c r="V941" s="194"/>
      <c r="W941" s="194"/>
      <c r="X941" s="194"/>
      <c r="Y941" s="194"/>
      <c r="Z941" s="194"/>
      <c r="AA941" s="194"/>
      <c r="AB941" s="194"/>
      <c r="AC941" s="194"/>
    </row>
    <row r="942" spans="1:29" ht="20.100000000000001" customHeight="1">
      <c r="A942" s="187">
        <v>16</v>
      </c>
      <c r="B942" s="185" t="s">
        <v>69</v>
      </c>
      <c r="C942" s="326" t="s">
        <v>101</v>
      </c>
      <c r="D942" s="326"/>
      <c r="E942" s="151"/>
      <c r="F942" s="144" t="s">
        <v>71</v>
      </c>
      <c r="G942" s="203" t="s">
        <v>156</v>
      </c>
      <c r="H942" s="202" t="s">
        <v>156</v>
      </c>
      <c r="I942" s="202" t="s">
        <v>156</v>
      </c>
      <c r="J942" s="202" t="s">
        <v>156</v>
      </c>
      <c r="K942" s="202" t="s">
        <v>156</v>
      </c>
      <c r="L942" s="202" t="s">
        <v>156</v>
      </c>
      <c r="M942" s="93"/>
      <c r="N942" s="219"/>
      <c r="O942" s="195"/>
      <c r="P942" s="196"/>
      <c r="Q942" s="327"/>
      <c r="R942" s="327"/>
      <c r="S942" s="197"/>
      <c r="T942" s="197"/>
      <c r="U942" s="197"/>
      <c r="V942" s="197"/>
      <c r="W942" s="197"/>
      <c r="X942" s="197"/>
      <c r="Y942" s="197"/>
      <c r="Z942" s="197"/>
      <c r="AA942" s="197"/>
      <c r="AB942" s="197"/>
      <c r="AC942" s="197"/>
    </row>
    <row r="943" spans="1:29" ht="20.100000000000001" customHeight="1">
      <c r="A943" s="187">
        <v>17</v>
      </c>
      <c r="B943" s="186" t="s">
        <v>69</v>
      </c>
      <c r="C943" s="326" t="s">
        <v>141</v>
      </c>
      <c r="D943" s="326"/>
      <c r="E943" s="151"/>
      <c r="F943" s="144" t="s">
        <v>71</v>
      </c>
      <c r="G943" s="203" t="s">
        <v>156</v>
      </c>
      <c r="H943" s="202" t="s">
        <v>156</v>
      </c>
      <c r="I943" s="202" t="s">
        <v>156</v>
      </c>
      <c r="J943" s="202" t="s">
        <v>156</v>
      </c>
      <c r="K943" s="202" t="s">
        <v>156</v>
      </c>
      <c r="L943" s="202" t="s">
        <v>156</v>
      </c>
      <c r="M943" s="93"/>
      <c r="N943" s="219"/>
      <c r="O943" s="195"/>
      <c r="P943" s="104"/>
      <c r="Q943" s="327"/>
      <c r="R943" s="327"/>
      <c r="S943" s="197"/>
      <c r="T943" s="197"/>
      <c r="U943" s="197"/>
      <c r="V943" s="197"/>
      <c r="W943" s="197"/>
      <c r="X943" s="197"/>
      <c r="Y943" s="197"/>
      <c r="Z943" s="197"/>
      <c r="AA943" s="197"/>
      <c r="AB943" s="197"/>
      <c r="AC943" s="197"/>
    </row>
    <row r="944" spans="1:29" ht="20.100000000000001" customHeight="1">
      <c r="A944" s="187">
        <v>18</v>
      </c>
      <c r="B944" s="186" t="s">
        <v>69</v>
      </c>
      <c r="C944" s="326" t="s">
        <v>142</v>
      </c>
      <c r="D944" s="326"/>
      <c r="E944" s="151"/>
      <c r="F944" s="144" t="s">
        <v>71</v>
      </c>
      <c r="G944" s="203" t="s">
        <v>156</v>
      </c>
      <c r="H944" s="202" t="s">
        <v>156</v>
      </c>
      <c r="I944" s="202" t="s">
        <v>156</v>
      </c>
      <c r="J944" s="202" t="s">
        <v>156</v>
      </c>
      <c r="K944" s="202" t="s">
        <v>156</v>
      </c>
      <c r="L944" s="202" t="s">
        <v>156</v>
      </c>
      <c r="M944" s="93"/>
      <c r="N944" s="219"/>
      <c r="O944" s="195"/>
      <c r="P944" s="104"/>
      <c r="Q944" s="327"/>
      <c r="R944" s="327"/>
      <c r="S944" s="197"/>
      <c r="T944" s="197"/>
      <c r="U944" s="197"/>
      <c r="V944" s="197"/>
      <c r="W944" s="197"/>
      <c r="X944" s="197"/>
      <c r="Y944" s="197"/>
      <c r="Z944" s="197"/>
      <c r="AA944" s="197"/>
      <c r="AB944" s="197"/>
      <c r="AC944" s="197"/>
    </row>
    <row r="945" spans="1:29" ht="20.100000000000001" customHeight="1">
      <c r="A945" s="187">
        <v>19</v>
      </c>
      <c r="B945" s="186" t="s">
        <v>69</v>
      </c>
      <c r="C945" s="326" t="s">
        <v>143</v>
      </c>
      <c r="D945" s="326"/>
      <c r="E945" s="151"/>
      <c r="F945" s="144" t="s">
        <v>71</v>
      </c>
      <c r="G945" s="203" t="s">
        <v>156</v>
      </c>
      <c r="H945" s="202" t="s">
        <v>156</v>
      </c>
      <c r="I945" s="202" t="s">
        <v>156</v>
      </c>
      <c r="J945" s="202" t="s">
        <v>156</v>
      </c>
      <c r="K945" s="202" t="s">
        <v>156</v>
      </c>
      <c r="L945" s="202" t="s">
        <v>156</v>
      </c>
      <c r="M945" s="93"/>
      <c r="N945" s="219"/>
      <c r="O945" s="195"/>
      <c r="P945" s="104"/>
      <c r="Q945" s="327"/>
      <c r="R945" s="327"/>
      <c r="S945" s="197"/>
      <c r="T945" s="197"/>
      <c r="U945" s="197"/>
      <c r="V945" s="197"/>
      <c r="W945" s="197"/>
      <c r="X945" s="197"/>
      <c r="Y945" s="197"/>
      <c r="Z945" s="197"/>
      <c r="AA945" s="197"/>
      <c r="AB945" s="197"/>
      <c r="AC945" s="197"/>
    </row>
    <row r="946" spans="1:29" ht="20.100000000000001" customHeight="1">
      <c r="A946" s="187">
        <v>20</v>
      </c>
      <c r="B946" s="186" t="s">
        <v>69</v>
      </c>
      <c r="C946" s="326" t="s">
        <v>102</v>
      </c>
      <c r="D946" s="326"/>
      <c r="E946" s="150"/>
      <c r="F946" s="154" t="s">
        <v>71</v>
      </c>
      <c r="G946" s="203" t="s">
        <v>156</v>
      </c>
      <c r="H946" s="202" t="s">
        <v>156</v>
      </c>
      <c r="I946" s="202" t="s">
        <v>156</v>
      </c>
      <c r="J946" s="202" t="s">
        <v>156</v>
      </c>
      <c r="K946" s="202" t="s">
        <v>156</v>
      </c>
      <c r="L946" s="202" t="s">
        <v>156</v>
      </c>
      <c r="M946" s="93"/>
      <c r="N946" s="219"/>
      <c r="O946" s="195"/>
      <c r="P946" s="104"/>
      <c r="Q946" s="327"/>
      <c r="R946" s="327"/>
      <c r="S946" s="197"/>
      <c r="T946" s="197"/>
      <c r="U946" s="197"/>
      <c r="V946" s="197"/>
      <c r="W946" s="197"/>
      <c r="X946" s="197"/>
      <c r="Y946" s="197"/>
      <c r="Z946" s="197"/>
      <c r="AA946" s="197"/>
      <c r="AB946" s="197"/>
      <c r="AC946" s="197"/>
    </row>
    <row r="947" spans="1:29" ht="24.75" customHeight="1">
      <c r="A947" s="190" t="s">
        <v>128</v>
      </c>
      <c r="B947" s="142"/>
      <c r="C947" s="330" t="s">
        <v>130</v>
      </c>
      <c r="D947" s="330"/>
      <c r="E947" s="330"/>
      <c r="F947" s="330"/>
      <c r="G947" s="330"/>
      <c r="H947" s="330"/>
      <c r="I947" s="330"/>
      <c r="J947" s="330"/>
      <c r="K947" s="330"/>
      <c r="L947" s="330"/>
      <c r="M947" s="93"/>
      <c r="O947" s="156"/>
      <c r="P947" s="142"/>
      <c r="Q947" s="331"/>
      <c r="R947" s="331"/>
      <c r="S947" s="331"/>
      <c r="T947" s="331"/>
      <c r="U947" s="331"/>
      <c r="V947" s="331"/>
      <c r="W947" s="331"/>
      <c r="X947" s="331"/>
      <c r="Y947" s="331"/>
      <c r="Z947" s="331"/>
      <c r="AA947" s="331"/>
      <c r="AB947" s="331"/>
      <c r="AC947" s="331"/>
    </row>
    <row r="948" spans="1:29" ht="33" customHeight="1">
      <c r="A948" s="189">
        <v>21</v>
      </c>
      <c r="B948" s="188" t="s">
        <v>69</v>
      </c>
      <c r="C948" s="307" t="s">
        <v>82</v>
      </c>
      <c r="D948" s="308"/>
      <c r="E948" s="182"/>
      <c r="F948" s="191" t="s">
        <v>71</v>
      </c>
      <c r="G948" s="201">
        <v>58</v>
      </c>
      <c r="H948" s="201">
        <v>40</v>
      </c>
      <c r="I948" s="201">
        <v>21</v>
      </c>
      <c r="J948" s="201">
        <v>58</v>
      </c>
      <c r="K948" s="201">
        <v>40</v>
      </c>
      <c r="L948" s="201">
        <v>21</v>
      </c>
      <c r="M948" s="89"/>
      <c r="N948" s="219"/>
      <c r="O948" s="199"/>
      <c r="P948" s="200"/>
      <c r="Q948" s="309"/>
      <c r="R948" s="309"/>
      <c r="S948" s="86"/>
      <c r="T948" s="86"/>
      <c r="U948" s="86"/>
      <c r="V948" s="86"/>
      <c r="W948" s="86"/>
      <c r="X948" s="86"/>
      <c r="Y948" s="86"/>
      <c r="Z948" s="86"/>
      <c r="AA948" s="86"/>
      <c r="AB948" s="86"/>
      <c r="AC948" s="86"/>
    </row>
    <row r="949" spans="1:29" ht="33" customHeight="1">
      <c r="A949" s="189">
        <v>22</v>
      </c>
      <c r="B949" s="188" t="s">
        <v>69</v>
      </c>
      <c r="C949" s="307" t="s">
        <v>103</v>
      </c>
      <c r="D949" s="308"/>
      <c r="E949" s="179"/>
      <c r="F949" s="191" t="s">
        <v>71</v>
      </c>
      <c r="G949" s="201">
        <v>9</v>
      </c>
      <c r="H949" s="201">
        <v>9</v>
      </c>
      <c r="I949" s="201">
        <v>7</v>
      </c>
      <c r="J949" s="201">
        <v>9</v>
      </c>
      <c r="K949" s="201">
        <v>9</v>
      </c>
      <c r="L949" s="201">
        <v>7</v>
      </c>
      <c r="M949" s="89"/>
      <c r="N949" s="219"/>
      <c r="O949" s="199"/>
      <c r="P949" s="200"/>
      <c r="Q949" s="309"/>
      <c r="R949" s="309"/>
      <c r="S949" s="86"/>
      <c r="T949" s="86"/>
      <c r="U949" s="86"/>
      <c r="V949" s="86"/>
      <c r="W949" s="86"/>
      <c r="X949" s="86"/>
      <c r="Y949" s="86"/>
      <c r="Z949" s="86"/>
      <c r="AA949" s="86"/>
      <c r="AB949" s="86"/>
      <c r="AC949" s="86"/>
    </row>
    <row r="950" spans="1:29" ht="33" customHeight="1">
      <c r="A950" s="189">
        <v>23</v>
      </c>
      <c r="B950" s="188" t="s">
        <v>69</v>
      </c>
      <c r="C950" s="307" t="s">
        <v>104</v>
      </c>
      <c r="D950" s="308"/>
      <c r="E950" s="179"/>
      <c r="F950" s="191" t="s">
        <v>71</v>
      </c>
      <c r="G950" s="201">
        <v>5</v>
      </c>
      <c r="H950" s="201">
        <v>1</v>
      </c>
      <c r="I950" s="201">
        <v>1</v>
      </c>
      <c r="J950" s="201">
        <v>5</v>
      </c>
      <c r="K950" s="201">
        <v>1</v>
      </c>
      <c r="L950" s="201">
        <v>1</v>
      </c>
      <c r="M950" s="89"/>
      <c r="N950" s="219"/>
      <c r="O950" s="199"/>
      <c r="P950" s="200"/>
      <c r="Q950" s="309"/>
      <c r="R950" s="309"/>
      <c r="S950" s="86"/>
      <c r="T950" s="86"/>
      <c r="U950" s="86"/>
      <c r="V950" s="86"/>
      <c r="W950" s="86"/>
      <c r="X950" s="86"/>
      <c r="Y950" s="86"/>
      <c r="Z950" s="86"/>
      <c r="AA950" s="86"/>
      <c r="AB950" s="86"/>
      <c r="AC950" s="86"/>
    </row>
    <row r="951" spans="1:29" ht="27.75" customHeight="1">
      <c r="A951" s="317" t="s">
        <v>135</v>
      </c>
      <c r="B951" s="318"/>
      <c r="C951" s="317" t="s">
        <v>68</v>
      </c>
      <c r="D951" s="318"/>
      <c r="E951" s="183"/>
      <c r="F951" s="321" t="s">
        <v>136</v>
      </c>
      <c r="G951" s="322" t="s">
        <v>155</v>
      </c>
      <c r="H951" s="323"/>
      <c r="I951" s="323"/>
      <c r="J951" s="322" t="s">
        <v>154</v>
      </c>
      <c r="K951" s="323"/>
      <c r="L951" s="324"/>
      <c r="M951" s="92"/>
      <c r="O951" s="325"/>
      <c r="P951" s="325"/>
      <c r="Q951" s="325"/>
      <c r="R951" s="325"/>
      <c r="S951" s="316"/>
      <c r="T951" s="316"/>
      <c r="U951" s="316"/>
      <c r="V951" s="316"/>
      <c r="W951" s="316"/>
      <c r="X951" s="316"/>
      <c r="Y951" s="316"/>
      <c r="Z951" s="316"/>
      <c r="AA951" s="316"/>
      <c r="AB951" s="316"/>
      <c r="AC951" s="316"/>
    </row>
    <row r="952" spans="1:29" ht="125.25" customHeight="1">
      <c r="A952" s="319"/>
      <c r="B952" s="320"/>
      <c r="C952" s="319"/>
      <c r="D952" s="320"/>
      <c r="E952" s="184"/>
      <c r="F952" s="321"/>
      <c r="G952" s="153" t="s">
        <v>151</v>
      </c>
      <c r="H952" s="153" t="s">
        <v>152</v>
      </c>
      <c r="I952" s="153" t="s">
        <v>153</v>
      </c>
      <c r="J952" s="153" t="s">
        <v>151</v>
      </c>
      <c r="K952" s="153" t="s">
        <v>152</v>
      </c>
      <c r="L952" s="153" t="s">
        <v>153</v>
      </c>
      <c r="O952" s="325"/>
      <c r="P952" s="325"/>
      <c r="Q952" s="325"/>
      <c r="R952" s="325"/>
      <c r="S952" s="193"/>
      <c r="T952" s="193"/>
      <c r="U952" s="193"/>
      <c r="V952" s="193"/>
      <c r="W952" s="193"/>
      <c r="X952" s="193"/>
      <c r="Y952" s="193"/>
      <c r="Z952" s="193"/>
      <c r="AA952" s="193"/>
      <c r="AB952" s="193"/>
      <c r="AC952" s="193"/>
    </row>
    <row r="953" spans="1:29" ht="30" customHeight="1">
      <c r="A953" s="189">
        <v>24</v>
      </c>
      <c r="B953" s="188" t="s">
        <v>69</v>
      </c>
      <c r="C953" s="307" t="s">
        <v>131</v>
      </c>
      <c r="D953" s="308"/>
      <c r="E953" s="179"/>
      <c r="F953" s="191" t="s">
        <v>71</v>
      </c>
      <c r="G953" s="202" t="s">
        <v>156</v>
      </c>
      <c r="H953" s="202" t="s">
        <v>156</v>
      </c>
      <c r="I953" s="202" t="s">
        <v>156</v>
      </c>
      <c r="J953" s="202" t="s">
        <v>156</v>
      </c>
      <c r="K953" s="202" t="s">
        <v>156</v>
      </c>
      <c r="L953" s="202" t="s">
        <v>156</v>
      </c>
      <c r="M953" s="89"/>
      <c r="N953" s="219"/>
      <c r="O953" s="199"/>
      <c r="P953" s="200"/>
      <c r="Q953" s="309"/>
      <c r="R953" s="309"/>
      <c r="S953" s="86"/>
      <c r="T953" s="86"/>
      <c r="U953" s="86"/>
      <c r="V953" s="86"/>
      <c r="W953" s="86"/>
      <c r="X953" s="86"/>
      <c r="Y953" s="86"/>
      <c r="Z953" s="86"/>
      <c r="AA953" s="86"/>
      <c r="AB953" s="86"/>
      <c r="AC953" s="86"/>
    </row>
    <row r="954" spans="1:29" ht="30" customHeight="1">
      <c r="A954" s="189">
        <v>25</v>
      </c>
      <c r="B954" s="188" t="s">
        <v>69</v>
      </c>
      <c r="C954" s="307" t="s">
        <v>83</v>
      </c>
      <c r="D954" s="308"/>
      <c r="E954" s="179"/>
      <c r="F954" s="191" t="s">
        <v>71</v>
      </c>
      <c r="G954" s="201">
        <v>25</v>
      </c>
      <c r="H954" s="201">
        <v>40</v>
      </c>
      <c r="I954" s="201">
        <v>22</v>
      </c>
      <c r="J954" s="201">
        <v>25</v>
      </c>
      <c r="K954" s="201">
        <v>40</v>
      </c>
      <c r="L954" s="201">
        <v>22</v>
      </c>
      <c r="M954" s="89"/>
      <c r="N954" s="219"/>
      <c r="O954" s="199"/>
      <c r="P954" s="200"/>
      <c r="Q954" s="309"/>
      <c r="R954" s="309"/>
      <c r="S954" s="86"/>
      <c r="T954" s="86"/>
      <c r="U954" s="86"/>
      <c r="V954" s="86"/>
      <c r="W954" s="86"/>
      <c r="X954" s="86"/>
      <c r="Y954" s="86"/>
      <c r="Z954" s="86"/>
      <c r="AA954" s="86"/>
      <c r="AB954" s="86"/>
      <c r="AC954" s="86"/>
    </row>
    <row r="955" spans="1:29" ht="30" customHeight="1">
      <c r="A955" s="189">
        <v>26</v>
      </c>
      <c r="B955" s="188" t="s">
        <v>69</v>
      </c>
      <c r="C955" s="307" t="s">
        <v>84</v>
      </c>
      <c r="D955" s="308"/>
      <c r="E955" s="179"/>
      <c r="F955" s="191" t="s">
        <v>71</v>
      </c>
      <c r="G955" s="201">
        <v>5</v>
      </c>
      <c r="H955" s="202" t="s">
        <v>156</v>
      </c>
      <c r="I955" s="202" t="s">
        <v>156</v>
      </c>
      <c r="J955" s="201">
        <v>5</v>
      </c>
      <c r="K955" s="202" t="s">
        <v>156</v>
      </c>
      <c r="L955" s="202" t="s">
        <v>156</v>
      </c>
      <c r="M955" s="89"/>
      <c r="N955" s="219"/>
      <c r="O955" s="199"/>
      <c r="P955" s="200"/>
      <c r="Q955" s="309"/>
      <c r="R955" s="309"/>
      <c r="S955" s="86"/>
      <c r="T955" s="86"/>
      <c r="U955" s="86"/>
      <c r="V955" s="86"/>
      <c r="W955" s="86"/>
      <c r="X955" s="86"/>
      <c r="Y955" s="86"/>
      <c r="Z955" s="86"/>
      <c r="AA955" s="86"/>
      <c r="AB955" s="86"/>
      <c r="AC955" s="86"/>
    </row>
    <row r="956" spans="1:29" ht="30" customHeight="1">
      <c r="A956" s="189">
        <v>27</v>
      </c>
      <c r="B956" s="188" t="s">
        <v>69</v>
      </c>
      <c r="C956" s="307" t="s">
        <v>85</v>
      </c>
      <c r="D956" s="308"/>
      <c r="E956" s="179"/>
      <c r="F956" s="191" t="s">
        <v>71</v>
      </c>
      <c r="G956" s="201">
        <v>3</v>
      </c>
      <c r="H956" s="201">
        <v>1</v>
      </c>
      <c r="I956" s="201">
        <v>8</v>
      </c>
      <c r="J956" s="201">
        <v>3</v>
      </c>
      <c r="K956" s="201">
        <v>1</v>
      </c>
      <c r="L956" s="201">
        <v>8</v>
      </c>
      <c r="M956" s="89"/>
      <c r="N956" s="219"/>
      <c r="O956" s="199"/>
      <c r="P956" s="200"/>
      <c r="Q956" s="309"/>
      <c r="R956" s="309"/>
      <c r="S956" s="86"/>
      <c r="T956" s="86"/>
      <c r="U956" s="86"/>
      <c r="V956" s="86"/>
      <c r="W956" s="86"/>
      <c r="X956" s="86"/>
      <c r="Y956" s="86"/>
      <c r="Z956" s="86"/>
      <c r="AA956" s="86"/>
      <c r="AB956" s="86"/>
      <c r="AC956" s="86"/>
    </row>
    <row r="957" spans="1:29" ht="30" customHeight="1">
      <c r="A957" s="189">
        <v>28</v>
      </c>
      <c r="B957" s="188" t="s">
        <v>69</v>
      </c>
      <c r="C957" s="307" t="s">
        <v>132</v>
      </c>
      <c r="D957" s="308"/>
      <c r="E957" s="179"/>
      <c r="F957" s="191" t="s">
        <v>71</v>
      </c>
      <c r="G957" s="202" t="s">
        <v>156</v>
      </c>
      <c r="H957" s="202" t="s">
        <v>156</v>
      </c>
      <c r="I957" s="202" t="s">
        <v>156</v>
      </c>
      <c r="J957" s="202" t="s">
        <v>156</v>
      </c>
      <c r="K957" s="202" t="s">
        <v>156</v>
      </c>
      <c r="L957" s="202" t="s">
        <v>156</v>
      </c>
      <c r="M957" s="89"/>
      <c r="N957" s="219"/>
      <c r="O957" s="199"/>
      <c r="P957" s="200"/>
      <c r="Q957" s="309"/>
      <c r="R957" s="309"/>
      <c r="S957" s="86"/>
      <c r="T957" s="86"/>
      <c r="U957" s="86"/>
      <c r="V957" s="86"/>
      <c r="W957" s="86"/>
      <c r="X957" s="86"/>
      <c r="Y957" s="86"/>
      <c r="Z957" s="86"/>
      <c r="AA957" s="86"/>
      <c r="AB957" s="86"/>
      <c r="AC957" s="86"/>
    </row>
    <row r="958" spans="1:29" ht="30" customHeight="1">
      <c r="A958" s="189">
        <v>29</v>
      </c>
      <c r="B958" s="188" t="s">
        <v>69</v>
      </c>
      <c r="C958" s="307" t="s">
        <v>86</v>
      </c>
      <c r="D958" s="308"/>
      <c r="E958" s="179"/>
      <c r="F958" s="191" t="s">
        <v>71</v>
      </c>
      <c r="G958" s="201">
        <v>10</v>
      </c>
      <c r="H958" s="201">
        <v>12</v>
      </c>
      <c r="I958" s="201">
        <v>9</v>
      </c>
      <c r="J958" s="201">
        <v>10</v>
      </c>
      <c r="K958" s="201">
        <v>12</v>
      </c>
      <c r="L958" s="201">
        <v>9</v>
      </c>
      <c r="M958" s="89"/>
      <c r="N958" s="219"/>
      <c r="O958" s="199"/>
      <c r="P958" s="200"/>
      <c r="Q958" s="309"/>
      <c r="R958" s="309"/>
      <c r="S958" s="86"/>
      <c r="T958" s="86"/>
      <c r="U958" s="86"/>
      <c r="V958" s="86"/>
      <c r="W958" s="86"/>
      <c r="X958" s="86"/>
      <c r="Y958" s="86"/>
      <c r="Z958" s="86"/>
      <c r="AA958" s="86"/>
      <c r="AB958" s="86"/>
      <c r="AC958" s="86"/>
    </row>
    <row r="959" spans="1:29" ht="30" customHeight="1">
      <c r="A959" s="189">
        <v>30</v>
      </c>
      <c r="B959" s="188" t="s">
        <v>69</v>
      </c>
      <c r="C959" s="307" t="s">
        <v>87</v>
      </c>
      <c r="D959" s="308"/>
      <c r="E959" s="179"/>
      <c r="F959" s="191" t="s">
        <v>71</v>
      </c>
      <c r="G959" s="202" t="s">
        <v>156</v>
      </c>
      <c r="H959" s="202" t="s">
        <v>156</v>
      </c>
      <c r="I959" s="202" t="s">
        <v>156</v>
      </c>
      <c r="J959" s="202" t="s">
        <v>156</v>
      </c>
      <c r="K959" s="202" t="s">
        <v>156</v>
      </c>
      <c r="L959" s="202" t="s">
        <v>156</v>
      </c>
      <c r="M959" s="89"/>
      <c r="N959" s="219"/>
      <c r="O959" s="199"/>
      <c r="P959" s="200"/>
      <c r="Q959" s="309"/>
      <c r="R959" s="309"/>
      <c r="S959" s="86"/>
      <c r="T959" s="86"/>
      <c r="U959" s="86"/>
      <c r="V959" s="86"/>
      <c r="W959" s="86"/>
      <c r="X959" s="86"/>
      <c r="Y959" s="86"/>
      <c r="Z959" s="86"/>
      <c r="AA959" s="86"/>
      <c r="AB959" s="86"/>
      <c r="AC959" s="86"/>
    </row>
    <row r="960" spans="1:29" ht="30" customHeight="1">
      <c r="A960" s="189">
        <v>31</v>
      </c>
      <c r="B960" s="188" t="s">
        <v>69</v>
      </c>
      <c r="C960" s="307" t="s">
        <v>105</v>
      </c>
      <c r="D960" s="308"/>
      <c r="E960" s="179"/>
      <c r="F960" s="191" t="s">
        <v>71</v>
      </c>
      <c r="G960" s="201">
        <v>2</v>
      </c>
      <c r="H960" s="203" t="s">
        <v>156</v>
      </c>
      <c r="I960" s="201">
        <v>8</v>
      </c>
      <c r="J960" s="201">
        <v>2</v>
      </c>
      <c r="K960" s="203" t="s">
        <v>156</v>
      </c>
      <c r="L960" s="201">
        <v>8</v>
      </c>
      <c r="M960" s="89"/>
      <c r="N960" s="219"/>
      <c r="O960" s="199"/>
      <c r="P960" s="200"/>
      <c r="Q960" s="309"/>
      <c r="R960" s="309"/>
      <c r="S960" s="86"/>
      <c r="T960" s="86"/>
      <c r="U960" s="86"/>
      <c r="V960" s="86"/>
      <c r="W960" s="86"/>
      <c r="X960" s="86"/>
      <c r="Y960" s="86"/>
      <c r="Z960" s="86"/>
      <c r="AA960" s="86"/>
      <c r="AB960" s="86"/>
      <c r="AC960" s="86"/>
    </row>
    <row r="961" spans="1:29" ht="30" customHeight="1">
      <c r="A961" s="189">
        <v>32</v>
      </c>
      <c r="B961" s="188" t="s">
        <v>69</v>
      </c>
      <c r="C961" s="307" t="s">
        <v>133</v>
      </c>
      <c r="D961" s="308"/>
      <c r="E961" s="179"/>
      <c r="F961" s="191" t="s">
        <v>71</v>
      </c>
      <c r="G961" s="202" t="s">
        <v>156</v>
      </c>
      <c r="H961" s="202" t="s">
        <v>156</v>
      </c>
      <c r="I961" s="202" t="s">
        <v>156</v>
      </c>
      <c r="J961" s="202" t="s">
        <v>156</v>
      </c>
      <c r="K961" s="202" t="s">
        <v>156</v>
      </c>
      <c r="L961" s="202" t="s">
        <v>156</v>
      </c>
      <c r="M961" s="89"/>
      <c r="N961" s="219"/>
      <c r="O961" s="199"/>
      <c r="P961" s="200"/>
      <c r="Q961" s="309"/>
      <c r="R961" s="309"/>
      <c r="S961" s="86"/>
      <c r="T961" s="86"/>
      <c r="U961" s="86"/>
      <c r="V961" s="86"/>
      <c r="W961" s="86"/>
      <c r="X961" s="86"/>
      <c r="Y961" s="86"/>
      <c r="Z961" s="86"/>
      <c r="AA961" s="86"/>
      <c r="AB961" s="86"/>
      <c r="AC961" s="86"/>
    </row>
    <row r="962" spans="1:29" ht="30" customHeight="1">
      <c r="A962" s="189">
        <v>33</v>
      </c>
      <c r="B962" s="188" t="s">
        <v>69</v>
      </c>
      <c r="C962" s="307" t="s">
        <v>88</v>
      </c>
      <c r="D962" s="308"/>
      <c r="E962" s="179"/>
      <c r="F962" s="191" t="s">
        <v>71</v>
      </c>
      <c r="G962" s="201">
        <v>3</v>
      </c>
      <c r="H962" s="201">
        <v>7</v>
      </c>
      <c r="I962" s="201">
        <v>7</v>
      </c>
      <c r="J962" s="201">
        <v>3</v>
      </c>
      <c r="K962" s="201">
        <v>7</v>
      </c>
      <c r="L962" s="201">
        <v>7</v>
      </c>
      <c r="M962" s="89"/>
      <c r="N962" s="219"/>
      <c r="O962" s="199"/>
      <c r="P962" s="200"/>
      <c r="Q962" s="309"/>
      <c r="R962" s="309"/>
      <c r="S962" s="86"/>
      <c r="T962" s="86"/>
      <c r="U962" s="86"/>
      <c r="V962" s="86"/>
      <c r="W962" s="86"/>
      <c r="X962" s="86"/>
      <c r="Y962" s="86"/>
      <c r="Z962" s="86"/>
      <c r="AA962" s="86"/>
      <c r="AB962" s="86"/>
      <c r="AC962" s="86"/>
    </row>
    <row r="963" spans="1:29" ht="30" customHeight="1">
      <c r="A963" s="189">
        <v>34</v>
      </c>
      <c r="B963" s="188" t="s">
        <v>69</v>
      </c>
      <c r="C963" s="307" t="s">
        <v>89</v>
      </c>
      <c r="D963" s="308"/>
      <c r="E963" s="179"/>
      <c r="F963" s="191" t="s">
        <v>71</v>
      </c>
      <c r="G963" s="202" t="s">
        <v>156</v>
      </c>
      <c r="H963" s="202" t="s">
        <v>156</v>
      </c>
      <c r="I963" s="202" t="s">
        <v>156</v>
      </c>
      <c r="J963" s="202" t="s">
        <v>156</v>
      </c>
      <c r="K963" s="202" t="s">
        <v>156</v>
      </c>
      <c r="L963" s="202" t="s">
        <v>156</v>
      </c>
      <c r="M963" s="89"/>
      <c r="N963" s="219"/>
      <c r="O963" s="199"/>
      <c r="P963" s="200"/>
      <c r="Q963" s="309"/>
      <c r="R963" s="309"/>
      <c r="S963" s="86"/>
      <c r="T963" s="86"/>
      <c r="U963" s="86"/>
      <c r="V963" s="86"/>
      <c r="W963" s="86"/>
      <c r="X963" s="86"/>
      <c r="Y963" s="86"/>
      <c r="Z963" s="86"/>
      <c r="AA963" s="86"/>
      <c r="AB963" s="86"/>
      <c r="AC963" s="86"/>
    </row>
    <row r="964" spans="1:29" ht="30" customHeight="1">
      <c r="A964" s="189">
        <v>35</v>
      </c>
      <c r="B964" s="188" t="s">
        <v>69</v>
      </c>
      <c r="C964" s="307" t="s">
        <v>140</v>
      </c>
      <c r="D964" s="308"/>
      <c r="E964" s="179"/>
      <c r="F964" s="191" t="s">
        <v>71</v>
      </c>
      <c r="G964" s="202" t="s">
        <v>156</v>
      </c>
      <c r="H964" s="202" t="s">
        <v>156</v>
      </c>
      <c r="I964" s="201">
        <v>3</v>
      </c>
      <c r="J964" s="202" t="s">
        <v>156</v>
      </c>
      <c r="K964" s="202" t="s">
        <v>156</v>
      </c>
      <c r="L964" s="201">
        <v>3</v>
      </c>
      <c r="M964" s="89"/>
      <c r="N964" s="220"/>
      <c r="O964" s="199"/>
      <c r="P964" s="200"/>
      <c r="Q964" s="309"/>
      <c r="R964" s="309"/>
      <c r="S964" s="86"/>
      <c r="T964" s="86"/>
      <c r="U964" s="86"/>
      <c r="V964" s="86"/>
      <c r="W964" s="86"/>
      <c r="X964" s="86"/>
      <c r="Y964" s="86"/>
      <c r="Z964" s="86"/>
      <c r="AA964" s="86"/>
      <c r="AB964" s="86"/>
      <c r="AC964" s="86"/>
    </row>
    <row r="965" spans="1:29" ht="30" customHeight="1">
      <c r="A965" s="189">
        <v>36</v>
      </c>
      <c r="B965" s="188" t="s">
        <v>69</v>
      </c>
      <c r="C965" s="307" t="s">
        <v>134</v>
      </c>
      <c r="D965" s="308"/>
      <c r="E965" s="179"/>
      <c r="F965" s="191" t="s">
        <v>71</v>
      </c>
      <c r="G965" s="202" t="s">
        <v>156</v>
      </c>
      <c r="H965" s="202" t="s">
        <v>156</v>
      </c>
      <c r="I965" s="202" t="s">
        <v>156</v>
      </c>
      <c r="J965" s="202" t="s">
        <v>156</v>
      </c>
      <c r="K965" s="202" t="s">
        <v>156</v>
      </c>
      <c r="L965" s="202" t="s">
        <v>156</v>
      </c>
      <c r="M965" s="89"/>
      <c r="N965" s="220"/>
      <c r="O965" s="199"/>
      <c r="P965" s="200"/>
      <c r="Q965" s="309"/>
      <c r="R965" s="309"/>
      <c r="S965" s="86"/>
      <c r="T965" s="86"/>
      <c r="U965" s="86"/>
      <c r="V965" s="86"/>
      <c r="W965" s="86"/>
      <c r="X965" s="86"/>
      <c r="Y965" s="86"/>
      <c r="Z965" s="86"/>
      <c r="AA965" s="86"/>
      <c r="AB965" s="86"/>
      <c r="AC965" s="86"/>
    </row>
    <row r="966" spans="1:29" ht="30" customHeight="1">
      <c r="A966" s="189">
        <v>37</v>
      </c>
      <c r="B966" s="188" t="s">
        <v>69</v>
      </c>
      <c r="C966" s="307" t="s">
        <v>90</v>
      </c>
      <c r="D966" s="308"/>
      <c r="E966" s="179"/>
      <c r="F966" s="191" t="s">
        <v>71</v>
      </c>
      <c r="G966" s="202" t="s">
        <v>156</v>
      </c>
      <c r="H966" s="202" t="s">
        <v>156</v>
      </c>
      <c r="I966" s="202" t="s">
        <v>156</v>
      </c>
      <c r="J966" s="202" t="s">
        <v>156</v>
      </c>
      <c r="K966" s="202" t="s">
        <v>156</v>
      </c>
      <c r="L966" s="202" t="s">
        <v>156</v>
      </c>
      <c r="M966" s="89"/>
      <c r="N966" s="220"/>
      <c r="O966" s="199"/>
      <c r="P966" s="200"/>
      <c r="Q966" s="309"/>
      <c r="R966" s="309"/>
      <c r="S966" s="86"/>
      <c r="T966" s="86"/>
      <c r="U966" s="86"/>
      <c r="V966" s="86"/>
      <c r="W966" s="86"/>
      <c r="X966" s="86"/>
      <c r="Y966" s="86"/>
      <c r="Z966" s="86"/>
      <c r="AA966" s="86"/>
      <c r="AB966" s="86"/>
      <c r="AC966" s="86"/>
    </row>
    <row r="967" spans="1:29" ht="30" customHeight="1">
      <c r="A967" s="189">
        <v>38</v>
      </c>
      <c r="B967" s="188" t="s">
        <v>69</v>
      </c>
      <c r="C967" s="307" t="s">
        <v>106</v>
      </c>
      <c r="D967" s="308"/>
      <c r="E967" s="150"/>
      <c r="F967" s="191" t="s">
        <v>71</v>
      </c>
      <c r="G967" s="202" t="s">
        <v>156</v>
      </c>
      <c r="H967" s="202" t="s">
        <v>156</v>
      </c>
      <c r="I967" s="202" t="s">
        <v>156</v>
      </c>
      <c r="J967" s="202" t="s">
        <v>156</v>
      </c>
      <c r="K967" s="202" t="s">
        <v>156</v>
      </c>
      <c r="L967" s="202" t="s">
        <v>156</v>
      </c>
      <c r="M967" s="89"/>
      <c r="N967" s="220"/>
      <c r="O967" s="199"/>
      <c r="P967" s="200"/>
      <c r="Q967" s="309"/>
      <c r="R967" s="309"/>
      <c r="S967" s="86"/>
      <c r="T967" s="86"/>
      <c r="U967" s="86"/>
      <c r="V967" s="86"/>
      <c r="W967" s="86"/>
      <c r="X967" s="86"/>
      <c r="Y967" s="86"/>
      <c r="Z967" s="86"/>
      <c r="AA967" s="86"/>
      <c r="AB967" s="86"/>
      <c r="AC967" s="86"/>
    </row>
    <row r="968" spans="1:29" ht="25.5" customHeight="1">
      <c r="A968" s="310" t="s">
        <v>92</v>
      </c>
      <c r="B968" s="310"/>
      <c r="C968" s="310"/>
      <c r="D968" s="310"/>
      <c r="E968" s="310"/>
      <c r="F968" s="310"/>
      <c r="G968" s="310"/>
      <c r="H968" s="310"/>
      <c r="I968" s="310"/>
      <c r="J968" s="310"/>
      <c r="K968" s="310"/>
      <c r="L968" s="310"/>
      <c r="M968" s="92"/>
    </row>
    <row r="969" spans="1:29" ht="19.5" customHeight="1">
      <c r="A969" s="139"/>
      <c r="B969" s="139"/>
      <c r="C969" s="140"/>
      <c r="D969" s="140" t="s">
        <v>145</v>
      </c>
      <c r="E969" s="140"/>
      <c r="F969" s="152" t="s">
        <v>54</v>
      </c>
      <c r="G969" s="152"/>
      <c r="H969" s="152"/>
      <c r="I969" s="152"/>
      <c r="J969" s="152" t="s">
        <v>144</v>
      </c>
      <c r="K969" s="152"/>
      <c r="L969" s="140"/>
      <c r="M969" s="94"/>
    </row>
    <row r="970" spans="1:29" ht="28.5" customHeight="1">
      <c r="A970" s="310" t="s">
        <v>93</v>
      </c>
      <c r="B970" s="310"/>
      <c r="C970" s="310"/>
      <c r="D970" s="310"/>
      <c r="E970" s="310"/>
      <c r="F970" s="310"/>
      <c r="G970" s="310"/>
      <c r="H970" s="310"/>
      <c r="I970" s="310"/>
      <c r="J970" s="310"/>
      <c r="K970" s="310"/>
      <c r="L970" s="310"/>
      <c r="M970" s="92"/>
      <c r="N970" s="311"/>
      <c r="O970" s="311"/>
      <c r="P970" s="311"/>
    </row>
    <row r="971" spans="1:29" ht="20.25" customHeight="1">
      <c r="A971" s="139"/>
      <c r="B971" s="139"/>
      <c r="C971" s="139"/>
      <c r="D971" s="140" t="s">
        <v>145</v>
      </c>
      <c r="E971" s="140"/>
      <c r="F971" s="152" t="s">
        <v>54</v>
      </c>
      <c r="G971" s="152"/>
      <c r="H971" s="152"/>
      <c r="I971" s="152"/>
      <c r="J971" s="152" t="s">
        <v>144</v>
      </c>
      <c r="K971" s="152"/>
      <c r="L971" s="139"/>
      <c r="M971" s="94"/>
      <c r="N971" s="221"/>
      <c r="O971" s="95"/>
      <c r="P971" s="95"/>
    </row>
    <row r="972" spans="1:29" ht="26.25" customHeight="1">
      <c r="A972" s="312" t="s">
        <v>94</v>
      </c>
      <c r="B972" s="312"/>
      <c r="C972" s="312"/>
      <c r="D972" s="312"/>
      <c r="E972" s="312"/>
      <c r="F972" s="312"/>
      <c r="G972" s="312"/>
      <c r="H972" s="312"/>
      <c r="I972" s="312"/>
      <c r="J972" s="312"/>
      <c r="K972" s="312"/>
      <c r="L972" s="312"/>
      <c r="M972" s="92"/>
    </row>
    <row r="973" spans="1:29" ht="22.5" customHeight="1">
      <c r="A973" s="120"/>
      <c r="B973" s="120"/>
      <c r="C973" s="120"/>
      <c r="D973" s="120"/>
      <c r="E973" s="120"/>
      <c r="F973" s="120"/>
      <c r="G973" s="120"/>
      <c r="H973" s="120"/>
      <c r="I973" s="120"/>
      <c r="J973" s="120"/>
      <c r="K973" s="120"/>
      <c r="L973" s="120"/>
      <c r="M973" s="94"/>
    </row>
    <row r="974" spans="1:29" ht="22.5" customHeight="1">
      <c r="A974" s="313" t="s">
        <v>95</v>
      </c>
      <c r="B974" s="313"/>
      <c r="C974" s="313"/>
      <c r="D974" s="313"/>
      <c r="E974" s="313"/>
      <c r="F974" s="313"/>
      <c r="G974" s="313"/>
      <c r="H974" s="313"/>
      <c r="I974" s="313"/>
      <c r="J974" s="313"/>
      <c r="K974" s="313"/>
      <c r="L974" s="313"/>
      <c r="M974" s="92"/>
    </row>
    <row r="975" spans="1:29" ht="19.5" customHeight="1">
      <c r="A975" s="97"/>
      <c r="B975" s="97"/>
      <c r="C975" s="145"/>
      <c r="D975" s="97"/>
      <c r="E975" s="97"/>
      <c r="F975" s="97"/>
      <c r="G975" s="97"/>
      <c r="H975" s="97"/>
      <c r="I975" s="97"/>
      <c r="J975" s="97"/>
      <c r="K975" s="97"/>
      <c r="L975" s="97"/>
      <c r="M975" s="94"/>
    </row>
    <row r="976" spans="1:29" ht="5.25" customHeight="1">
      <c r="A976" s="94"/>
      <c r="B976" s="94"/>
      <c r="C976" s="146"/>
      <c r="D976" s="94"/>
      <c r="E976" s="94"/>
      <c r="F976" s="94"/>
      <c r="G976" s="94"/>
      <c r="H976" s="94"/>
      <c r="I976" s="94"/>
      <c r="J976" s="94"/>
      <c r="K976" s="94"/>
      <c r="L976" s="94"/>
      <c r="M976" s="94"/>
    </row>
    <row r="977" spans="1:16" ht="16.5" customHeight="1">
      <c r="A977" s="314" t="s">
        <v>96</v>
      </c>
      <c r="B977" s="314"/>
      <c r="C977" s="314"/>
      <c r="D977" s="314"/>
      <c r="E977" s="98"/>
      <c r="F977" s="98"/>
      <c r="G977" s="98"/>
      <c r="H977" s="315" t="s">
        <v>97</v>
      </c>
      <c r="I977" s="315"/>
      <c r="J977" s="315"/>
      <c r="K977" s="315"/>
      <c r="L977" s="315"/>
      <c r="M977" s="94"/>
    </row>
    <row r="978" spans="1:16" ht="95.1" customHeight="1">
      <c r="A978" s="99"/>
      <c r="B978" s="101" t="str">
        <f>B908</f>
        <v>Ông Huỳnh Phước Hải        ….............</v>
      </c>
      <c r="C978" s="147"/>
      <c r="D978" s="99"/>
      <c r="E978" s="81"/>
      <c r="F978" s="100"/>
      <c r="G978" s="100"/>
      <c r="H978" s="306" t="str">
        <f>H908</f>
        <v>Ông Phạm Tấn Việt          …..................</v>
      </c>
      <c r="I978" s="306"/>
      <c r="J978" s="306"/>
      <c r="K978" s="306"/>
      <c r="L978" s="306"/>
      <c r="M978" s="94"/>
    </row>
    <row r="979" spans="1:16" ht="49.5" customHeight="1">
      <c r="A979" s="99"/>
      <c r="B979" s="99"/>
      <c r="C979" s="147"/>
      <c r="D979" s="99"/>
      <c r="E979" s="81"/>
      <c r="F979" s="100"/>
      <c r="G979" s="100"/>
      <c r="H979" s="100"/>
      <c r="I979" s="100"/>
      <c r="J979" s="99"/>
      <c r="K979" s="99"/>
      <c r="L979" s="99"/>
      <c r="M979" s="94"/>
    </row>
    <row r="980" spans="1:16" ht="21.75" customHeight="1">
      <c r="A980" s="346" t="s">
        <v>165</v>
      </c>
      <c r="B980" s="346"/>
      <c r="C980" s="346"/>
      <c r="D980" s="346"/>
      <c r="E980" s="346"/>
      <c r="F980" s="346"/>
      <c r="G980" s="346"/>
      <c r="H980" s="346"/>
      <c r="I980" s="346"/>
      <c r="J980" s="346"/>
      <c r="K980" s="346"/>
      <c r="L980" s="346"/>
      <c r="M980" s="82"/>
    </row>
    <row r="981" spans="1:16" ht="19.5">
      <c r="A981" s="84" t="str">
        <f>"Ngày "&amp;N982&amp;" tháng "&amp;O3&amp;" năm "&amp;P3&amp;""</f>
        <v>Ngày 15 tháng 07 năm 2026</v>
      </c>
      <c r="B981" s="84"/>
      <c r="C981" s="85"/>
      <c r="N981" s="216"/>
      <c r="O981" s="20"/>
      <c r="P981" s="20"/>
    </row>
    <row r="982" spans="1:16" ht="16.5">
      <c r="A982" s="337" t="s">
        <v>57</v>
      </c>
      <c r="B982" s="337"/>
      <c r="C982" s="337"/>
      <c r="D982" s="311"/>
      <c r="E982" s="311"/>
      <c r="F982" s="311"/>
      <c r="G982" s="95"/>
      <c r="H982" s="95"/>
      <c r="I982" s="95"/>
      <c r="J982" s="95"/>
      <c r="K982" s="95"/>
      <c r="L982" s="95"/>
      <c r="N982" s="217" t="s">
        <v>177</v>
      </c>
      <c r="O982" s="214"/>
      <c r="P982" s="17"/>
    </row>
    <row r="983" spans="1:16" ht="15.75" customHeight="1">
      <c r="A983" s="338"/>
      <c r="B983" s="338"/>
      <c r="C983" s="338"/>
      <c r="D983" s="339" t="s">
        <v>58</v>
      </c>
      <c r="E983" s="340"/>
      <c r="F983" s="340"/>
      <c r="G983" s="340"/>
      <c r="H983" s="341"/>
      <c r="I983" s="339" t="s">
        <v>59</v>
      </c>
      <c r="J983" s="340"/>
      <c r="K983" s="340"/>
      <c r="L983" s="341"/>
    </row>
    <row r="984" spans="1:16" ht="19.5" customHeight="1">
      <c r="A984" s="342" t="s">
        <v>60</v>
      </c>
      <c r="B984" s="342"/>
      <c r="C984" s="342"/>
      <c r="D984" s="343" t="s">
        <v>54</v>
      </c>
      <c r="E984" s="344"/>
      <c r="F984" s="344"/>
      <c r="G984" s="344"/>
      <c r="H984" s="345"/>
      <c r="I984" s="343" t="s">
        <v>54</v>
      </c>
      <c r="J984" s="344"/>
      <c r="K984" s="344"/>
      <c r="L984" s="345"/>
    </row>
    <row r="985" spans="1:16" ht="22.5" customHeight="1">
      <c r="A985" s="342" t="s">
        <v>61</v>
      </c>
      <c r="B985" s="342"/>
      <c r="C985" s="342"/>
      <c r="D985" s="343" t="s">
        <v>163</v>
      </c>
      <c r="E985" s="344"/>
      <c r="F985" s="344"/>
      <c r="G985" s="344"/>
      <c r="H985" s="345"/>
      <c r="I985" s="343" t="str">
        <f>D985</f>
        <v>31° - 34°</v>
      </c>
      <c r="J985" s="344"/>
      <c r="K985" s="344"/>
      <c r="L985" s="345"/>
    </row>
    <row r="986" spans="1:16" s="87" customFormat="1" ht="15.75">
      <c r="A986" s="310" t="s">
        <v>62</v>
      </c>
      <c r="B986" s="310"/>
      <c r="C986" s="310"/>
      <c r="D986" s="310"/>
      <c r="E986" s="310"/>
      <c r="F986" s="310"/>
      <c r="G986" s="310"/>
      <c r="H986" s="310"/>
      <c r="I986" s="310"/>
      <c r="J986" s="310"/>
      <c r="K986" s="310"/>
      <c r="L986" s="310"/>
      <c r="M986" s="85"/>
      <c r="N986" s="218"/>
    </row>
    <row r="987" spans="1:16" s="87" customFormat="1" ht="15.75">
      <c r="A987" s="332" t="s">
        <v>63</v>
      </c>
      <c r="B987" s="332"/>
      <c r="C987" s="332"/>
      <c r="D987" s="332"/>
      <c r="E987" s="332"/>
      <c r="F987" s="332"/>
      <c r="G987" s="332"/>
      <c r="H987" s="332"/>
      <c r="I987" s="332"/>
      <c r="J987" s="332"/>
      <c r="K987" s="332"/>
      <c r="L987" s="332"/>
      <c r="M987" s="85"/>
      <c r="N987" s="218"/>
    </row>
    <row r="988" spans="1:16" s="87" customFormat="1" ht="20.100000000000001" customHeight="1">
      <c r="A988" s="88"/>
      <c r="B988" s="88"/>
      <c r="C988" s="333" t="s">
        <v>64</v>
      </c>
      <c r="D988" s="334"/>
      <c r="E988" s="334"/>
      <c r="F988" s="334"/>
      <c r="G988" s="334"/>
      <c r="H988" s="334"/>
      <c r="I988" s="334"/>
      <c r="J988" s="334"/>
      <c r="K988" s="334"/>
      <c r="L988" s="334"/>
      <c r="M988" s="85"/>
      <c r="N988" s="218"/>
    </row>
    <row r="989" spans="1:16" s="87" customFormat="1" ht="20.100000000000001" customHeight="1">
      <c r="A989" s="88"/>
      <c r="B989" s="88"/>
      <c r="C989" s="333" t="s">
        <v>65</v>
      </c>
      <c r="D989" s="334"/>
      <c r="E989" s="334"/>
      <c r="F989" s="334"/>
      <c r="G989" s="334"/>
      <c r="H989" s="334"/>
      <c r="I989" s="334"/>
      <c r="J989" s="334"/>
      <c r="K989" s="334"/>
      <c r="L989" s="334"/>
      <c r="M989" s="85"/>
      <c r="N989" s="218"/>
    </row>
    <row r="990" spans="1:16" s="87" customFormat="1" ht="17.25" customHeight="1">
      <c r="A990" s="335" t="s">
        <v>66</v>
      </c>
      <c r="B990" s="335"/>
      <c r="C990" s="335"/>
      <c r="D990" s="335"/>
      <c r="E990" s="335"/>
      <c r="F990" s="335"/>
      <c r="G990" s="335"/>
      <c r="H990" s="335"/>
      <c r="I990" s="335"/>
      <c r="J990" s="335"/>
      <c r="K990" s="335"/>
      <c r="L990" s="335"/>
      <c r="M990" s="85"/>
      <c r="N990" s="218"/>
    </row>
    <row r="991" spans="1:16" s="87" customFormat="1" ht="7.5" customHeight="1">
      <c r="A991" s="119"/>
      <c r="B991" s="119"/>
      <c r="C991" s="119"/>
      <c r="D991" s="119"/>
      <c r="E991" s="119"/>
      <c r="F991" s="119"/>
      <c r="G991" s="119"/>
      <c r="H991" s="119"/>
      <c r="I991" s="119"/>
      <c r="J991" s="119"/>
      <c r="K991" s="119"/>
      <c r="L991" s="119"/>
      <c r="M991" s="85"/>
      <c r="N991" s="218"/>
    </row>
    <row r="992" spans="1:16" ht="15.75">
      <c r="A992" s="336" t="s">
        <v>67</v>
      </c>
      <c r="B992" s="336"/>
      <c r="C992" s="336"/>
      <c r="D992" s="336"/>
      <c r="E992" s="336"/>
      <c r="F992" s="336"/>
      <c r="G992" s="336"/>
      <c r="H992" s="336"/>
      <c r="I992" s="336"/>
      <c r="J992" s="336"/>
      <c r="K992" s="336"/>
      <c r="L992" s="336"/>
    </row>
    <row r="993" spans="1:29" ht="2.25" customHeight="1">
      <c r="A993" s="141"/>
      <c r="B993" s="141"/>
      <c r="C993" s="141"/>
      <c r="D993" s="141"/>
      <c r="E993" s="141"/>
      <c r="F993" s="141"/>
      <c r="G993" s="155"/>
      <c r="H993" s="155"/>
      <c r="I993" s="155"/>
      <c r="J993" s="155"/>
      <c r="K993" s="155"/>
      <c r="L993" s="155"/>
    </row>
    <row r="994" spans="1:29" ht="27.75" customHeight="1">
      <c r="A994" s="317" t="s">
        <v>135</v>
      </c>
      <c r="B994" s="318"/>
      <c r="C994" s="317" t="s">
        <v>68</v>
      </c>
      <c r="D994" s="318"/>
      <c r="E994" s="183"/>
      <c r="F994" s="321" t="s">
        <v>136</v>
      </c>
      <c r="G994" s="322" t="s">
        <v>155</v>
      </c>
      <c r="H994" s="323"/>
      <c r="I994" s="323"/>
      <c r="J994" s="322" t="s">
        <v>154</v>
      </c>
      <c r="K994" s="323"/>
      <c r="L994" s="324"/>
      <c r="M994" s="92"/>
      <c r="O994" s="325"/>
      <c r="P994" s="325"/>
      <c r="Q994" s="325"/>
      <c r="R994" s="325"/>
      <c r="S994" s="316"/>
      <c r="T994" s="316"/>
      <c r="U994" s="316"/>
      <c r="V994" s="316"/>
      <c r="W994" s="316"/>
      <c r="X994" s="316"/>
      <c r="Y994" s="316"/>
      <c r="Z994" s="316"/>
      <c r="AA994" s="316"/>
      <c r="AB994" s="316"/>
      <c r="AC994" s="316"/>
    </row>
    <row r="995" spans="1:29" ht="125.25" customHeight="1">
      <c r="A995" s="319"/>
      <c r="B995" s="320"/>
      <c r="C995" s="319"/>
      <c r="D995" s="320"/>
      <c r="E995" s="184"/>
      <c r="F995" s="321"/>
      <c r="G995" s="153" t="s">
        <v>151</v>
      </c>
      <c r="H995" s="153" t="s">
        <v>152</v>
      </c>
      <c r="I995" s="153" t="s">
        <v>153</v>
      </c>
      <c r="J995" s="153" t="s">
        <v>151</v>
      </c>
      <c r="K995" s="153" t="s">
        <v>152</v>
      </c>
      <c r="L995" s="153" t="s">
        <v>153</v>
      </c>
      <c r="O995" s="325"/>
      <c r="P995" s="325"/>
      <c r="Q995" s="325"/>
      <c r="R995" s="325"/>
      <c r="S995" s="193"/>
      <c r="T995" s="193"/>
      <c r="U995" s="193"/>
      <c r="V995" s="193"/>
      <c r="W995" s="193"/>
      <c r="X995" s="193"/>
      <c r="Y995" s="193"/>
      <c r="Z995" s="193"/>
      <c r="AA995" s="193"/>
      <c r="AB995" s="193"/>
      <c r="AC995" s="193"/>
    </row>
    <row r="996" spans="1:29" ht="24.75" customHeight="1">
      <c r="A996" s="190" t="s">
        <v>128</v>
      </c>
      <c r="B996" s="142"/>
      <c r="C996" s="330" t="s">
        <v>129</v>
      </c>
      <c r="D996" s="330"/>
      <c r="E996" s="330"/>
      <c r="F996" s="330"/>
      <c r="G996" s="330"/>
      <c r="H996" s="330"/>
      <c r="I996" s="330"/>
      <c r="J996" s="330"/>
      <c r="K996" s="330"/>
      <c r="L996" s="330"/>
      <c r="M996" s="93"/>
      <c r="O996" s="156"/>
      <c r="P996" s="142"/>
      <c r="Q996" s="331"/>
      <c r="R996" s="331"/>
      <c r="S996" s="331"/>
      <c r="T996" s="331"/>
      <c r="U996" s="331"/>
      <c r="V996" s="331"/>
      <c r="W996" s="331"/>
      <c r="X996" s="331"/>
      <c r="Y996" s="331"/>
      <c r="Z996" s="331"/>
      <c r="AA996" s="331"/>
      <c r="AB996" s="331"/>
      <c r="AC996" s="331"/>
    </row>
    <row r="997" spans="1:29" ht="21" customHeight="1">
      <c r="A997" s="187">
        <v>1</v>
      </c>
      <c r="B997" s="185" t="s">
        <v>69</v>
      </c>
      <c r="C997" s="326" t="s">
        <v>70</v>
      </c>
      <c r="D997" s="326"/>
      <c r="E997" s="176"/>
      <c r="F997" s="144" t="s">
        <v>71</v>
      </c>
      <c r="G997" s="203" t="s">
        <v>156</v>
      </c>
      <c r="H997" s="202" t="s">
        <v>156</v>
      </c>
      <c r="I997" s="201">
        <v>1</v>
      </c>
      <c r="J997" s="202" t="s">
        <v>156</v>
      </c>
      <c r="K997" s="202" t="s">
        <v>156</v>
      </c>
      <c r="L997" s="201">
        <v>1</v>
      </c>
      <c r="M997" s="93"/>
      <c r="O997" s="195"/>
      <c r="P997" s="196"/>
      <c r="Q997" s="327"/>
      <c r="R997" s="327"/>
      <c r="S997" s="86"/>
      <c r="T997" s="86"/>
      <c r="U997" s="86"/>
      <c r="V997" s="86"/>
      <c r="W997" s="194"/>
      <c r="X997" s="194"/>
      <c r="Y997" s="194"/>
      <c r="Z997" s="194"/>
      <c r="AA997" s="194"/>
      <c r="AB997" s="194"/>
      <c r="AC997" s="194"/>
    </row>
    <row r="998" spans="1:29" ht="21" customHeight="1">
      <c r="A998" s="187">
        <v>2</v>
      </c>
      <c r="B998" s="185" t="s">
        <v>69</v>
      </c>
      <c r="C998" s="326" t="s">
        <v>72</v>
      </c>
      <c r="D998" s="326"/>
      <c r="E998" s="176"/>
      <c r="F998" s="144" t="s">
        <v>71</v>
      </c>
      <c r="G998" s="203" t="s">
        <v>156</v>
      </c>
      <c r="H998" s="202" t="s">
        <v>156</v>
      </c>
      <c r="I998" s="202" t="s">
        <v>156</v>
      </c>
      <c r="J998" s="202" t="s">
        <v>156</v>
      </c>
      <c r="K998" s="202" t="s">
        <v>156</v>
      </c>
      <c r="L998" s="202" t="s">
        <v>156</v>
      </c>
      <c r="M998" s="93"/>
      <c r="O998" s="195"/>
      <c r="P998" s="196"/>
      <c r="Q998" s="327"/>
      <c r="R998" s="327"/>
      <c r="S998" s="194"/>
      <c r="T998" s="194"/>
      <c r="U998" s="194"/>
      <c r="V998" s="86"/>
      <c r="W998" s="86"/>
      <c r="X998" s="86"/>
      <c r="Y998" s="86"/>
      <c r="Z998" s="194"/>
      <c r="AA998" s="194"/>
      <c r="AB998" s="194"/>
      <c r="AC998" s="194"/>
    </row>
    <row r="999" spans="1:29" ht="21" customHeight="1">
      <c r="A999" s="187">
        <v>3</v>
      </c>
      <c r="B999" s="185" t="s">
        <v>69</v>
      </c>
      <c r="C999" s="326" t="s">
        <v>73</v>
      </c>
      <c r="D999" s="326"/>
      <c r="E999" s="176"/>
      <c r="F999" s="144" t="s">
        <v>71</v>
      </c>
      <c r="G999" s="203" t="s">
        <v>156</v>
      </c>
      <c r="H999" s="202" t="s">
        <v>156</v>
      </c>
      <c r="I999" s="202" t="s">
        <v>156</v>
      </c>
      <c r="J999" s="202" t="s">
        <v>156</v>
      </c>
      <c r="K999" s="202" t="s">
        <v>156</v>
      </c>
      <c r="L999" s="202" t="s">
        <v>156</v>
      </c>
      <c r="M999" s="93"/>
      <c r="O999" s="195"/>
      <c r="P999" s="196"/>
      <c r="Q999" s="327"/>
      <c r="R999" s="327"/>
      <c r="S999" s="194"/>
      <c r="T999" s="86"/>
      <c r="U999" s="86"/>
      <c r="V999" s="86"/>
      <c r="W999" s="86"/>
      <c r="X999" s="194"/>
      <c r="Y999" s="194"/>
      <c r="Z999" s="194"/>
      <c r="AA999" s="194"/>
      <c r="AB999" s="194"/>
      <c r="AC999" s="194"/>
    </row>
    <row r="1000" spans="1:29" ht="21" customHeight="1">
      <c r="A1000" s="187">
        <v>4</v>
      </c>
      <c r="B1000" s="185" t="s">
        <v>69</v>
      </c>
      <c r="C1000" s="326" t="s">
        <v>98</v>
      </c>
      <c r="D1000" s="326"/>
      <c r="E1000" s="176"/>
      <c r="F1000" s="144" t="s">
        <v>71</v>
      </c>
      <c r="G1000" s="203" t="s">
        <v>156</v>
      </c>
      <c r="H1000" s="202" t="s">
        <v>156</v>
      </c>
      <c r="I1000" s="202" t="s">
        <v>156</v>
      </c>
      <c r="J1000" s="202" t="s">
        <v>156</v>
      </c>
      <c r="K1000" s="202" t="s">
        <v>156</v>
      </c>
      <c r="L1000" s="202" t="s">
        <v>156</v>
      </c>
      <c r="M1000" s="93"/>
      <c r="O1000" s="195"/>
      <c r="P1000" s="196"/>
      <c r="Q1000" s="327"/>
      <c r="R1000" s="327"/>
      <c r="S1000" s="194"/>
      <c r="T1000" s="194"/>
      <c r="U1000" s="194"/>
      <c r="V1000" s="194"/>
      <c r="W1000" s="194"/>
      <c r="X1000" s="194"/>
      <c r="Y1000" s="194"/>
      <c r="Z1000" s="86"/>
      <c r="AA1000" s="86"/>
      <c r="AB1000" s="86"/>
      <c r="AC1000" s="86"/>
    </row>
    <row r="1001" spans="1:29" ht="21" customHeight="1">
      <c r="A1001" s="187">
        <v>5</v>
      </c>
      <c r="B1001" s="185" t="s">
        <v>69</v>
      </c>
      <c r="C1001" s="326" t="s">
        <v>74</v>
      </c>
      <c r="D1001" s="326"/>
      <c r="E1001" s="176"/>
      <c r="F1001" s="144" t="s">
        <v>71</v>
      </c>
      <c r="G1001" s="203" t="s">
        <v>156</v>
      </c>
      <c r="H1001" s="202" t="s">
        <v>156</v>
      </c>
      <c r="I1001" s="202" t="s">
        <v>156</v>
      </c>
      <c r="J1001" s="202" t="s">
        <v>156</v>
      </c>
      <c r="K1001" s="202" t="s">
        <v>156</v>
      </c>
      <c r="L1001" s="202" t="s">
        <v>156</v>
      </c>
      <c r="M1001" s="93"/>
      <c r="O1001" s="195"/>
      <c r="P1001" s="196"/>
      <c r="Q1001" s="327"/>
      <c r="R1001" s="327"/>
      <c r="S1001" s="194"/>
      <c r="T1001" s="194"/>
      <c r="U1001" s="194"/>
      <c r="V1001" s="194"/>
      <c r="W1001" s="194"/>
      <c r="X1001" s="194"/>
      <c r="Y1001" s="194"/>
      <c r="Z1001" s="194"/>
      <c r="AA1001" s="194"/>
      <c r="AB1001" s="194"/>
      <c r="AC1001" s="194"/>
    </row>
    <row r="1002" spans="1:29" ht="21" customHeight="1">
      <c r="A1002" s="187">
        <v>6</v>
      </c>
      <c r="B1002" s="185" t="s">
        <v>69</v>
      </c>
      <c r="C1002" s="326" t="s">
        <v>75</v>
      </c>
      <c r="D1002" s="326"/>
      <c r="E1002" s="176"/>
      <c r="F1002" s="144" t="s">
        <v>71</v>
      </c>
      <c r="G1002" s="203" t="s">
        <v>156</v>
      </c>
      <c r="H1002" s="202" t="s">
        <v>156</v>
      </c>
      <c r="I1002" s="202" t="s">
        <v>156</v>
      </c>
      <c r="J1002" s="202" t="s">
        <v>156</v>
      </c>
      <c r="K1002" s="202" t="s">
        <v>156</v>
      </c>
      <c r="L1002" s="202" t="s">
        <v>156</v>
      </c>
      <c r="M1002" s="93"/>
      <c r="O1002" s="195"/>
      <c r="P1002" s="196"/>
      <c r="Q1002" s="327"/>
      <c r="R1002" s="327"/>
      <c r="S1002" s="194"/>
      <c r="T1002" s="194"/>
      <c r="U1002" s="194"/>
      <c r="V1002" s="194"/>
      <c r="W1002" s="194"/>
      <c r="X1002" s="194"/>
      <c r="Y1002" s="194"/>
      <c r="Z1002" s="194"/>
      <c r="AA1002" s="194"/>
      <c r="AB1002" s="194"/>
      <c r="AC1002" s="194"/>
    </row>
    <row r="1003" spans="1:29" ht="21" customHeight="1">
      <c r="A1003" s="187">
        <v>7</v>
      </c>
      <c r="B1003" s="185" t="s">
        <v>69</v>
      </c>
      <c r="C1003" s="326" t="s">
        <v>76</v>
      </c>
      <c r="D1003" s="326"/>
      <c r="E1003" s="176"/>
      <c r="F1003" s="144" t="s">
        <v>71</v>
      </c>
      <c r="G1003" s="203" t="s">
        <v>156</v>
      </c>
      <c r="H1003" s="202" t="s">
        <v>156</v>
      </c>
      <c r="I1003" s="202" t="s">
        <v>156</v>
      </c>
      <c r="J1003" s="202" t="s">
        <v>156</v>
      </c>
      <c r="K1003" s="202" t="s">
        <v>156</v>
      </c>
      <c r="L1003" s="202" t="s">
        <v>156</v>
      </c>
      <c r="M1003" s="93"/>
      <c r="O1003" s="195"/>
      <c r="P1003" s="196"/>
      <c r="Q1003" s="327"/>
      <c r="R1003" s="327"/>
      <c r="S1003" s="194"/>
      <c r="T1003" s="194"/>
      <c r="U1003" s="194"/>
      <c r="V1003" s="194"/>
      <c r="W1003" s="194"/>
      <c r="X1003" s="194"/>
      <c r="Y1003" s="194"/>
      <c r="Z1003" s="194"/>
      <c r="AA1003" s="194"/>
      <c r="AB1003" s="194"/>
      <c r="AC1003" s="194"/>
    </row>
    <row r="1004" spans="1:29" ht="21" customHeight="1">
      <c r="A1004" s="187">
        <v>8</v>
      </c>
      <c r="B1004" s="185" t="s">
        <v>69</v>
      </c>
      <c r="C1004" s="326" t="s">
        <v>99</v>
      </c>
      <c r="D1004" s="326"/>
      <c r="E1004" s="176"/>
      <c r="F1004" s="144" t="s">
        <v>71</v>
      </c>
      <c r="G1004" s="203" t="s">
        <v>156</v>
      </c>
      <c r="H1004" s="202" t="s">
        <v>156</v>
      </c>
      <c r="I1004" s="202" t="s">
        <v>156</v>
      </c>
      <c r="J1004" s="202" t="s">
        <v>156</v>
      </c>
      <c r="K1004" s="202" t="s">
        <v>156</v>
      </c>
      <c r="L1004" s="202" t="s">
        <v>156</v>
      </c>
      <c r="M1004" s="93"/>
      <c r="O1004" s="195"/>
      <c r="P1004" s="196"/>
      <c r="Q1004" s="327"/>
      <c r="R1004" s="327"/>
      <c r="S1004" s="194"/>
      <c r="T1004" s="194"/>
      <c r="U1004" s="194"/>
      <c r="V1004" s="194"/>
      <c r="W1004" s="194"/>
      <c r="X1004" s="194"/>
      <c r="Y1004" s="194"/>
      <c r="Z1004" s="194"/>
      <c r="AA1004" s="194"/>
      <c r="AB1004" s="194"/>
      <c r="AC1004" s="194"/>
    </row>
    <row r="1005" spans="1:29" ht="21" customHeight="1">
      <c r="A1005" s="187">
        <v>9</v>
      </c>
      <c r="B1005" s="185" t="s">
        <v>69</v>
      </c>
      <c r="C1005" s="326" t="s">
        <v>77</v>
      </c>
      <c r="D1005" s="326"/>
      <c r="E1005" s="176"/>
      <c r="F1005" s="144" t="s">
        <v>71</v>
      </c>
      <c r="G1005" s="203" t="s">
        <v>156</v>
      </c>
      <c r="H1005" s="202" t="s">
        <v>156</v>
      </c>
      <c r="I1005" s="202" t="s">
        <v>156</v>
      </c>
      <c r="J1005" s="202" t="s">
        <v>156</v>
      </c>
      <c r="K1005" s="202" t="s">
        <v>156</v>
      </c>
      <c r="L1005" s="202" t="s">
        <v>156</v>
      </c>
      <c r="M1005" s="93"/>
      <c r="O1005" s="195"/>
      <c r="P1005" s="196"/>
      <c r="Q1005" s="327"/>
      <c r="R1005" s="327"/>
      <c r="S1005" s="194"/>
      <c r="T1005" s="194"/>
      <c r="U1005" s="194"/>
      <c r="V1005" s="194"/>
      <c r="W1005" s="194"/>
      <c r="X1005" s="194"/>
      <c r="Y1005" s="194"/>
      <c r="Z1005" s="194"/>
      <c r="AA1005" s="194"/>
      <c r="AB1005" s="194"/>
      <c r="AC1005" s="194"/>
    </row>
    <row r="1006" spans="1:29" ht="21" customHeight="1">
      <c r="A1006" s="187">
        <v>10</v>
      </c>
      <c r="B1006" s="185" t="s">
        <v>69</v>
      </c>
      <c r="C1006" s="326" t="s">
        <v>78</v>
      </c>
      <c r="D1006" s="326"/>
      <c r="E1006" s="176"/>
      <c r="F1006" s="144" t="s">
        <v>71</v>
      </c>
      <c r="G1006" s="203" t="s">
        <v>156</v>
      </c>
      <c r="H1006" s="202" t="s">
        <v>156</v>
      </c>
      <c r="I1006" s="202" t="s">
        <v>156</v>
      </c>
      <c r="J1006" s="202" t="s">
        <v>156</v>
      </c>
      <c r="K1006" s="202" t="s">
        <v>156</v>
      </c>
      <c r="L1006" s="202" t="s">
        <v>156</v>
      </c>
      <c r="M1006" s="93"/>
      <c r="O1006" s="195"/>
      <c r="P1006" s="196"/>
      <c r="Q1006" s="327"/>
      <c r="R1006" s="327"/>
      <c r="S1006" s="194"/>
      <c r="T1006" s="194"/>
      <c r="U1006" s="194"/>
      <c r="V1006" s="194"/>
      <c r="W1006" s="194"/>
      <c r="X1006" s="194"/>
      <c r="Y1006" s="194"/>
      <c r="Z1006" s="194"/>
      <c r="AA1006" s="194"/>
      <c r="AB1006" s="194"/>
      <c r="AC1006" s="194"/>
    </row>
    <row r="1007" spans="1:29" ht="21" customHeight="1">
      <c r="A1007" s="187">
        <v>11</v>
      </c>
      <c r="B1007" s="185" t="s">
        <v>69</v>
      </c>
      <c r="C1007" s="326" t="s">
        <v>79</v>
      </c>
      <c r="D1007" s="326"/>
      <c r="E1007" s="176"/>
      <c r="F1007" s="144" t="s">
        <v>71</v>
      </c>
      <c r="G1007" s="203" t="s">
        <v>156</v>
      </c>
      <c r="H1007" s="202" t="s">
        <v>156</v>
      </c>
      <c r="I1007" s="202" t="s">
        <v>156</v>
      </c>
      <c r="J1007" s="202" t="s">
        <v>156</v>
      </c>
      <c r="K1007" s="202" t="s">
        <v>156</v>
      </c>
      <c r="L1007" s="202" t="s">
        <v>156</v>
      </c>
      <c r="M1007" s="93"/>
      <c r="O1007" s="195"/>
      <c r="P1007" s="196"/>
      <c r="Q1007" s="327"/>
      <c r="R1007" s="327"/>
      <c r="S1007" s="194"/>
      <c r="T1007" s="194"/>
      <c r="U1007" s="194"/>
      <c r="V1007" s="194"/>
      <c r="W1007" s="194"/>
      <c r="X1007" s="194"/>
      <c r="Y1007" s="194"/>
      <c r="Z1007" s="194"/>
      <c r="AA1007" s="194"/>
      <c r="AB1007" s="194"/>
      <c r="AC1007" s="194"/>
    </row>
    <row r="1008" spans="1:29" ht="21" customHeight="1">
      <c r="A1008" s="187">
        <v>12</v>
      </c>
      <c r="B1008" s="185" t="s">
        <v>69</v>
      </c>
      <c r="C1008" s="326" t="s">
        <v>100</v>
      </c>
      <c r="D1008" s="326"/>
      <c r="E1008" s="176"/>
      <c r="F1008" s="144" t="s">
        <v>71</v>
      </c>
      <c r="G1008" s="203" t="s">
        <v>156</v>
      </c>
      <c r="H1008" s="202" t="s">
        <v>156</v>
      </c>
      <c r="I1008" s="202" t="s">
        <v>156</v>
      </c>
      <c r="J1008" s="202" t="s">
        <v>156</v>
      </c>
      <c r="K1008" s="202" t="s">
        <v>156</v>
      </c>
      <c r="L1008" s="202" t="s">
        <v>156</v>
      </c>
      <c r="M1008" s="93"/>
      <c r="O1008" s="195"/>
      <c r="P1008" s="196"/>
      <c r="Q1008" s="327"/>
      <c r="R1008" s="327"/>
      <c r="S1008" s="194"/>
      <c r="T1008" s="194"/>
      <c r="U1008" s="194"/>
      <c r="V1008" s="194"/>
      <c r="W1008" s="194"/>
      <c r="X1008" s="194"/>
      <c r="Y1008" s="194"/>
      <c r="Z1008" s="194"/>
      <c r="AA1008" s="194"/>
      <c r="AB1008" s="194"/>
      <c r="AC1008" s="194"/>
    </row>
    <row r="1009" spans="1:29" ht="21" customHeight="1">
      <c r="A1009" s="187">
        <v>13</v>
      </c>
      <c r="B1009" s="185" t="s">
        <v>69</v>
      </c>
      <c r="C1009" s="326" t="s">
        <v>80</v>
      </c>
      <c r="D1009" s="326"/>
      <c r="E1009" s="176"/>
      <c r="F1009" s="144" t="s">
        <v>71</v>
      </c>
      <c r="G1009" s="203" t="s">
        <v>156</v>
      </c>
      <c r="H1009" s="202" t="s">
        <v>156</v>
      </c>
      <c r="I1009" s="202" t="s">
        <v>156</v>
      </c>
      <c r="J1009" s="202" t="s">
        <v>156</v>
      </c>
      <c r="K1009" s="202" t="s">
        <v>156</v>
      </c>
      <c r="L1009" s="202" t="s">
        <v>156</v>
      </c>
      <c r="M1009" s="93"/>
      <c r="O1009" s="195"/>
      <c r="P1009" s="196"/>
      <c r="Q1009" s="327"/>
      <c r="R1009" s="327"/>
      <c r="S1009" s="194"/>
      <c r="T1009" s="194"/>
      <c r="U1009" s="194"/>
      <c r="V1009" s="194"/>
      <c r="W1009" s="194"/>
      <c r="X1009" s="194"/>
      <c r="Y1009" s="194"/>
      <c r="Z1009" s="194"/>
      <c r="AA1009" s="194"/>
      <c r="AB1009" s="194"/>
      <c r="AC1009" s="194"/>
    </row>
    <row r="1010" spans="1:29" ht="21" customHeight="1">
      <c r="A1010" s="187">
        <v>14</v>
      </c>
      <c r="B1010" s="185" t="s">
        <v>69</v>
      </c>
      <c r="C1010" s="326" t="s">
        <v>91</v>
      </c>
      <c r="D1010" s="326"/>
      <c r="E1010" s="176"/>
      <c r="F1010" s="144" t="s">
        <v>71</v>
      </c>
      <c r="G1010" s="203" t="s">
        <v>156</v>
      </c>
      <c r="H1010" s="202" t="s">
        <v>156</v>
      </c>
      <c r="I1010" s="202" t="s">
        <v>156</v>
      </c>
      <c r="J1010" s="202" t="s">
        <v>156</v>
      </c>
      <c r="K1010" s="202" t="s">
        <v>156</v>
      </c>
      <c r="L1010" s="202" t="s">
        <v>156</v>
      </c>
      <c r="M1010" s="93"/>
      <c r="O1010" s="195"/>
      <c r="P1010" s="196"/>
      <c r="Q1010" s="327"/>
      <c r="R1010" s="327"/>
      <c r="S1010" s="194"/>
      <c r="T1010" s="194"/>
      <c r="U1010" s="194"/>
      <c r="V1010" s="194"/>
      <c r="W1010" s="194"/>
      <c r="X1010" s="194"/>
      <c r="Y1010" s="194"/>
      <c r="Z1010" s="194"/>
      <c r="AA1010" s="194"/>
      <c r="AB1010" s="194"/>
      <c r="AC1010" s="194"/>
    </row>
    <row r="1011" spans="1:29" ht="21" customHeight="1">
      <c r="A1011" s="187">
        <v>15</v>
      </c>
      <c r="B1011" s="185" t="s">
        <v>69</v>
      </c>
      <c r="C1011" s="326" t="s">
        <v>81</v>
      </c>
      <c r="D1011" s="326"/>
      <c r="E1011" s="176"/>
      <c r="F1011" s="144" t="s">
        <v>71</v>
      </c>
      <c r="G1011" s="203" t="s">
        <v>156</v>
      </c>
      <c r="H1011" s="202" t="s">
        <v>156</v>
      </c>
      <c r="I1011" s="202" t="s">
        <v>156</v>
      </c>
      <c r="J1011" s="202" t="s">
        <v>156</v>
      </c>
      <c r="K1011" s="202" t="s">
        <v>156</v>
      </c>
      <c r="L1011" s="202" t="s">
        <v>156</v>
      </c>
      <c r="M1011" s="93"/>
      <c r="O1011" s="195"/>
      <c r="P1011" s="196"/>
      <c r="Q1011" s="327"/>
      <c r="R1011" s="327"/>
      <c r="S1011" s="194"/>
      <c r="T1011" s="194"/>
      <c r="U1011" s="194"/>
      <c r="V1011" s="194"/>
      <c r="W1011" s="194"/>
      <c r="X1011" s="194"/>
      <c r="Y1011" s="194"/>
      <c r="Z1011" s="194"/>
      <c r="AA1011" s="194"/>
      <c r="AB1011" s="194"/>
      <c r="AC1011" s="194"/>
    </row>
    <row r="1012" spans="1:29" ht="21" customHeight="1">
      <c r="A1012" s="187">
        <v>16</v>
      </c>
      <c r="B1012" s="185" t="s">
        <v>69</v>
      </c>
      <c r="C1012" s="326" t="s">
        <v>101</v>
      </c>
      <c r="D1012" s="326"/>
      <c r="E1012" s="151"/>
      <c r="F1012" s="144" t="s">
        <v>71</v>
      </c>
      <c r="G1012" s="203" t="s">
        <v>156</v>
      </c>
      <c r="H1012" s="202" t="s">
        <v>156</v>
      </c>
      <c r="I1012" s="202" t="s">
        <v>156</v>
      </c>
      <c r="J1012" s="202" t="s">
        <v>156</v>
      </c>
      <c r="K1012" s="202" t="s">
        <v>156</v>
      </c>
      <c r="L1012" s="202" t="s">
        <v>156</v>
      </c>
      <c r="M1012" s="93"/>
      <c r="N1012" s="219"/>
      <c r="O1012" s="195"/>
      <c r="P1012" s="196"/>
      <c r="Q1012" s="327"/>
      <c r="R1012" s="327"/>
      <c r="S1012" s="197"/>
      <c r="T1012" s="197"/>
      <c r="U1012" s="197"/>
      <c r="V1012" s="197"/>
      <c r="W1012" s="197"/>
      <c r="X1012" s="197"/>
      <c r="Y1012" s="197"/>
      <c r="Z1012" s="197"/>
      <c r="AA1012" s="197"/>
      <c r="AB1012" s="197"/>
      <c r="AC1012" s="197"/>
    </row>
    <row r="1013" spans="1:29" ht="21" customHeight="1">
      <c r="A1013" s="187">
        <v>17</v>
      </c>
      <c r="B1013" s="186" t="s">
        <v>69</v>
      </c>
      <c r="C1013" s="326" t="s">
        <v>141</v>
      </c>
      <c r="D1013" s="326"/>
      <c r="E1013" s="151"/>
      <c r="F1013" s="144" t="s">
        <v>71</v>
      </c>
      <c r="G1013" s="203" t="s">
        <v>156</v>
      </c>
      <c r="H1013" s="202" t="s">
        <v>156</v>
      </c>
      <c r="I1013" s="202" t="s">
        <v>156</v>
      </c>
      <c r="J1013" s="202" t="s">
        <v>156</v>
      </c>
      <c r="K1013" s="202" t="s">
        <v>156</v>
      </c>
      <c r="L1013" s="202" t="s">
        <v>156</v>
      </c>
      <c r="M1013" s="93"/>
      <c r="N1013" s="219"/>
      <c r="O1013" s="195"/>
      <c r="P1013" s="104"/>
      <c r="Q1013" s="327"/>
      <c r="R1013" s="327"/>
      <c r="S1013" s="197"/>
      <c r="T1013" s="197"/>
      <c r="U1013" s="197"/>
      <c r="V1013" s="197"/>
      <c r="W1013" s="197"/>
      <c r="X1013" s="197"/>
      <c r="Y1013" s="197"/>
      <c r="Z1013" s="197"/>
      <c r="AA1013" s="197"/>
      <c r="AB1013" s="197"/>
      <c r="AC1013" s="197"/>
    </row>
    <row r="1014" spans="1:29" ht="21" customHeight="1">
      <c r="A1014" s="187">
        <v>18</v>
      </c>
      <c r="B1014" s="186" t="s">
        <v>69</v>
      </c>
      <c r="C1014" s="326" t="s">
        <v>142</v>
      </c>
      <c r="D1014" s="326"/>
      <c r="E1014" s="151"/>
      <c r="F1014" s="144" t="s">
        <v>71</v>
      </c>
      <c r="G1014" s="203" t="s">
        <v>156</v>
      </c>
      <c r="H1014" s="202" t="s">
        <v>156</v>
      </c>
      <c r="I1014" s="202" t="s">
        <v>156</v>
      </c>
      <c r="J1014" s="202" t="s">
        <v>156</v>
      </c>
      <c r="K1014" s="202" t="s">
        <v>156</v>
      </c>
      <c r="L1014" s="202" t="s">
        <v>156</v>
      </c>
      <c r="M1014" s="93"/>
      <c r="N1014" s="219"/>
      <c r="O1014" s="195"/>
      <c r="P1014" s="104"/>
      <c r="Q1014" s="327"/>
      <c r="R1014" s="327"/>
      <c r="S1014" s="197"/>
      <c r="T1014" s="197"/>
      <c r="U1014" s="197"/>
      <c r="V1014" s="197"/>
      <c r="W1014" s="197"/>
      <c r="X1014" s="197"/>
      <c r="Y1014" s="197"/>
      <c r="Z1014" s="197"/>
      <c r="AA1014" s="197"/>
      <c r="AB1014" s="197"/>
      <c r="AC1014" s="197"/>
    </row>
    <row r="1015" spans="1:29" ht="21" customHeight="1">
      <c r="A1015" s="187">
        <v>19</v>
      </c>
      <c r="B1015" s="186" t="s">
        <v>69</v>
      </c>
      <c r="C1015" s="326" t="s">
        <v>143</v>
      </c>
      <c r="D1015" s="326"/>
      <c r="E1015" s="151"/>
      <c r="F1015" s="144" t="s">
        <v>71</v>
      </c>
      <c r="G1015" s="203" t="s">
        <v>156</v>
      </c>
      <c r="H1015" s="202" t="s">
        <v>156</v>
      </c>
      <c r="I1015" s="202" t="s">
        <v>156</v>
      </c>
      <c r="J1015" s="202" t="s">
        <v>156</v>
      </c>
      <c r="K1015" s="202" t="s">
        <v>156</v>
      </c>
      <c r="L1015" s="202" t="s">
        <v>156</v>
      </c>
      <c r="M1015" s="93"/>
      <c r="N1015" s="219"/>
      <c r="O1015" s="195"/>
      <c r="P1015" s="104"/>
      <c r="Q1015" s="327"/>
      <c r="R1015" s="327"/>
      <c r="S1015" s="197"/>
      <c r="T1015" s="197"/>
      <c r="U1015" s="197"/>
      <c r="V1015" s="197"/>
      <c r="W1015" s="197"/>
      <c r="X1015" s="197"/>
      <c r="Y1015" s="197"/>
      <c r="Z1015" s="197"/>
      <c r="AA1015" s="197"/>
      <c r="AB1015" s="197"/>
      <c r="AC1015" s="197"/>
    </row>
    <row r="1016" spans="1:29" ht="21" customHeight="1">
      <c r="A1016" s="187">
        <v>20</v>
      </c>
      <c r="B1016" s="186" t="s">
        <v>69</v>
      </c>
      <c r="C1016" s="326" t="s">
        <v>102</v>
      </c>
      <c r="D1016" s="326"/>
      <c r="E1016" s="150"/>
      <c r="F1016" s="154" t="s">
        <v>71</v>
      </c>
      <c r="G1016" s="203" t="s">
        <v>156</v>
      </c>
      <c r="H1016" s="202" t="s">
        <v>156</v>
      </c>
      <c r="I1016" s="202" t="s">
        <v>156</v>
      </c>
      <c r="J1016" s="202" t="s">
        <v>156</v>
      </c>
      <c r="K1016" s="202" t="s">
        <v>156</v>
      </c>
      <c r="L1016" s="202" t="s">
        <v>156</v>
      </c>
      <c r="M1016" s="93"/>
      <c r="N1016" s="219"/>
      <c r="O1016" s="195"/>
      <c r="P1016" s="104"/>
      <c r="Q1016" s="327"/>
      <c r="R1016" s="327"/>
      <c r="S1016" s="197"/>
      <c r="T1016" s="197"/>
      <c r="U1016" s="197"/>
      <c r="V1016" s="197"/>
      <c r="W1016" s="197"/>
      <c r="X1016" s="197"/>
      <c r="Y1016" s="197"/>
      <c r="Z1016" s="197"/>
      <c r="AA1016" s="197"/>
      <c r="AB1016" s="197"/>
      <c r="AC1016" s="197"/>
    </row>
    <row r="1017" spans="1:29" ht="24.75" customHeight="1">
      <c r="A1017" s="192" t="s">
        <v>128</v>
      </c>
      <c r="B1017" s="104"/>
      <c r="C1017" s="328" t="s">
        <v>130</v>
      </c>
      <c r="D1017" s="328"/>
      <c r="E1017" s="328"/>
      <c r="F1017" s="328"/>
      <c r="G1017" s="328"/>
      <c r="H1017" s="328"/>
      <c r="I1017" s="328"/>
      <c r="J1017" s="328"/>
      <c r="K1017" s="328"/>
      <c r="L1017" s="328"/>
      <c r="M1017" s="89"/>
      <c r="N1017" s="219"/>
      <c r="O1017" s="198"/>
      <c r="P1017" s="104"/>
      <c r="Q1017" s="329"/>
      <c r="R1017" s="329"/>
      <c r="S1017" s="329"/>
      <c r="T1017" s="329"/>
      <c r="U1017" s="329"/>
      <c r="V1017" s="329"/>
      <c r="W1017" s="329"/>
      <c r="X1017" s="329"/>
      <c r="Y1017" s="329"/>
      <c r="Z1017" s="329"/>
      <c r="AA1017" s="329"/>
      <c r="AB1017" s="329"/>
      <c r="AC1017" s="329"/>
    </row>
    <row r="1018" spans="1:29" ht="33" customHeight="1">
      <c r="A1018" s="189">
        <v>21</v>
      </c>
      <c r="B1018" s="188" t="s">
        <v>69</v>
      </c>
      <c r="C1018" s="307" t="s">
        <v>82</v>
      </c>
      <c r="D1018" s="308"/>
      <c r="E1018" s="182"/>
      <c r="F1018" s="191" t="s">
        <v>71</v>
      </c>
      <c r="G1018" s="201">
        <v>58</v>
      </c>
      <c r="H1018" s="201">
        <v>40</v>
      </c>
      <c r="I1018" s="201">
        <v>21</v>
      </c>
      <c r="J1018" s="201">
        <v>58</v>
      </c>
      <c r="K1018" s="201">
        <v>40</v>
      </c>
      <c r="L1018" s="201">
        <v>21</v>
      </c>
      <c r="M1018" s="89"/>
      <c r="N1018" s="219"/>
      <c r="O1018" s="199"/>
      <c r="P1018" s="200"/>
      <c r="Q1018" s="309"/>
      <c r="R1018" s="309"/>
      <c r="S1018" s="86"/>
      <c r="T1018" s="86"/>
      <c r="U1018" s="86"/>
      <c r="V1018" s="86"/>
      <c r="W1018" s="86"/>
      <c r="X1018" s="86"/>
      <c r="Y1018" s="86"/>
      <c r="Z1018" s="86"/>
      <c r="AA1018" s="86"/>
      <c r="AB1018" s="86"/>
      <c r="AC1018" s="86"/>
    </row>
    <row r="1019" spans="1:29" ht="33" customHeight="1">
      <c r="A1019" s="189">
        <v>22</v>
      </c>
      <c r="B1019" s="188" t="s">
        <v>69</v>
      </c>
      <c r="C1019" s="307" t="s">
        <v>103</v>
      </c>
      <c r="D1019" s="308"/>
      <c r="E1019" s="179"/>
      <c r="F1019" s="191" t="s">
        <v>71</v>
      </c>
      <c r="G1019" s="201">
        <v>9</v>
      </c>
      <c r="H1019" s="201">
        <v>9</v>
      </c>
      <c r="I1019" s="201">
        <v>7</v>
      </c>
      <c r="J1019" s="201">
        <v>9</v>
      </c>
      <c r="K1019" s="201">
        <v>9</v>
      </c>
      <c r="L1019" s="201">
        <v>7</v>
      </c>
      <c r="M1019" s="89"/>
      <c r="N1019" s="219"/>
      <c r="O1019" s="199"/>
      <c r="P1019" s="200"/>
      <c r="Q1019" s="309"/>
      <c r="R1019" s="309"/>
      <c r="S1019" s="86"/>
      <c r="T1019" s="86"/>
      <c r="U1019" s="86"/>
      <c r="V1019" s="86"/>
      <c r="W1019" s="86"/>
      <c r="X1019" s="86"/>
      <c r="Y1019" s="86"/>
      <c r="Z1019" s="86"/>
      <c r="AA1019" s="86"/>
      <c r="AB1019" s="86"/>
      <c r="AC1019" s="86"/>
    </row>
    <row r="1020" spans="1:29" ht="33" customHeight="1">
      <c r="A1020" s="189">
        <v>23</v>
      </c>
      <c r="B1020" s="188" t="s">
        <v>69</v>
      </c>
      <c r="C1020" s="307" t="s">
        <v>104</v>
      </c>
      <c r="D1020" s="308"/>
      <c r="E1020" s="179"/>
      <c r="F1020" s="191" t="s">
        <v>71</v>
      </c>
      <c r="G1020" s="201">
        <v>5</v>
      </c>
      <c r="H1020" s="201">
        <v>1</v>
      </c>
      <c r="I1020" s="201">
        <v>1</v>
      </c>
      <c r="J1020" s="201">
        <v>5</v>
      </c>
      <c r="K1020" s="201">
        <v>1</v>
      </c>
      <c r="L1020" s="201">
        <v>1</v>
      </c>
      <c r="M1020" s="89"/>
      <c r="N1020" s="219"/>
      <c r="O1020" s="199"/>
      <c r="P1020" s="200"/>
      <c r="Q1020" s="309"/>
      <c r="R1020" s="309"/>
      <c r="S1020" s="86"/>
      <c r="T1020" s="86"/>
      <c r="U1020" s="86"/>
      <c r="V1020" s="86"/>
      <c r="W1020" s="86"/>
      <c r="X1020" s="86"/>
      <c r="Y1020" s="86"/>
      <c r="Z1020" s="86"/>
      <c r="AA1020" s="86"/>
      <c r="AB1020" s="86"/>
      <c r="AC1020" s="86"/>
    </row>
    <row r="1021" spans="1:29" ht="27.75" customHeight="1">
      <c r="A1021" s="317" t="s">
        <v>135</v>
      </c>
      <c r="B1021" s="318"/>
      <c r="C1021" s="317" t="s">
        <v>68</v>
      </c>
      <c r="D1021" s="318"/>
      <c r="E1021" s="183"/>
      <c r="F1021" s="321" t="s">
        <v>136</v>
      </c>
      <c r="G1021" s="322" t="s">
        <v>155</v>
      </c>
      <c r="H1021" s="323"/>
      <c r="I1021" s="323"/>
      <c r="J1021" s="322" t="s">
        <v>154</v>
      </c>
      <c r="K1021" s="323"/>
      <c r="L1021" s="324"/>
      <c r="M1021" s="92"/>
      <c r="O1021" s="325"/>
      <c r="P1021" s="325"/>
      <c r="Q1021" s="325"/>
      <c r="R1021" s="325"/>
      <c r="S1021" s="316"/>
      <c r="T1021" s="316"/>
      <c r="U1021" s="316"/>
      <c r="V1021" s="316"/>
      <c r="W1021" s="316"/>
      <c r="X1021" s="316"/>
      <c r="Y1021" s="316"/>
      <c r="Z1021" s="316"/>
      <c r="AA1021" s="316"/>
      <c r="AB1021" s="316"/>
      <c r="AC1021" s="316"/>
    </row>
    <row r="1022" spans="1:29" ht="125.25" customHeight="1">
      <c r="A1022" s="319"/>
      <c r="B1022" s="320"/>
      <c r="C1022" s="319"/>
      <c r="D1022" s="320"/>
      <c r="E1022" s="184"/>
      <c r="F1022" s="321"/>
      <c r="G1022" s="153" t="s">
        <v>151</v>
      </c>
      <c r="H1022" s="153" t="s">
        <v>152</v>
      </c>
      <c r="I1022" s="153" t="s">
        <v>153</v>
      </c>
      <c r="J1022" s="153" t="s">
        <v>151</v>
      </c>
      <c r="K1022" s="153" t="s">
        <v>152</v>
      </c>
      <c r="L1022" s="153" t="s">
        <v>153</v>
      </c>
      <c r="O1022" s="325"/>
      <c r="P1022" s="325"/>
      <c r="Q1022" s="325"/>
      <c r="R1022" s="325"/>
      <c r="S1022" s="193"/>
      <c r="T1022" s="193"/>
      <c r="U1022" s="193"/>
      <c r="V1022" s="193"/>
      <c r="W1022" s="193"/>
      <c r="X1022" s="193"/>
      <c r="Y1022" s="193"/>
      <c r="Z1022" s="193"/>
      <c r="AA1022" s="193"/>
      <c r="AB1022" s="193"/>
      <c r="AC1022" s="193"/>
    </row>
    <row r="1023" spans="1:29" ht="30" customHeight="1">
      <c r="A1023" s="189">
        <v>24</v>
      </c>
      <c r="B1023" s="188" t="s">
        <v>69</v>
      </c>
      <c r="C1023" s="307" t="s">
        <v>131</v>
      </c>
      <c r="D1023" s="308"/>
      <c r="E1023" s="179"/>
      <c r="F1023" s="191" t="s">
        <v>71</v>
      </c>
      <c r="G1023" s="202" t="s">
        <v>156</v>
      </c>
      <c r="H1023" s="202" t="s">
        <v>156</v>
      </c>
      <c r="I1023" s="202" t="s">
        <v>156</v>
      </c>
      <c r="J1023" s="202" t="s">
        <v>156</v>
      </c>
      <c r="K1023" s="202" t="s">
        <v>156</v>
      </c>
      <c r="L1023" s="202" t="s">
        <v>156</v>
      </c>
      <c r="M1023" s="89"/>
      <c r="N1023" s="219"/>
      <c r="O1023" s="199"/>
      <c r="P1023" s="200"/>
      <c r="Q1023" s="309"/>
      <c r="R1023" s="309"/>
      <c r="S1023" s="86"/>
      <c r="T1023" s="86"/>
      <c r="U1023" s="86"/>
      <c r="V1023" s="86"/>
      <c r="W1023" s="86"/>
      <c r="X1023" s="86"/>
      <c r="Y1023" s="86"/>
      <c r="Z1023" s="86"/>
      <c r="AA1023" s="86"/>
      <c r="AB1023" s="86"/>
      <c r="AC1023" s="86"/>
    </row>
    <row r="1024" spans="1:29" ht="30" customHeight="1">
      <c r="A1024" s="189">
        <v>25</v>
      </c>
      <c r="B1024" s="188" t="s">
        <v>69</v>
      </c>
      <c r="C1024" s="307" t="s">
        <v>83</v>
      </c>
      <c r="D1024" s="308"/>
      <c r="E1024" s="179"/>
      <c r="F1024" s="191" t="s">
        <v>71</v>
      </c>
      <c r="G1024" s="201">
        <v>25</v>
      </c>
      <c r="H1024" s="201">
        <v>40</v>
      </c>
      <c r="I1024" s="201">
        <v>22</v>
      </c>
      <c r="J1024" s="201">
        <v>25</v>
      </c>
      <c r="K1024" s="201">
        <v>40</v>
      </c>
      <c r="L1024" s="201">
        <v>22</v>
      </c>
      <c r="M1024" s="89"/>
      <c r="N1024" s="219"/>
      <c r="O1024" s="199"/>
      <c r="P1024" s="200"/>
      <c r="Q1024" s="309"/>
      <c r="R1024" s="309"/>
      <c r="S1024" s="86"/>
      <c r="T1024" s="86"/>
      <c r="U1024" s="86"/>
      <c r="V1024" s="86"/>
      <c r="W1024" s="86"/>
      <c r="X1024" s="86"/>
      <c r="Y1024" s="86"/>
      <c r="Z1024" s="86"/>
      <c r="AA1024" s="86"/>
      <c r="AB1024" s="86"/>
      <c r="AC1024" s="86"/>
    </row>
    <row r="1025" spans="1:29" ht="30" customHeight="1">
      <c r="A1025" s="189">
        <v>26</v>
      </c>
      <c r="B1025" s="188" t="s">
        <v>69</v>
      </c>
      <c r="C1025" s="307" t="s">
        <v>84</v>
      </c>
      <c r="D1025" s="308"/>
      <c r="E1025" s="179"/>
      <c r="F1025" s="191" t="s">
        <v>71</v>
      </c>
      <c r="G1025" s="201">
        <v>5</v>
      </c>
      <c r="H1025" s="202" t="s">
        <v>156</v>
      </c>
      <c r="I1025" s="202" t="s">
        <v>156</v>
      </c>
      <c r="J1025" s="201">
        <v>5</v>
      </c>
      <c r="K1025" s="202" t="s">
        <v>156</v>
      </c>
      <c r="L1025" s="202" t="s">
        <v>156</v>
      </c>
      <c r="M1025" s="89"/>
      <c r="N1025" s="219"/>
      <c r="O1025" s="199"/>
      <c r="P1025" s="200"/>
      <c r="Q1025" s="309"/>
      <c r="R1025" s="309"/>
      <c r="S1025" s="86"/>
      <c r="T1025" s="86"/>
      <c r="U1025" s="86"/>
      <c r="V1025" s="86"/>
      <c r="W1025" s="86"/>
      <c r="X1025" s="86"/>
      <c r="Y1025" s="86"/>
      <c r="Z1025" s="86"/>
      <c r="AA1025" s="86"/>
      <c r="AB1025" s="86"/>
      <c r="AC1025" s="86"/>
    </row>
    <row r="1026" spans="1:29" ht="30" customHeight="1">
      <c r="A1026" s="189">
        <v>27</v>
      </c>
      <c r="B1026" s="188" t="s">
        <v>69</v>
      </c>
      <c r="C1026" s="307" t="s">
        <v>85</v>
      </c>
      <c r="D1026" s="308"/>
      <c r="E1026" s="179"/>
      <c r="F1026" s="191" t="s">
        <v>71</v>
      </c>
      <c r="G1026" s="201">
        <v>3</v>
      </c>
      <c r="H1026" s="201">
        <v>1</v>
      </c>
      <c r="I1026" s="201">
        <v>8</v>
      </c>
      <c r="J1026" s="201">
        <v>3</v>
      </c>
      <c r="K1026" s="201">
        <v>1</v>
      </c>
      <c r="L1026" s="201">
        <v>8</v>
      </c>
      <c r="M1026" s="89"/>
      <c r="N1026" s="219"/>
      <c r="O1026" s="199"/>
      <c r="P1026" s="200"/>
      <c r="Q1026" s="309"/>
      <c r="R1026" s="309"/>
      <c r="S1026" s="86"/>
      <c r="T1026" s="86"/>
      <c r="U1026" s="86"/>
      <c r="V1026" s="86"/>
      <c r="W1026" s="86"/>
      <c r="X1026" s="86"/>
      <c r="Y1026" s="86"/>
      <c r="Z1026" s="86"/>
      <c r="AA1026" s="86"/>
      <c r="AB1026" s="86"/>
      <c r="AC1026" s="86"/>
    </row>
    <row r="1027" spans="1:29" ht="30" customHeight="1">
      <c r="A1027" s="189">
        <v>28</v>
      </c>
      <c r="B1027" s="188" t="s">
        <v>69</v>
      </c>
      <c r="C1027" s="307" t="s">
        <v>132</v>
      </c>
      <c r="D1027" s="308"/>
      <c r="E1027" s="179"/>
      <c r="F1027" s="191" t="s">
        <v>71</v>
      </c>
      <c r="G1027" s="202" t="s">
        <v>156</v>
      </c>
      <c r="H1027" s="202" t="s">
        <v>156</v>
      </c>
      <c r="I1027" s="202" t="s">
        <v>156</v>
      </c>
      <c r="J1027" s="202" t="s">
        <v>156</v>
      </c>
      <c r="K1027" s="202" t="s">
        <v>156</v>
      </c>
      <c r="L1027" s="202" t="s">
        <v>156</v>
      </c>
      <c r="M1027" s="89"/>
      <c r="N1027" s="219"/>
      <c r="O1027" s="199"/>
      <c r="P1027" s="200"/>
      <c r="Q1027" s="309"/>
      <c r="R1027" s="309"/>
      <c r="S1027" s="86"/>
      <c r="T1027" s="86"/>
      <c r="U1027" s="86"/>
      <c r="V1027" s="86"/>
      <c r="W1027" s="86"/>
      <c r="X1027" s="86"/>
      <c r="Y1027" s="86"/>
      <c r="Z1027" s="86"/>
      <c r="AA1027" s="86"/>
      <c r="AB1027" s="86"/>
      <c r="AC1027" s="86"/>
    </row>
    <row r="1028" spans="1:29" ht="30" customHeight="1">
      <c r="A1028" s="189">
        <v>29</v>
      </c>
      <c r="B1028" s="188" t="s">
        <v>69</v>
      </c>
      <c r="C1028" s="307" t="s">
        <v>86</v>
      </c>
      <c r="D1028" s="308"/>
      <c r="E1028" s="179"/>
      <c r="F1028" s="191" t="s">
        <v>71</v>
      </c>
      <c r="G1028" s="201">
        <v>10</v>
      </c>
      <c r="H1028" s="201">
        <v>12</v>
      </c>
      <c r="I1028" s="201">
        <v>9</v>
      </c>
      <c r="J1028" s="201">
        <v>10</v>
      </c>
      <c r="K1028" s="201">
        <v>12</v>
      </c>
      <c r="L1028" s="201">
        <v>9</v>
      </c>
      <c r="M1028" s="89"/>
      <c r="N1028" s="219"/>
      <c r="O1028" s="199"/>
      <c r="P1028" s="200"/>
      <c r="Q1028" s="309"/>
      <c r="R1028" s="309"/>
      <c r="S1028" s="86"/>
      <c r="T1028" s="86"/>
      <c r="U1028" s="86"/>
      <c r="V1028" s="86"/>
      <c r="W1028" s="86"/>
      <c r="X1028" s="86"/>
      <c r="Y1028" s="86"/>
      <c r="Z1028" s="86"/>
      <c r="AA1028" s="86"/>
      <c r="AB1028" s="86"/>
      <c r="AC1028" s="86"/>
    </row>
    <row r="1029" spans="1:29" ht="30" customHeight="1">
      <c r="A1029" s="189">
        <v>30</v>
      </c>
      <c r="B1029" s="188" t="s">
        <v>69</v>
      </c>
      <c r="C1029" s="307" t="s">
        <v>87</v>
      </c>
      <c r="D1029" s="308"/>
      <c r="E1029" s="179"/>
      <c r="F1029" s="191" t="s">
        <v>71</v>
      </c>
      <c r="G1029" s="202" t="s">
        <v>156</v>
      </c>
      <c r="H1029" s="202" t="s">
        <v>156</v>
      </c>
      <c r="I1029" s="202" t="s">
        <v>156</v>
      </c>
      <c r="J1029" s="202" t="s">
        <v>156</v>
      </c>
      <c r="K1029" s="202" t="s">
        <v>156</v>
      </c>
      <c r="L1029" s="202" t="s">
        <v>156</v>
      </c>
      <c r="M1029" s="89"/>
      <c r="N1029" s="219"/>
      <c r="O1029" s="199"/>
      <c r="P1029" s="200"/>
      <c r="Q1029" s="309"/>
      <c r="R1029" s="309"/>
      <c r="S1029" s="86"/>
      <c r="T1029" s="86"/>
      <c r="U1029" s="86"/>
      <c r="V1029" s="86"/>
      <c r="W1029" s="86"/>
      <c r="X1029" s="86"/>
      <c r="Y1029" s="86"/>
      <c r="Z1029" s="86"/>
      <c r="AA1029" s="86"/>
      <c r="AB1029" s="86"/>
      <c r="AC1029" s="86"/>
    </row>
    <row r="1030" spans="1:29" ht="30" customHeight="1">
      <c r="A1030" s="189">
        <v>31</v>
      </c>
      <c r="B1030" s="188" t="s">
        <v>69</v>
      </c>
      <c r="C1030" s="307" t="s">
        <v>105</v>
      </c>
      <c r="D1030" s="308"/>
      <c r="E1030" s="179"/>
      <c r="F1030" s="191" t="s">
        <v>71</v>
      </c>
      <c r="G1030" s="201">
        <v>2</v>
      </c>
      <c r="H1030" s="203" t="s">
        <v>156</v>
      </c>
      <c r="I1030" s="201">
        <v>8</v>
      </c>
      <c r="J1030" s="201">
        <v>2</v>
      </c>
      <c r="K1030" s="203" t="s">
        <v>156</v>
      </c>
      <c r="L1030" s="201">
        <v>8</v>
      </c>
      <c r="M1030" s="89"/>
      <c r="N1030" s="219"/>
      <c r="O1030" s="199"/>
      <c r="P1030" s="200"/>
      <c r="Q1030" s="309"/>
      <c r="R1030" s="309"/>
      <c r="S1030" s="86"/>
      <c r="T1030" s="86"/>
      <c r="U1030" s="86"/>
      <c r="V1030" s="86"/>
      <c r="W1030" s="86"/>
      <c r="X1030" s="86"/>
      <c r="Y1030" s="86"/>
      <c r="Z1030" s="86"/>
      <c r="AA1030" s="86"/>
      <c r="AB1030" s="86"/>
      <c r="AC1030" s="86"/>
    </row>
    <row r="1031" spans="1:29" ht="30" customHeight="1">
      <c r="A1031" s="189">
        <v>32</v>
      </c>
      <c r="B1031" s="188" t="s">
        <v>69</v>
      </c>
      <c r="C1031" s="307" t="s">
        <v>133</v>
      </c>
      <c r="D1031" s="308"/>
      <c r="E1031" s="179"/>
      <c r="F1031" s="191" t="s">
        <v>71</v>
      </c>
      <c r="G1031" s="202" t="s">
        <v>156</v>
      </c>
      <c r="H1031" s="202" t="s">
        <v>156</v>
      </c>
      <c r="I1031" s="202" t="s">
        <v>156</v>
      </c>
      <c r="J1031" s="202" t="s">
        <v>156</v>
      </c>
      <c r="K1031" s="202" t="s">
        <v>156</v>
      </c>
      <c r="L1031" s="202" t="s">
        <v>156</v>
      </c>
      <c r="M1031" s="89"/>
      <c r="N1031" s="219"/>
      <c r="O1031" s="199"/>
      <c r="P1031" s="200"/>
      <c r="Q1031" s="309"/>
      <c r="R1031" s="309"/>
      <c r="S1031" s="86"/>
      <c r="T1031" s="86"/>
      <c r="U1031" s="86"/>
      <c r="V1031" s="86"/>
      <c r="W1031" s="86"/>
      <c r="X1031" s="86"/>
      <c r="Y1031" s="86"/>
      <c r="Z1031" s="86"/>
      <c r="AA1031" s="86"/>
      <c r="AB1031" s="86"/>
      <c r="AC1031" s="86"/>
    </row>
    <row r="1032" spans="1:29" ht="30" customHeight="1">
      <c r="A1032" s="189">
        <v>33</v>
      </c>
      <c r="B1032" s="188" t="s">
        <v>69</v>
      </c>
      <c r="C1032" s="307" t="s">
        <v>88</v>
      </c>
      <c r="D1032" s="308"/>
      <c r="E1032" s="179"/>
      <c r="F1032" s="191" t="s">
        <v>71</v>
      </c>
      <c r="G1032" s="201">
        <v>3</v>
      </c>
      <c r="H1032" s="201">
        <v>7</v>
      </c>
      <c r="I1032" s="201">
        <v>7</v>
      </c>
      <c r="J1032" s="201">
        <v>3</v>
      </c>
      <c r="K1032" s="201">
        <v>7</v>
      </c>
      <c r="L1032" s="201">
        <v>7</v>
      </c>
      <c r="M1032" s="89"/>
      <c r="N1032" s="219"/>
      <c r="O1032" s="199"/>
      <c r="P1032" s="200"/>
      <c r="Q1032" s="309"/>
      <c r="R1032" s="309"/>
      <c r="S1032" s="86"/>
      <c r="T1032" s="86"/>
      <c r="U1032" s="86"/>
      <c r="V1032" s="86"/>
      <c r="W1032" s="86"/>
      <c r="X1032" s="86"/>
      <c r="Y1032" s="86"/>
      <c r="Z1032" s="86"/>
      <c r="AA1032" s="86"/>
      <c r="AB1032" s="86"/>
      <c r="AC1032" s="86"/>
    </row>
    <row r="1033" spans="1:29" ht="30" customHeight="1">
      <c r="A1033" s="189">
        <v>34</v>
      </c>
      <c r="B1033" s="188" t="s">
        <v>69</v>
      </c>
      <c r="C1033" s="307" t="s">
        <v>89</v>
      </c>
      <c r="D1033" s="308"/>
      <c r="E1033" s="179"/>
      <c r="F1033" s="191" t="s">
        <v>71</v>
      </c>
      <c r="G1033" s="202" t="s">
        <v>156</v>
      </c>
      <c r="H1033" s="202" t="s">
        <v>156</v>
      </c>
      <c r="I1033" s="202" t="s">
        <v>156</v>
      </c>
      <c r="J1033" s="202" t="s">
        <v>156</v>
      </c>
      <c r="K1033" s="202" t="s">
        <v>156</v>
      </c>
      <c r="L1033" s="202" t="s">
        <v>156</v>
      </c>
      <c r="M1033" s="89"/>
      <c r="N1033" s="219"/>
      <c r="O1033" s="199"/>
      <c r="P1033" s="200"/>
      <c r="Q1033" s="309"/>
      <c r="R1033" s="309"/>
      <c r="S1033" s="86"/>
      <c r="T1033" s="86"/>
      <c r="U1033" s="86"/>
      <c r="V1033" s="86"/>
      <c r="W1033" s="86"/>
      <c r="X1033" s="86"/>
      <c r="Y1033" s="86"/>
      <c r="Z1033" s="86"/>
      <c r="AA1033" s="86"/>
      <c r="AB1033" s="86"/>
      <c r="AC1033" s="86"/>
    </row>
    <row r="1034" spans="1:29" ht="30" customHeight="1">
      <c r="A1034" s="189">
        <v>35</v>
      </c>
      <c r="B1034" s="188" t="s">
        <v>69</v>
      </c>
      <c r="C1034" s="307" t="s">
        <v>140</v>
      </c>
      <c r="D1034" s="308"/>
      <c r="E1034" s="179"/>
      <c r="F1034" s="191" t="s">
        <v>71</v>
      </c>
      <c r="G1034" s="202" t="s">
        <v>156</v>
      </c>
      <c r="H1034" s="202" t="s">
        <v>156</v>
      </c>
      <c r="I1034" s="201">
        <v>3</v>
      </c>
      <c r="J1034" s="202" t="s">
        <v>156</v>
      </c>
      <c r="K1034" s="202" t="s">
        <v>156</v>
      </c>
      <c r="L1034" s="201">
        <v>3</v>
      </c>
      <c r="M1034" s="89"/>
      <c r="N1034" s="220"/>
      <c r="O1034" s="199"/>
      <c r="P1034" s="200"/>
      <c r="Q1034" s="309"/>
      <c r="R1034" s="309"/>
      <c r="S1034" s="86"/>
      <c r="T1034" s="86"/>
      <c r="U1034" s="86"/>
      <c r="V1034" s="86"/>
      <c r="W1034" s="86"/>
      <c r="X1034" s="86"/>
      <c r="Y1034" s="86"/>
      <c r="Z1034" s="86"/>
      <c r="AA1034" s="86"/>
      <c r="AB1034" s="86"/>
      <c r="AC1034" s="86"/>
    </row>
    <row r="1035" spans="1:29" ht="30" customHeight="1">
      <c r="A1035" s="189">
        <v>36</v>
      </c>
      <c r="B1035" s="188" t="s">
        <v>69</v>
      </c>
      <c r="C1035" s="307" t="s">
        <v>134</v>
      </c>
      <c r="D1035" s="308"/>
      <c r="E1035" s="179"/>
      <c r="F1035" s="191" t="s">
        <v>71</v>
      </c>
      <c r="G1035" s="202" t="s">
        <v>156</v>
      </c>
      <c r="H1035" s="202" t="s">
        <v>156</v>
      </c>
      <c r="I1035" s="202" t="s">
        <v>156</v>
      </c>
      <c r="J1035" s="202" t="s">
        <v>156</v>
      </c>
      <c r="K1035" s="202" t="s">
        <v>156</v>
      </c>
      <c r="L1035" s="202" t="s">
        <v>156</v>
      </c>
      <c r="M1035" s="89"/>
      <c r="N1035" s="220"/>
      <c r="O1035" s="199"/>
      <c r="P1035" s="200"/>
      <c r="Q1035" s="309"/>
      <c r="R1035" s="309"/>
      <c r="S1035" s="86"/>
      <c r="T1035" s="86"/>
      <c r="U1035" s="86"/>
      <c r="V1035" s="86"/>
      <c r="W1035" s="86"/>
      <c r="X1035" s="86"/>
      <c r="Y1035" s="86"/>
      <c r="Z1035" s="86"/>
      <c r="AA1035" s="86"/>
      <c r="AB1035" s="86"/>
      <c r="AC1035" s="86"/>
    </row>
    <row r="1036" spans="1:29" ht="30" customHeight="1">
      <c r="A1036" s="189">
        <v>37</v>
      </c>
      <c r="B1036" s="188" t="s">
        <v>69</v>
      </c>
      <c r="C1036" s="307" t="s">
        <v>90</v>
      </c>
      <c r="D1036" s="308"/>
      <c r="E1036" s="179"/>
      <c r="F1036" s="191" t="s">
        <v>71</v>
      </c>
      <c r="G1036" s="202" t="s">
        <v>156</v>
      </c>
      <c r="H1036" s="202" t="s">
        <v>156</v>
      </c>
      <c r="I1036" s="202" t="s">
        <v>156</v>
      </c>
      <c r="J1036" s="202" t="s">
        <v>156</v>
      </c>
      <c r="K1036" s="202" t="s">
        <v>156</v>
      </c>
      <c r="L1036" s="202" t="s">
        <v>156</v>
      </c>
      <c r="M1036" s="89"/>
      <c r="N1036" s="220"/>
      <c r="O1036" s="199"/>
      <c r="P1036" s="200"/>
      <c r="Q1036" s="309"/>
      <c r="R1036" s="309"/>
      <c r="S1036" s="86"/>
      <c r="T1036" s="86"/>
      <c r="U1036" s="86"/>
      <c r="V1036" s="86"/>
      <c r="W1036" s="86"/>
      <c r="X1036" s="86"/>
      <c r="Y1036" s="86"/>
      <c r="Z1036" s="86"/>
      <c r="AA1036" s="86"/>
      <c r="AB1036" s="86"/>
      <c r="AC1036" s="86"/>
    </row>
    <row r="1037" spans="1:29" ht="30" customHeight="1">
      <c r="A1037" s="189">
        <v>38</v>
      </c>
      <c r="B1037" s="188" t="s">
        <v>69</v>
      </c>
      <c r="C1037" s="307" t="s">
        <v>106</v>
      </c>
      <c r="D1037" s="308"/>
      <c r="E1037" s="150"/>
      <c r="F1037" s="191" t="s">
        <v>71</v>
      </c>
      <c r="G1037" s="202" t="s">
        <v>156</v>
      </c>
      <c r="H1037" s="202" t="s">
        <v>156</v>
      </c>
      <c r="I1037" s="202" t="s">
        <v>156</v>
      </c>
      <c r="J1037" s="202" t="s">
        <v>156</v>
      </c>
      <c r="K1037" s="202" t="s">
        <v>156</v>
      </c>
      <c r="L1037" s="202" t="s">
        <v>156</v>
      </c>
      <c r="M1037" s="89"/>
      <c r="N1037" s="220"/>
      <c r="O1037" s="199"/>
      <c r="P1037" s="200"/>
      <c r="Q1037" s="309"/>
      <c r="R1037" s="309"/>
      <c r="S1037" s="86"/>
      <c r="T1037" s="86"/>
      <c r="U1037" s="86"/>
      <c r="V1037" s="86"/>
      <c r="W1037" s="86"/>
      <c r="X1037" s="86"/>
      <c r="Y1037" s="86"/>
      <c r="Z1037" s="86"/>
      <c r="AA1037" s="86"/>
      <c r="AB1037" s="86"/>
      <c r="AC1037" s="86"/>
    </row>
    <row r="1038" spans="1:29" ht="25.5" customHeight="1">
      <c r="A1038" s="310" t="s">
        <v>92</v>
      </c>
      <c r="B1038" s="310"/>
      <c r="C1038" s="310"/>
      <c r="D1038" s="310"/>
      <c r="E1038" s="310"/>
      <c r="F1038" s="310"/>
      <c r="G1038" s="310"/>
      <c r="H1038" s="310"/>
      <c r="I1038" s="310"/>
      <c r="J1038" s="310"/>
      <c r="K1038" s="310"/>
      <c r="L1038" s="310"/>
      <c r="M1038" s="92"/>
    </row>
    <row r="1039" spans="1:29" ht="19.5" customHeight="1">
      <c r="A1039" s="139"/>
      <c r="B1039" s="139"/>
      <c r="C1039" s="140"/>
      <c r="D1039" s="140" t="s">
        <v>145</v>
      </c>
      <c r="E1039" s="140"/>
      <c r="F1039" s="152" t="s">
        <v>54</v>
      </c>
      <c r="G1039" s="152"/>
      <c r="H1039" s="152"/>
      <c r="I1039" s="152"/>
      <c r="J1039" s="152" t="s">
        <v>144</v>
      </c>
      <c r="K1039" s="152"/>
      <c r="L1039" s="140"/>
      <c r="M1039" s="94"/>
    </row>
    <row r="1040" spans="1:29" ht="28.5" customHeight="1">
      <c r="A1040" s="310" t="s">
        <v>93</v>
      </c>
      <c r="B1040" s="310"/>
      <c r="C1040" s="310"/>
      <c r="D1040" s="310"/>
      <c r="E1040" s="310"/>
      <c r="F1040" s="310"/>
      <c r="G1040" s="310"/>
      <c r="H1040" s="310"/>
      <c r="I1040" s="310"/>
      <c r="J1040" s="310"/>
      <c r="K1040" s="310"/>
      <c r="L1040" s="310"/>
      <c r="M1040" s="92"/>
      <c r="N1040" s="311"/>
      <c r="O1040" s="311"/>
      <c r="P1040" s="311"/>
    </row>
    <row r="1041" spans="1:16" ht="20.25" customHeight="1">
      <c r="A1041" s="139"/>
      <c r="B1041" s="139"/>
      <c r="C1041" s="139"/>
      <c r="D1041" s="140" t="s">
        <v>145</v>
      </c>
      <c r="E1041" s="140"/>
      <c r="F1041" s="152" t="s">
        <v>54</v>
      </c>
      <c r="G1041" s="152"/>
      <c r="H1041" s="152"/>
      <c r="I1041" s="152"/>
      <c r="J1041" s="152" t="s">
        <v>144</v>
      </c>
      <c r="K1041" s="152"/>
      <c r="L1041" s="139"/>
      <c r="M1041" s="94"/>
      <c r="N1041" s="221"/>
      <c r="O1041" s="95"/>
      <c r="P1041" s="95"/>
    </row>
    <row r="1042" spans="1:16" ht="26.25" customHeight="1">
      <c r="A1042" s="312" t="s">
        <v>94</v>
      </c>
      <c r="B1042" s="312"/>
      <c r="C1042" s="312"/>
      <c r="D1042" s="312"/>
      <c r="E1042" s="312"/>
      <c r="F1042" s="312"/>
      <c r="G1042" s="312"/>
      <c r="H1042" s="312"/>
      <c r="I1042" s="312"/>
      <c r="J1042" s="312"/>
      <c r="K1042" s="312"/>
      <c r="L1042" s="312"/>
      <c r="M1042" s="92"/>
    </row>
    <row r="1043" spans="1:16" ht="22.5" customHeight="1">
      <c r="A1043" s="120"/>
      <c r="B1043" s="120"/>
      <c r="C1043" s="120"/>
      <c r="D1043" s="120"/>
      <c r="E1043" s="120"/>
      <c r="F1043" s="120"/>
      <c r="G1043" s="120"/>
      <c r="H1043" s="120"/>
      <c r="I1043" s="120"/>
      <c r="J1043" s="120"/>
      <c r="K1043" s="120"/>
      <c r="L1043" s="120"/>
      <c r="M1043" s="94"/>
    </row>
    <row r="1044" spans="1:16" ht="22.5" customHeight="1">
      <c r="A1044" s="313" t="s">
        <v>95</v>
      </c>
      <c r="B1044" s="313"/>
      <c r="C1044" s="313"/>
      <c r="D1044" s="313"/>
      <c r="E1044" s="313"/>
      <c r="F1044" s="313"/>
      <c r="G1044" s="313"/>
      <c r="H1044" s="313"/>
      <c r="I1044" s="313"/>
      <c r="J1044" s="313"/>
      <c r="K1044" s="313"/>
      <c r="L1044" s="313"/>
      <c r="M1044" s="92"/>
    </row>
    <row r="1045" spans="1:16" ht="19.5" customHeight="1">
      <c r="A1045" s="97"/>
      <c r="B1045" s="97"/>
      <c r="C1045" s="145"/>
      <c r="D1045" s="97"/>
      <c r="E1045" s="97"/>
      <c r="F1045" s="97"/>
      <c r="G1045" s="97"/>
      <c r="H1045" s="97"/>
      <c r="I1045" s="97"/>
      <c r="J1045" s="97"/>
      <c r="K1045" s="97"/>
      <c r="L1045" s="97"/>
      <c r="M1045" s="94"/>
    </row>
    <row r="1046" spans="1:16" ht="15.75">
      <c r="A1046" s="94"/>
      <c r="B1046" s="94"/>
      <c r="C1046" s="146"/>
      <c r="D1046" s="94"/>
      <c r="E1046" s="94"/>
      <c r="F1046" s="94"/>
      <c r="G1046" s="94"/>
      <c r="H1046" s="94"/>
      <c r="I1046" s="94"/>
      <c r="J1046" s="94"/>
      <c r="K1046" s="94"/>
      <c r="L1046" s="94"/>
      <c r="M1046" s="94"/>
    </row>
    <row r="1047" spans="1:16" ht="31.5" customHeight="1">
      <c r="A1047" s="314" t="s">
        <v>96</v>
      </c>
      <c r="B1047" s="314"/>
      <c r="C1047" s="314"/>
      <c r="D1047" s="314"/>
      <c r="E1047" s="98"/>
      <c r="F1047" s="98"/>
      <c r="G1047" s="98"/>
      <c r="H1047" s="315" t="s">
        <v>97</v>
      </c>
      <c r="I1047" s="315"/>
      <c r="J1047" s="315"/>
      <c r="K1047" s="315"/>
      <c r="L1047" s="315"/>
      <c r="M1047" s="94"/>
    </row>
    <row r="1048" spans="1:16" ht="95.1" customHeight="1">
      <c r="A1048" s="99"/>
      <c r="B1048" s="101" t="str">
        <f>B978</f>
        <v>Ông Huỳnh Phước Hải        ….............</v>
      </c>
      <c r="C1048" s="147"/>
      <c r="D1048" s="99"/>
      <c r="E1048" s="81"/>
      <c r="F1048" s="100"/>
      <c r="G1048" s="100"/>
      <c r="H1048" s="306" t="str">
        <f>H978</f>
        <v>Ông Phạm Tấn Việt          …..................</v>
      </c>
      <c r="I1048" s="306"/>
      <c r="J1048" s="306"/>
      <c r="K1048" s="306"/>
      <c r="L1048" s="306"/>
      <c r="M1048" s="94"/>
    </row>
    <row r="1049" spans="1:16" ht="23.25" customHeight="1">
      <c r="A1049" s="99"/>
      <c r="B1049" s="101"/>
      <c r="C1049" s="147"/>
      <c r="D1049" s="99"/>
      <c r="E1049" s="81"/>
      <c r="F1049" s="100"/>
      <c r="G1049" s="100"/>
      <c r="H1049" s="204"/>
      <c r="I1049" s="204"/>
      <c r="J1049" s="204"/>
      <c r="K1049" s="204"/>
      <c r="L1049" s="204"/>
      <c r="M1049" s="94"/>
    </row>
    <row r="1050" spans="1:16" ht="21.75" customHeight="1">
      <c r="A1050" s="348" t="s">
        <v>165</v>
      </c>
      <c r="B1050" s="348"/>
      <c r="C1050" s="348"/>
      <c r="D1050" s="348"/>
      <c r="E1050" s="348"/>
      <c r="F1050" s="348"/>
      <c r="G1050" s="348"/>
      <c r="H1050" s="348"/>
      <c r="I1050" s="348"/>
      <c r="J1050" s="348"/>
      <c r="K1050" s="348"/>
      <c r="L1050" s="348"/>
      <c r="M1050" s="82"/>
    </row>
    <row r="1051" spans="1:16" ht="19.5">
      <c r="A1051" s="84" t="str">
        <f>"Ngày "&amp;N1052&amp;" tháng "&amp;O3&amp;" năm "&amp;P3&amp;""</f>
        <v>Ngày 16 tháng 07 năm 2026</v>
      </c>
      <c r="B1051" s="84"/>
      <c r="C1051" s="85"/>
      <c r="N1051" s="216"/>
      <c r="O1051" s="20"/>
      <c r="P1051" s="20"/>
    </row>
    <row r="1052" spans="1:16" ht="16.5">
      <c r="A1052" s="337" t="s">
        <v>57</v>
      </c>
      <c r="B1052" s="337"/>
      <c r="C1052" s="337"/>
      <c r="D1052" s="311"/>
      <c r="E1052" s="311"/>
      <c r="F1052" s="311"/>
      <c r="G1052" s="95"/>
      <c r="H1052" s="95"/>
      <c r="I1052" s="95"/>
      <c r="J1052" s="95"/>
      <c r="K1052" s="95"/>
      <c r="L1052" s="95"/>
      <c r="N1052" s="217" t="s">
        <v>178</v>
      </c>
      <c r="O1052" s="214"/>
      <c r="P1052" s="17"/>
    </row>
    <row r="1053" spans="1:16" ht="15.75" customHeight="1">
      <c r="A1053" s="338"/>
      <c r="B1053" s="338"/>
      <c r="C1053" s="338"/>
      <c r="D1053" s="339" t="s">
        <v>58</v>
      </c>
      <c r="E1053" s="340"/>
      <c r="F1053" s="340"/>
      <c r="G1053" s="340"/>
      <c r="H1053" s="341"/>
      <c r="I1053" s="339" t="s">
        <v>59</v>
      </c>
      <c r="J1053" s="340"/>
      <c r="K1053" s="340"/>
      <c r="L1053" s="341"/>
    </row>
    <row r="1054" spans="1:16" ht="19.5" customHeight="1">
      <c r="A1054" s="342" t="s">
        <v>60</v>
      </c>
      <c r="B1054" s="342"/>
      <c r="C1054" s="342"/>
      <c r="D1054" s="343" t="s">
        <v>54</v>
      </c>
      <c r="E1054" s="344"/>
      <c r="F1054" s="344"/>
      <c r="G1054" s="344"/>
      <c r="H1054" s="345"/>
      <c r="I1054" s="343" t="s">
        <v>54</v>
      </c>
      <c r="J1054" s="344"/>
      <c r="K1054" s="344"/>
      <c r="L1054" s="345"/>
    </row>
    <row r="1055" spans="1:16" ht="22.5" customHeight="1">
      <c r="A1055" s="342" t="s">
        <v>61</v>
      </c>
      <c r="B1055" s="342"/>
      <c r="C1055" s="342"/>
      <c r="D1055" s="343" t="s">
        <v>163</v>
      </c>
      <c r="E1055" s="344"/>
      <c r="F1055" s="344"/>
      <c r="G1055" s="344"/>
      <c r="H1055" s="345"/>
      <c r="I1055" s="343" t="str">
        <f>D1055</f>
        <v>31° - 34°</v>
      </c>
      <c r="J1055" s="344"/>
      <c r="K1055" s="344"/>
      <c r="L1055" s="345"/>
    </row>
    <row r="1056" spans="1:16" s="87" customFormat="1" ht="19.5" customHeight="1">
      <c r="A1056" s="310" t="s">
        <v>62</v>
      </c>
      <c r="B1056" s="310"/>
      <c r="C1056" s="310"/>
      <c r="D1056" s="310"/>
      <c r="E1056" s="310"/>
      <c r="F1056" s="310"/>
      <c r="G1056" s="310"/>
      <c r="H1056" s="310"/>
      <c r="I1056" s="310"/>
      <c r="J1056" s="310"/>
      <c r="K1056" s="310"/>
      <c r="L1056" s="310"/>
      <c r="M1056" s="85"/>
      <c r="N1056" s="218"/>
    </row>
    <row r="1057" spans="1:29" s="87" customFormat="1" ht="15.75">
      <c r="A1057" s="332" t="s">
        <v>63</v>
      </c>
      <c r="B1057" s="332"/>
      <c r="C1057" s="332"/>
      <c r="D1057" s="332"/>
      <c r="E1057" s="332"/>
      <c r="F1057" s="332"/>
      <c r="G1057" s="332"/>
      <c r="H1057" s="332"/>
      <c r="I1057" s="332"/>
      <c r="J1057" s="332"/>
      <c r="K1057" s="332"/>
      <c r="L1057" s="332"/>
      <c r="M1057" s="85"/>
      <c r="N1057" s="218"/>
    </row>
    <row r="1058" spans="1:29" s="87" customFormat="1" ht="20.100000000000001" customHeight="1">
      <c r="A1058" s="88"/>
      <c r="B1058" s="88"/>
      <c r="C1058" s="333" t="s">
        <v>64</v>
      </c>
      <c r="D1058" s="334"/>
      <c r="E1058" s="334"/>
      <c r="F1058" s="334"/>
      <c r="G1058" s="334"/>
      <c r="H1058" s="334"/>
      <c r="I1058" s="334"/>
      <c r="J1058" s="334"/>
      <c r="K1058" s="334"/>
      <c r="L1058" s="334"/>
      <c r="M1058" s="85"/>
      <c r="N1058" s="218"/>
    </row>
    <row r="1059" spans="1:29" s="87" customFormat="1" ht="20.100000000000001" customHeight="1">
      <c r="A1059" s="88"/>
      <c r="B1059" s="88"/>
      <c r="C1059" s="333" t="s">
        <v>65</v>
      </c>
      <c r="D1059" s="334"/>
      <c r="E1059" s="334"/>
      <c r="F1059" s="334"/>
      <c r="G1059" s="334"/>
      <c r="H1059" s="334"/>
      <c r="I1059" s="334"/>
      <c r="J1059" s="334"/>
      <c r="K1059" s="334"/>
      <c r="L1059" s="334"/>
      <c r="M1059" s="85"/>
      <c r="N1059" s="218"/>
    </row>
    <row r="1060" spans="1:29" s="87" customFormat="1" ht="17.25" customHeight="1">
      <c r="A1060" s="335" t="s">
        <v>66</v>
      </c>
      <c r="B1060" s="335"/>
      <c r="C1060" s="335"/>
      <c r="D1060" s="335"/>
      <c r="E1060" s="335"/>
      <c r="F1060" s="335"/>
      <c r="G1060" s="335"/>
      <c r="H1060" s="335"/>
      <c r="I1060" s="335"/>
      <c r="J1060" s="335"/>
      <c r="K1060" s="335"/>
      <c r="L1060" s="335"/>
      <c r="M1060" s="85"/>
      <c r="N1060" s="218"/>
    </row>
    <row r="1061" spans="1:29" s="87" customFormat="1" ht="7.5" customHeight="1">
      <c r="A1061" s="119"/>
      <c r="B1061" s="119"/>
      <c r="C1061" s="119"/>
      <c r="D1061" s="119"/>
      <c r="E1061" s="119"/>
      <c r="F1061" s="119"/>
      <c r="G1061" s="119"/>
      <c r="H1061" s="119"/>
      <c r="I1061" s="119"/>
      <c r="J1061" s="119"/>
      <c r="K1061" s="119"/>
      <c r="L1061" s="119"/>
      <c r="M1061" s="85"/>
      <c r="N1061" s="218"/>
    </row>
    <row r="1062" spans="1:29" ht="15.75">
      <c r="A1062" s="336" t="s">
        <v>67</v>
      </c>
      <c r="B1062" s="336"/>
      <c r="C1062" s="336"/>
      <c r="D1062" s="336"/>
      <c r="E1062" s="336"/>
      <c r="F1062" s="336"/>
      <c r="G1062" s="336"/>
      <c r="H1062" s="336"/>
      <c r="I1062" s="336"/>
      <c r="J1062" s="336"/>
      <c r="K1062" s="336"/>
      <c r="L1062" s="336"/>
    </row>
    <row r="1063" spans="1:29" ht="2.25" customHeight="1">
      <c r="A1063" s="141"/>
      <c r="B1063" s="141"/>
      <c r="C1063" s="141"/>
      <c r="D1063" s="141"/>
      <c r="E1063" s="141"/>
      <c r="F1063" s="141"/>
      <c r="G1063" s="155"/>
      <c r="H1063" s="155"/>
      <c r="I1063" s="155"/>
      <c r="J1063" s="155"/>
      <c r="K1063" s="155"/>
      <c r="L1063" s="155"/>
    </row>
    <row r="1064" spans="1:29" ht="27.75" customHeight="1">
      <c r="A1064" s="317" t="s">
        <v>135</v>
      </c>
      <c r="B1064" s="318"/>
      <c r="C1064" s="317" t="s">
        <v>68</v>
      </c>
      <c r="D1064" s="318"/>
      <c r="E1064" s="183"/>
      <c r="F1064" s="321" t="s">
        <v>136</v>
      </c>
      <c r="G1064" s="322" t="s">
        <v>155</v>
      </c>
      <c r="H1064" s="323"/>
      <c r="I1064" s="323"/>
      <c r="J1064" s="322" t="s">
        <v>154</v>
      </c>
      <c r="K1064" s="323"/>
      <c r="L1064" s="324"/>
      <c r="M1064" s="92"/>
      <c r="O1064" s="325"/>
      <c r="P1064" s="325"/>
      <c r="Q1064" s="325"/>
      <c r="R1064" s="325"/>
      <c r="S1064" s="316"/>
      <c r="T1064" s="316"/>
      <c r="U1064" s="316"/>
      <c r="V1064" s="316"/>
      <c r="W1064" s="316"/>
      <c r="X1064" s="316"/>
      <c r="Y1064" s="316"/>
      <c r="Z1064" s="316"/>
      <c r="AA1064" s="316"/>
      <c r="AB1064" s="316"/>
      <c r="AC1064" s="316"/>
    </row>
    <row r="1065" spans="1:29" ht="125.25" customHeight="1">
      <c r="A1065" s="319"/>
      <c r="B1065" s="320"/>
      <c r="C1065" s="319"/>
      <c r="D1065" s="320"/>
      <c r="E1065" s="184"/>
      <c r="F1065" s="321"/>
      <c r="G1065" s="153" t="s">
        <v>151</v>
      </c>
      <c r="H1065" s="153" t="s">
        <v>152</v>
      </c>
      <c r="I1065" s="153" t="s">
        <v>153</v>
      </c>
      <c r="J1065" s="153" t="s">
        <v>151</v>
      </c>
      <c r="K1065" s="153" t="s">
        <v>152</v>
      </c>
      <c r="L1065" s="153" t="s">
        <v>153</v>
      </c>
      <c r="O1065" s="325"/>
      <c r="P1065" s="325"/>
      <c r="Q1065" s="325"/>
      <c r="R1065" s="325"/>
      <c r="S1065" s="193"/>
      <c r="T1065" s="193"/>
      <c r="U1065" s="193"/>
      <c r="V1065" s="193"/>
      <c r="W1065" s="193"/>
      <c r="X1065" s="193"/>
      <c r="Y1065" s="193"/>
      <c r="Z1065" s="193"/>
      <c r="AA1065" s="193"/>
      <c r="AB1065" s="193"/>
      <c r="AC1065" s="193"/>
    </row>
    <row r="1066" spans="1:29" ht="24.75" customHeight="1">
      <c r="A1066" s="190" t="s">
        <v>128</v>
      </c>
      <c r="B1066" s="142"/>
      <c r="C1066" s="330" t="s">
        <v>129</v>
      </c>
      <c r="D1066" s="330"/>
      <c r="E1066" s="330"/>
      <c r="F1066" s="330"/>
      <c r="G1066" s="330"/>
      <c r="H1066" s="330"/>
      <c r="I1066" s="330"/>
      <c r="J1066" s="330"/>
      <c r="K1066" s="330"/>
      <c r="L1066" s="330"/>
      <c r="M1066" s="93"/>
      <c r="O1066" s="156"/>
      <c r="P1066" s="142"/>
      <c r="Q1066" s="331"/>
      <c r="R1066" s="331"/>
      <c r="S1066" s="331"/>
      <c r="T1066" s="331"/>
      <c r="U1066" s="331"/>
      <c r="V1066" s="331"/>
      <c r="W1066" s="331"/>
      <c r="X1066" s="331"/>
      <c r="Y1066" s="331"/>
      <c r="Z1066" s="331"/>
      <c r="AA1066" s="331"/>
      <c r="AB1066" s="331"/>
      <c r="AC1066" s="331"/>
    </row>
    <row r="1067" spans="1:29" ht="20.100000000000001" customHeight="1">
      <c r="A1067" s="187">
        <v>1</v>
      </c>
      <c r="B1067" s="185" t="s">
        <v>69</v>
      </c>
      <c r="C1067" s="326" t="s">
        <v>70</v>
      </c>
      <c r="D1067" s="326"/>
      <c r="E1067" s="176"/>
      <c r="F1067" s="144" t="s">
        <v>71</v>
      </c>
      <c r="G1067" s="203" t="s">
        <v>156</v>
      </c>
      <c r="H1067" s="202" t="s">
        <v>156</v>
      </c>
      <c r="I1067" s="201">
        <v>1</v>
      </c>
      <c r="J1067" s="202" t="s">
        <v>156</v>
      </c>
      <c r="K1067" s="202" t="s">
        <v>156</v>
      </c>
      <c r="L1067" s="201">
        <v>1</v>
      </c>
      <c r="M1067" s="93"/>
      <c r="O1067" s="195"/>
      <c r="P1067" s="196"/>
      <c r="Q1067" s="327"/>
      <c r="R1067" s="327"/>
      <c r="S1067" s="86"/>
      <c r="T1067" s="86"/>
      <c r="U1067" s="86"/>
      <c r="V1067" s="86"/>
      <c r="W1067" s="194"/>
      <c r="X1067" s="194"/>
      <c r="Y1067" s="194"/>
      <c r="Z1067" s="194"/>
      <c r="AA1067" s="194"/>
      <c r="AB1067" s="194"/>
      <c r="AC1067" s="194"/>
    </row>
    <row r="1068" spans="1:29" ht="20.100000000000001" customHeight="1">
      <c r="A1068" s="187">
        <v>2</v>
      </c>
      <c r="B1068" s="185" t="s">
        <v>69</v>
      </c>
      <c r="C1068" s="326" t="s">
        <v>72</v>
      </c>
      <c r="D1068" s="326"/>
      <c r="E1068" s="176"/>
      <c r="F1068" s="144" t="s">
        <v>71</v>
      </c>
      <c r="G1068" s="203" t="s">
        <v>156</v>
      </c>
      <c r="H1068" s="202" t="s">
        <v>156</v>
      </c>
      <c r="I1068" s="202" t="s">
        <v>156</v>
      </c>
      <c r="J1068" s="202" t="s">
        <v>156</v>
      </c>
      <c r="K1068" s="202" t="s">
        <v>156</v>
      </c>
      <c r="L1068" s="202" t="s">
        <v>156</v>
      </c>
      <c r="M1068" s="93"/>
      <c r="O1068" s="195"/>
      <c r="P1068" s="196"/>
      <c r="Q1068" s="327"/>
      <c r="R1068" s="327"/>
      <c r="S1068" s="194"/>
      <c r="T1068" s="194"/>
      <c r="U1068" s="194"/>
      <c r="V1068" s="86"/>
      <c r="W1068" s="86"/>
      <c r="X1068" s="86"/>
      <c r="Y1068" s="86"/>
      <c r="Z1068" s="194"/>
      <c r="AA1068" s="194"/>
      <c r="AB1068" s="194"/>
      <c r="AC1068" s="194"/>
    </row>
    <row r="1069" spans="1:29" ht="20.100000000000001" customHeight="1">
      <c r="A1069" s="187">
        <v>3</v>
      </c>
      <c r="B1069" s="185" t="s">
        <v>69</v>
      </c>
      <c r="C1069" s="326" t="s">
        <v>73</v>
      </c>
      <c r="D1069" s="326"/>
      <c r="E1069" s="176"/>
      <c r="F1069" s="144" t="s">
        <v>71</v>
      </c>
      <c r="G1069" s="203" t="s">
        <v>156</v>
      </c>
      <c r="H1069" s="202" t="s">
        <v>156</v>
      </c>
      <c r="I1069" s="202" t="s">
        <v>156</v>
      </c>
      <c r="J1069" s="202" t="s">
        <v>156</v>
      </c>
      <c r="K1069" s="202" t="s">
        <v>156</v>
      </c>
      <c r="L1069" s="202" t="s">
        <v>156</v>
      </c>
      <c r="M1069" s="93"/>
      <c r="O1069" s="195"/>
      <c r="P1069" s="196"/>
      <c r="Q1069" s="327"/>
      <c r="R1069" s="327"/>
      <c r="S1069" s="194"/>
      <c r="T1069" s="86"/>
      <c r="U1069" s="86"/>
      <c r="V1069" s="86"/>
      <c r="W1069" s="86"/>
      <c r="X1069" s="194"/>
      <c r="Y1069" s="194"/>
      <c r="Z1069" s="194"/>
      <c r="AA1069" s="194"/>
      <c r="AB1069" s="194"/>
      <c r="AC1069" s="194"/>
    </row>
    <row r="1070" spans="1:29" ht="20.100000000000001" customHeight="1">
      <c r="A1070" s="187">
        <v>4</v>
      </c>
      <c r="B1070" s="185" t="s">
        <v>69</v>
      </c>
      <c r="C1070" s="326" t="s">
        <v>98</v>
      </c>
      <c r="D1070" s="326"/>
      <c r="E1070" s="176"/>
      <c r="F1070" s="144" t="s">
        <v>71</v>
      </c>
      <c r="G1070" s="203" t="s">
        <v>156</v>
      </c>
      <c r="H1070" s="202" t="s">
        <v>156</v>
      </c>
      <c r="I1070" s="202" t="s">
        <v>156</v>
      </c>
      <c r="J1070" s="202" t="s">
        <v>156</v>
      </c>
      <c r="K1070" s="202" t="s">
        <v>156</v>
      </c>
      <c r="L1070" s="202" t="s">
        <v>156</v>
      </c>
      <c r="M1070" s="93"/>
      <c r="O1070" s="195"/>
      <c r="P1070" s="196"/>
      <c r="Q1070" s="327"/>
      <c r="R1070" s="327"/>
      <c r="S1070" s="194"/>
      <c r="T1070" s="194"/>
      <c r="U1070" s="194"/>
      <c r="V1070" s="194"/>
      <c r="W1070" s="194"/>
      <c r="X1070" s="194"/>
      <c r="Y1070" s="194"/>
      <c r="Z1070" s="86"/>
      <c r="AA1070" s="86"/>
      <c r="AB1070" s="86"/>
      <c r="AC1070" s="86"/>
    </row>
    <row r="1071" spans="1:29" ht="20.100000000000001" customHeight="1">
      <c r="A1071" s="187">
        <v>5</v>
      </c>
      <c r="B1071" s="185" t="s">
        <v>69</v>
      </c>
      <c r="C1071" s="326" t="s">
        <v>74</v>
      </c>
      <c r="D1071" s="326"/>
      <c r="E1071" s="176"/>
      <c r="F1071" s="144" t="s">
        <v>71</v>
      </c>
      <c r="G1071" s="203" t="s">
        <v>156</v>
      </c>
      <c r="H1071" s="202" t="s">
        <v>156</v>
      </c>
      <c r="I1071" s="202" t="s">
        <v>156</v>
      </c>
      <c r="J1071" s="202" t="s">
        <v>156</v>
      </c>
      <c r="K1071" s="202" t="s">
        <v>156</v>
      </c>
      <c r="L1071" s="202" t="s">
        <v>156</v>
      </c>
      <c r="M1071" s="93"/>
      <c r="O1071" s="195"/>
      <c r="P1071" s="196"/>
      <c r="Q1071" s="327"/>
      <c r="R1071" s="327"/>
      <c r="S1071" s="194"/>
      <c r="T1071" s="194"/>
      <c r="U1071" s="194"/>
      <c r="V1071" s="194"/>
      <c r="W1071" s="194"/>
      <c r="X1071" s="194"/>
      <c r="Y1071" s="194"/>
      <c r="Z1071" s="194"/>
      <c r="AA1071" s="194"/>
      <c r="AB1071" s="194"/>
      <c r="AC1071" s="194"/>
    </row>
    <row r="1072" spans="1:29" ht="20.100000000000001" customHeight="1">
      <c r="A1072" s="187">
        <v>6</v>
      </c>
      <c r="B1072" s="185" t="s">
        <v>69</v>
      </c>
      <c r="C1072" s="326" t="s">
        <v>75</v>
      </c>
      <c r="D1072" s="326"/>
      <c r="E1072" s="176"/>
      <c r="F1072" s="144" t="s">
        <v>71</v>
      </c>
      <c r="G1072" s="203" t="s">
        <v>156</v>
      </c>
      <c r="H1072" s="202" t="s">
        <v>156</v>
      </c>
      <c r="I1072" s="202" t="s">
        <v>156</v>
      </c>
      <c r="J1072" s="202" t="s">
        <v>156</v>
      </c>
      <c r="K1072" s="202" t="s">
        <v>156</v>
      </c>
      <c r="L1072" s="202" t="s">
        <v>156</v>
      </c>
      <c r="M1072" s="93"/>
      <c r="O1072" s="195"/>
      <c r="P1072" s="196"/>
      <c r="Q1072" s="327"/>
      <c r="R1072" s="327"/>
      <c r="S1072" s="194"/>
      <c r="T1072" s="194"/>
      <c r="U1072" s="194"/>
      <c r="V1072" s="194"/>
      <c r="W1072" s="194"/>
      <c r="X1072" s="194"/>
      <c r="Y1072" s="194"/>
      <c r="Z1072" s="194"/>
      <c r="AA1072" s="194"/>
      <c r="AB1072" s="194"/>
      <c r="AC1072" s="194"/>
    </row>
    <row r="1073" spans="1:29" ht="20.100000000000001" customHeight="1">
      <c r="A1073" s="187">
        <v>7</v>
      </c>
      <c r="B1073" s="185" t="s">
        <v>69</v>
      </c>
      <c r="C1073" s="326" t="s">
        <v>76</v>
      </c>
      <c r="D1073" s="326"/>
      <c r="E1073" s="176"/>
      <c r="F1073" s="144" t="s">
        <v>71</v>
      </c>
      <c r="G1073" s="203" t="s">
        <v>156</v>
      </c>
      <c r="H1073" s="202" t="s">
        <v>156</v>
      </c>
      <c r="I1073" s="202" t="s">
        <v>156</v>
      </c>
      <c r="J1073" s="202" t="s">
        <v>156</v>
      </c>
      <c r="K1073" s="202" t="s">
        <v>156</v>
      </c>
      <c r="L1073" s="202" t="s">
        <v>156</v>
      </c>
      <c r="M1073" s="93"/>
      <c r="O1073" s="195"/>
      <c r="P1073" s="196"/>
      <c r="Q1073" s="327"/>
      <c r="R1073" s="327"/>
      <c r="S1073" s="194"/>
      <c r="T1073" s="194"/>
      <c r="U1073" s="194"/>
      <c r="V1073" s="194"/>
      <c r="W1073" s="194"/>
      <c r="X1073" s="194"/>
      <c r="Y1073" s="194"/>
      <c r="Z1073" s="194"/>
      <c r="AA1073" s="194"/>
      <c r="AB1073" s="194"/>
      <c r="AC1073" s="194"/>
    </row>
    <row r="1074" spans="1:29" ht="20.100000000000001" customHeight="1">
      <c r="A1074" s="187">
        <v>8</v>
      </c>
      <c r="B1074" s="185" t="s">
        <v>69</v>
      </c>
      <c r="C1074" s="326" t="s">
        <v>99</v>
      </c>
      <c r="D1074" s="326"/>
      <c r="E1074" s="176"/>
      <c r="F1074" s="144" t="s">
        <v>71</v>
      </c>
      <c r="G1074" s="203" t="s">
        <v>156</v>
      </c>
      <c r="H1074" s="202" t="s">
        <v>156</v>
      </c>
      <c r="I1074" s="202" t="s">
        <v>156</v>
      </c>
      <c r="J1074" s="202" t="s">
        <v>156</v>
      </c>
      <c r="K1074" s="202" t="s">
        <v>156</v>
      </c>
      <c r="L1074" s="202" t="s">
        <v>156</v>
      </c>
      <c r="M1074" s="93"/>
      <c r="O1074" s="195"/>
      <c r="P1074" s="196"/>
      <c r="Q1074" s="327"/>
      <c r="R1074" s="327"/>
      <c r="S1074" s="194"/>
      <c r="T1074" s="194"/>
      <c r="U1074" s="194"/>
      <c r="V1074" s="194"/>
      <c r="W1074" s="194"/>
      <c r="X1074" s="194"/>
      <c r="Y1074" s="194"/>
      <c r="Z1074" s="194"/>
      <c r="AA1074" s="194"/>
      <c r="AB1074" s="194"/>
      <c r="AC1074" s="194"/>
    </row>
    <row r="1075" spans="1:29" ht="20.100000000000001" customHeight="1">
      <c r="A1075" s="187">
        <v>9</v>
      </c>
      <c r="B1075" s="185" t="s">
        <v>69</v>
      </c>
      <c r="C1075" s="326" t="s">
        <v>77</v>
      </c>
      <c r="D1075" s="326"/>
      <c r="E1075" s="176"/>
      <c r="F1075" s="144" t="s">
        <v>71</v>
      </c>
      <c r="G1075" s="203" t="s">
        <v>156</v>
      </c>
      <c r="H1075" s="202" t="s">
        <v>156</v>
      </c>
      <c r="I1075" s="202" t="s">
        <v>156</v>
      </c>
      <c r="J1075" s="202" t="s">
        <v>156</v>
      </c>
      <c r="K1075" s="202" t="s">
        <v>156</v>
      </c>
      <c r="L1075" s="202" t="s">
        <v>156</v>
      </c>
      <c r="M1075" s="93"/>
      <c r="O1075" s="195"/>
      <c r="P1075" s="196"/>
      <c r="Q1075" s="327"/>
      <c r="R1075" s="327"/>
      <c r="S1075" s="194"/>
      <c r="T1075" s="194"/>
      <c r="U1075" s="194"/>
      <c r="V1075" s="194"/>
      <c r="W1075" s="194"/>
      <c r="X1075" s="194"/>
      <c r="Y1075" s="194"/>
      <c r="Z1075" s="194"/>
      <c r="AA1075" s="194"/>
      <c r="AB1075" s="194"/>
      <c r="AC1075" s="194"/>
    </row>
    <row r="1076" spans="1:29" ht="20.100000000000001" customHeight="1">
      <c r="A1076" s="187">
        <v>10</v>
      </c>
      <c r="B1076" s="185" t="s">
        <v>69</v>
      </c>
      <c r="C1076" s="326" t="s">
        <v>78</v>
      </c>
      <c r="D1076" s="326"/>
      <c r="E1076" s="176"/>
      <c r="F1076" s="144" t="s">
        <v>71</v>
      </c>
      <c r="G1076" s="203" t="s">
        <v>156</v>
      </c>
      <c r="H1076" s="202" t="s">
        <v>156</v>
      </c>
      <c r="I1076" s="202" t="s">
        <v>156</v>
      </c>
      <c r="J1076" s="202" t="s">
        <v>156</v>
      </c>
      <c r="K1076" s="202" t="s">
        <v>156</v>
      </c>
      <c r="L1076" s="202" t="s">
        <v>156</v>
      </c>
      <c r="M1076" s="93"/>
      <c r="O1076" s="195"/>
      <c r="P1076" s="196"/>
      <c r="Q1076" s="327"/>
      <c r="R1076" s="327"/>
      <c r="S1076" s="194"/>
      <c r="T1076" s="194"/>
      <c r="U1076" s="194"/>
      <c r="V1076" s="194"/>
      <c r="W1076" s="194"/>
      <c r="X1076" s="194"/>
      <c r="Y1076" s="194"/>
      <c r="Z1076" s="194"/>
      <c r="AA1076" s="194"/>
      <c r="AB1076" s="194"/>
      <c r="AC1076" s="194"/>
    </row>
    <row r="1077" spans="1:29" ht="20.100000000000001" customHeight="1">
      <c r="A1077" s="187">
        <v>11</v>
      </c>
      <c r="B1077" s="185" t="s">
        <v>69</v>
      </c>
      <c r="C1077" s="326" t="s">
        <v>79</v>
      </c>
      <c r="D1077" s="326"/>
      <c r="E1077" s="176"/>
      <c r="F1077" s="144" t="s">
        <v>71</v>
      </c>
      <c r="G1077" s="203" t="s">
        <v>156</v>
      </c>
      <c r="H1077" s="202" t="s">
        <v>156</v>
      </c>
      <c r="I1077" s="202" t="s">
        <v>156</v>
      </c>
      <c r="J1077" s="202" t="s">
        <v>156</v>
      </c>
      <c r="K1077" s="202" t="s">
        <v>156</v>
      </c>
      <c r="L1077" s="202" t="s">
        <v>156</v>
      </c>
      <c r="M1077" s="93"/>
      <c r="O1077" s="195"/>
      <c r="P1077" s="196"/>
      <c r="Q1077" s="327"/>
      <c r="R1077" s="327"/>
      <c r="S1077" s="194"/>
      <c r="T1077" s="194"/>
      <c r="U1077" s="194"/>
      <c r="V1077" s="194"/>
      <c r="W1077" s="194"/>
      <c r="X1077" s="194"/>
      <c r="Y1077" s="194"/>
      <c r="Z1077" s="194"/>
      <c r="AA1077" s="194"/>
      <c r="AB1077" s="194"/>
      <c r="AC1077" s="194"/>
    </row>
    <row r="1078" spans="1:29" ht="20.100000000000001" customHeight="1">
      <c r="A1078" s="187">
        <v>12</v>
      </c>
      <c r="B1078" s="185" t="s">
        <v>69</v>
      </c>
      <c r="C1078" s="326" t="s">
        <v>100</v>
      </c>
      <c r="D1078" s="326"/>
      <c r="E1078" s="176"/>
      <c r="F1078" s="144" t="s">
        <v>71</v>
      </c>
      <c r="G1078" s="203" t="s">
        <v>156</v>
      </c>
      <c r="H1078" s="202" t="s">
        <v>156</v>
      </c>
      <c r="I1078" s="202" t="s">
        <v>156</v>
      </c>
      <c r="J1078" s="202" t="s">
        <v>156</v>
      </c>
      <c r="K1078" s="202" t="s">
        <v>156</v>
      </c>
      <c r="L1078" s="202" t="s">
        <v>156</v>
      </c>
      <c r="M1078" s="93"/>
      <c r="O1078" s="195"/>
      <c r="P1078" s="196"/>
      <c r="Q1078" s="327"/>
      <c r="R1078" s="327"/>
      <c r="S1078" s="194"/>
      <c r="T1078" s="194"/>
      <c r="U1078" s="194"/>
      <c r="V1078" s="194"/>
      <c r="W1078" s="194"/>
      <c r="X1078" s="194"/>
      <c r="Y1078" s="194"/>
      <c r="Z1078" s="194"/>
      <c r="AA1078" s="194"/>
      <c r="AB1078" s="194"/>
      <c r="AC1078" s="194"/>
    </row>
    <row r="1079" spans="1:29" ht="20.100000000000001" customHeight="1">
      <c r="A1079" s="187">
        <v>13</v>
      </c>
      <c r="B1079" s="185" t="s">
        <v>69</v>
      </c>
      <c r="C1079" s="326" t="s">
        <v>80</v>
      </c>
      <c r="D1079" s="326"/>
      <c r="E1079" s="176"/>
      <c r="F1079" s="144" t="s">
        <v>71</v>
      </c>
      <c r="G1079" s="203" t="s">
        <v>156</v>
      </c>
      <c r="H1079" s="202" t="s">
        <v>156</v>
      </c>
      <c r="I1079" s="202" t="s">
        <v>156</v>
      </c>
      <c r="J1079" s="202" t="s">
        <v>156</v>
      </c>
      <c r="K1079" s="202" t="s">
        <v>156</v>
      </c>
      <c r="L1079" s="202" t="s">
        <v>156</v>
      </c>
      <c r="M1079" s="93"/>
      <c r="O1079" s="195"/>
      <c r="P1079" s="196"/>
      <c r="Q1079" s="327"/>
      <c r="R1079" s="327"/>
      <c r="S1079" s="194"/>
      <c r="T1079" s="194"/>
      <c r="U1079" s="194"/>
      <c r="V1079" s="194"/>
      <c r="W1079" s="194"/>
      <c r="X1079" s="194"/>
      <c r="Y1079" s="194"/>
      <c r="Z1079" s="194"/>
      <c r="AA1079" s="194"/>
      <c r="AB1079" s="194"/>
      <c r="AC1079" s="194"/>
    </row>
    <row r="1080" spans="1:29" ht="20.100000000000001" customHeight="1">
      <c r="A1080" s="187">
        <v>14</v>
      </c>
      <c r="B1080" s="185" t="s">
        <v>69</v>
      </c>
      <c r="C1080" s="326" t="s">
        <v>91</v>
      </c>
      <c r="D1080" s="326"/>
      <c r="E1080" s="176"/>
      <c r="F1080" s="144" t="s">
        <v>71</v>
      </c>
      <c r="G1080" s="203" t="s">
        <v>156</v>
      </c>
      <c r="H1080" s="202" t="s">
        <v>156</v>
      </c>
      <c r="I1080" s="202" t="s">
        <v>156</v>
      </c>
      <c r="J1080" s="202" t="s">
        <v>156</v>
      </c>
      <c r="K1080" s="202" t="s">
        <v>156</v>
      </c>
      <c r="L1080" s="202" t="s">
        <v>156</v>
      </c>
      <c r="M1080" s="93"/>
      <c r="O1080" s="195"/>
      <c r="P1080" s="196"/>
      <c r="Q1080" s="327"/>
      <c r="R1080" s="327"/>
      <c r="S1080" s="194"/>
      <c r="T1080" s="194"/>
      <c r="U1080" s="194"/>
      <c r="V1080" s="194"/>
      <c r="W1080" s="194"/>
      <c r="X1080" s="194"/>
      <c r="Y1080" s="194"/>
      <c r="Z1080" s="194"/>
      <c r="AA1080" s="194"/>
      <c r="AB1080" s="194"/>
      <c r="AC1080" s="194"/>
    </row>
    <row r="1081" spans="1:29" ht="20.100000000000001" customHeight="1">
      <c r="A1081" s="187">
        <v>15</v>
      </c>
      <c r="B1081" s="185" t="s">
        <v>69</v>
      </c>
      <c r="C1081" s="326" t="s">
        <v>81</v>
      </c>
      <c r="D1081" s="326"/>
      <c r="E1081" s="176"/>
      <c r="F1081" s="144" t="s">
        <v>71</v>
      </c>
      <c r="G1081" s="203" t="s">
        <v>156</v>
      </c>
      <c r="H1081" s="202" t="s">
        <v>156</v>
      </c>
      <c r="I1081" s="202" t="s">
        <v>156</v>
      </c>
      <c r="J1081" s="202" t="s">
        <v>156</v>
      </c>
      <c r="K1081" s="202" t="s">
        <v>156</v>
      </c>
      <c r="L1081" s="202" t="s">
        <v>156</v>
      </c>
      <c r="M1081" s="93"/>
      <c r="O1081" s="195"/>
      <c r="P1081" s="196"/>
      <c r="Q1081" s="327"/>
      <c r="R1081" s="327"/>
      <c r="S1081" s="194"/>
      <c r="T1081" s="194"/>
      <c r="U1081" s="194"/>
      <c r="V1081" s="194"/>
      <c r="W1081" s="194"/>
      <c r="X1081" s="194"/>
      <c r="Y1081" s="194"/>
      <c r="Z1081" s="194"/>
      <c r="AA1081" s="194"/>
      <c r="AB1081" s="194"/>
      <c r="AC1081" s="194"/>
    </row>
    <row r="1082" spans="1:29" ht="20.100000000000001" customHeight="1">
      <c r="A1082" s="187">
        <v>16</v>
      </c>
      <c r="B1082" s="185" t="s">
        <v>69</v>
      </c>
      <c r="C1082" s="326" t="s">
        <v>101</v>
      </c>
      <c r="D1082" s="326"/>
      <c r="E1082" s="151"/>
      <c r="F1082" s="144" t="s">
        <v>71</v>
      </c>
      <c r="G1082" s="203" t="s">
        <v>156</v>
      </c>
      <c r="H1082" s="202" t="s">
        <v>156</v>
      </c>
      <c r="I1082" s="202" t="s">
        <v>156</v>
      </c>
      <c r="J1082" s="202" t="s">
        <v>156</v>
      </c>
      <c r="K1082" s="202" t="s">
        <v>156</v>
      </c>
      <c r="L1082" s="202" t="s">
        <v>156</v>
      </c>
      <c r="M1082" s="93"/>
      <c r="N1082" s="219"/>
      <c r="O1082" s="195"/>
      <c r="P1082" s="196"/>
      <c r="Q1082" s="327"/>
      <c r="R1082" s="327"/>
      <c r="S1082" s="197"/>
      <c r="T1082" s="197"/>
      <c r="U1082" s="197"/>
      <c r="V1082" s="197"/>
      <c r="W1082" s="197"/>
      <c r="X1082" s="197"/>
      <c r="Y1082" s="197"/>
      <c r="Z1082" s="197"/>
      <c r="AA1082" s="197"/>
      <c r="AB1082" s="197"/>
      <c r="AC1082" s="197"/>
    </row>
    <row r="1083" spans="1:29" ht="20.100000000000001" customHeight="1">
      <c r="A1083" s="187">
        <v>17</v>
      </c>
      <c r="B1083" s="186" t="s">
        <v>69</v>
      </c>
      <c r="C1083" s="326" t="s">
        <v>141</v>
      </c>
      <c r="D1083" s="326"/>
      <c r="E1083" s="151"/>
      <c r="F1083" s="144" t="s">
        <v>71</v>
      </c>
      <c r="G1083" s="203" t="s">
        <v>156</v>
      </c>
      <c r="H1083" s="202" t="s">
        <v>156</v>
      </c>
      <c r="I1083" s="202" t="s">
        <v>156</v>
      </c>
      <c r="J1083" s="202" t="s">
        <v>156</v>
      </c>
      <c r="K1083" s="202" t="s">
        <v>156</v>
      </c>
      <c r="L1083" s="202" t="s">
        <v>156</v>
      </c>
      <c r="M1083" s="93"/>
      <c r="N1083" s="219"/>
      <c r="O1083" s="195"/>
      <c r="P1083" s="104"/>
      <c r="Q1083" s="327"/>
      <c r="R1083" s="327"/>
      <c r="S1083" s="197"/>
      <c r="T1083" s="197"/>
      <c r="U1083" s="197"/>
      <c r="V1083" s="197"/>
      <c r="W1083" s="197"/>
      <c r="X1083" s="197"/>
      <c r="Y1083" s="197"/>
      <c r="Z1083" s="197"/>
      <c r="AA1083" s="197"/>
      <c r="AB1083" s="197"/>
      <c r="AC1083" s="197"/>
    </row>
    <row r="1084" spans="1:29" ht="20.100000000000001" customHeight="1">
      <c r="A1084" s="187">
        <v>18</v>
      </c>
      <c r="B1084" s="186" t="s">
        <v>69</v>
      </c>
      <c r="C1084" s="326" t="s">
        <v>142</v>
      </c>
      <c r="D1084" s="326"/>
      <c r="E1084" s="151"/>
      <c r="F1084" s="144" t="s">
        <v>71</v>
      </c>
      <c r="G1084" s="203" t="s">
        <v>156</v>
      </c>
      <c r="H1084" s="202" t="s">
        <v>156</v>
      </c>
      <c r="I1084" s="202" t="s">
        <v>156</v>
      </c>
      <c r="J1084" s="202" t="s">
        <v>156</v>
      </c>
      <c r="K1084" s="202" t="s">
        <v>156</v>
      </c>
      <c r="L1084" s="202" t="s">
        <v>156</v>
      </c>
      <c r="M1084" s="93"/>
      <c r="N1084" s="219"/>
      <c r="O1084" s="195"/>
      <c r="P1084" s="104"/>
      <c r="Q1084" s="327"/>
      <c r="R1084" s="327"/>
      <c r="S1084" s="197"/>
      <c r="T1084" s="197"/>
      <c r="U1084" s="197"/>
      <c r="V1084" s="197"/>
      <c r="W1084" s="197"/>
      <c r="X1084" s="197"/>
      <c r="Y1084" s="197"/>
      <c r="Z1084" s="197"/>
      <c r="AA1084" s="197"/>
      <c r="AB1084" s="197"/>
      <c r="AC1084" s="197"/>
    </row>
    <row r="1085" spans="1:29" ht="20.100000000000001" customHeight="1">
      <c r="A1085" s="187">
        <v>19</v>
      </c>
      <c r="B1085" s="186" t="s">
        <v>69</v>
      </c>
      <c r="C1085" s="326" t="s">
        <v>143</v>
      </c>
      <c r="D1085" s="326"/>
      <c r="E1085" s="151"/>
      <c r="F1085" s="144" t="s">
        <v>71</v>
      </c>
      <c r="G1085" s="203" t="s">
        <v>156</v>
      </c>
      <c r="H1085" s="202" t="s">
        <v>156</v>
      </c>
      <c r="I1085" s="202" t="s">
        <v>156</v>
      </c>
      <c r="J1085" s="202" t="s">
        <v>156</v>
      </c>
      <c r="K1085" s="202" t="s">
        <v>156</v>
      </c>
      <c r="L1085" s="202" t="s">
        <v>156</v>
      </c>
      <c r="M1085" s="93"/>
      <c r="N1085" s="219"/>
      <c r="O1085" s="195"/>
      <c r="P1085" s="104"/>
      <c r="Q1085" s="327"/>
      <c r="R1085" s="327"/>
      <c r="S1085" s="197"/>
      <c r="T1085" s="197"/>
      <c r="U1085" s="197"/>
      <c r="V1085" s="197"/>
      <c r="W1085" s="197"/>
      <c r="X1085" s="197"/>
      <c r="Y1085" s="197"/>
      <c r="Z1085" s="197"/>
      <c r="AA1085" s="197"/>
      <c r="AB1085" s="197"/>
      <c r="AC1085" s="197"/>
    </row>
    <row r="1086" spans="1:29" ht="20.100000000000001" customHeight="1">
      <c r="A1086" s="187">
        <v>20</v>
      </c>
      <c r="B1086" s="186" t="s">
        <v>69</v>
      </c>
      <c r="C1086" s="326" t="s">
        <v>102</v>
      </c>
      <c r="D1086" s="326"/>
      <c r="E1086" s="150"/>
      <c r="F1086" s="154" t="s">
        <v>71</v>
      </c>
      <c r="G1086" s="203" t="s">
        <v>156</v>
      </c>
      <c r="H1086" s="202" t="s">
        <v>156</v>
      </c>
      <c r="I1086" s="202" t="s">
        <v>156</v>
      </c>
      <c r="J1086" s="202" t="s">
        <v>156</v>
      </c>
      <c r="K1086" s="202" t="s">
        <v>156</v>
      </c>
      <c r="L1086" s="202" t="s">
        <v>156</v>
      </c>
      <c r="M1086" s="93"/>
      <c r="N1086" s="219"/>
      <c r="O1086" s="195"/>
      <c r="P1086" s="104"/>
      <c r="Q1086" s="327"/>
      <c r="R1086" s="327"/>
      <c r="S1086" s="197"/>
      <c r="T1086" s="197"/>
      <c r="U1086" s="197"/>
      <c r="V1086" s="197"/>
      <c r="W1086" s="197"/>
      <c r="X1086" s="197"/>
      <c r="Y1086" s="197"/>
      <c r="Z1086" s="197"/>
      <c r="AA1086" s="197"/>
      <c r="AB1086" s="197"/>
      <c r="AC1086" s="197"/>
    </row>
    <row r="1087" spans="1:29" ht="24.75" customHeight="1">
      <c r="A1087" s="190" t="s">
        <v>128</v>
      </c>
      <c r="B1087" s="142"/>
      <c r="C1087" s="330" t="s">
        <v>130</v>
      </c>
      <c r="D1087" s="330"/>
      <c r="E1087" s="330"/>
      <c r="F1087" s="330"/>
      <c r="G1087" s="330"/>
      <c r="H1087" s="330"/>
      <c r="I1087" s="330"/>
      <c r="J1087" s="330"/>
      <c r="K1087" s="330"/>
      <c r="L1087" s="330"/>
      <c r="M1087" s="93"/>
      <c r="O1087" s="156"/>
      <c r="P1087" s="142"/>
      <c r="Q1087" s="331"/>
      <c r="R1087" s="331"/>
      <c r="S1087" s="331"/>
      <c r="T1087" s="331"/>
      <c r="U1087" s="331"/>
      <c r="V1087" s="331"/>
      <c r="W1087" s="331"/>
      <c r="X1087" s="331"/>
      <c r="Y1087" s="331"/>
      <c r="Z1087" s="331"/>
      <c r="AA1087" s="331"/>
      <c r="AB1087" s="331"/>
      <c r="AC1087" s="331"/>
    </row>
    <row r="1088" spans="1:29" ht="33" customHeight="1">
      <c r="A1088" s="189">
        <v>21</v>
      </c>
      <c r="B1088" s="188" t="s">
        <v>69</v>
      </c>
      <c r="C1088" s="307" t="s">
        <v>82</v>
      </c>
      <c r="D1088" s="308"/>
      <c r="E1088" s="182"/>
      <c r="F1088" s="191" t="s">
        <v>71</v>
      </c>
      <c r="G1088" s="201">
        <v>58</v>
      </c>
      <c r="H1088" s="201">
        <v>40</v>
      </c>
      <c r="I1088" s="201">
        <v>21</v>
      </c>
      <c r="J1088" s="201">
        <v>58</v>
      </c>
      <c r="K1088" s="201">
        <v>40</v>
      </c>
      <c r="L1088" s="201">
        <v>21</v>
      </c>
      <c r="M1088" s="89"/>
      <c r="N1088" s="219"/>
      <c r="O1088" s="199"/>
      <c r="P1088" s="200"/>
      <c r="Q1088" s="309"/>
      <c r="R1088" s="309"/>
      <c r="S1088" s="86"/>
      <c r="T1088" s="86"/>
      <c r="U1088" s="86"/>
      <c r="V1088" s="86"/>
      <c r="W1088" s="86"/>
      <c r="X1088" s="86"/>
      <c r="Y1088" s="86"/>
      <c r="Z1088" s="86"/>
      <c r="AA1088" s="86"/>
      <c r="AB1088" s="86"/>
      <c r="AC1088" s="86"/>
    </row>
    <row r="1089" spans="1:29" ht="33" customHeight="1">
      <c r="A1089" s="189">
        <v>22</v>
      </c>
      <c r="B1089" s="188" t="s">
        <v>69</v>
      </c>
      <c r="C1089" s="307" t="s">
        <v>103</v>
      </c>
      <c r="D1089" s="308"/>
      <c r="E1089" s="179"/>
      <c r="F1089" s="191" t="s">
        <v>71</v>
      </c>
      <c r="G1089" s="201">
        <v>9</v>
      </c>
      <c r="H1089" s="201">
        <v>9</v>
      </c>
      <c r="I1089" s="201">
        <v>7</v>
      </c>
      <c r="J1089" s="201">
        <v>9</v>
      </c>
      <c r="K1089" s="201">
        <v>9</v>
      </c>
      <c r="L1089" s="201">
        <v>7</v>
      </c>
      <c r="M1089" s="89"/>
      <c r="N1089" s="219"/>
      <c r="O1089" s="199"/>
      <c r="P1089" s="200"/>
      <c r="Q1089" s="309"/>
      <c r="R1089" s="309"/>
      <c r="S1089" s="86"/>
      <c r="T1089" s="86"/>
      <c r="U1089" s="86"/>
      <c r="V1089" s="86"/>
      <c r="W1089" s="86"/>
      <c r="X1089" s="86"/>
      <c r="Y1089" s="86"/>
      <c r="Z1089" s="86"/>
      <c r="AA1089" s="86"/>
      <c r="AB1089" s="86"/>
      <c r="AC1089" s="86"/>
    </row>
    <row r="1090" spans="1:29" ht="33" customHeight="1">
      <c r="A1090" s="189">
        <v>23</v>
      </c>
      <c r="B1090" s="188" t="s">
        <v>69</v>
      </c>
      <c r="C1090" s="307" t="s">
        <v>104</v>
      </c>
      <c r="D1090" s="308"/>
      <c r="E1090" s="179"/>
      <c r="F1090" s="191" t="s">
        <v>71</v>
      </c>
      <c r="G1090" s="201">
        <v>5</v>
      </c>
      <c r="H1090" s="201">
        <v>1</v>
      </c>
      <c r="I1090" s="201">
        <v>1</v>
      </c>
      <c r="J1090" s="201">
        <v>5</v>
      </c>
      <c r="K1090" s="201">
        <v>1</v>
      </c>
      <c r="L1090" s="201">
        <v>1</v>
      </c>
      <c r="M1090" s="89"/>
      <c r="N1090" s="219"/>
      <c r="O1090" s="199"/>
      <c r="P1090" s="200"/>
      <c r="Q1090" s="309"/>
      <c r="R1090" s="309"/>
      <c r="S1090" s="86"/>
      <c r="T1090" s="86"/>
      <c r="U1090" s="86"/>
      <c r="V1090" s="86"/>
      <c r="W1090" s="86"/>
      <c r="X1090" s="86"/>
      <c r="Y1090" s="86"/>
      <c r="Z1090" s="86"/>
      <c r="AA1090" s="86"/>
      <c r="AB1090" s="86"/>
      <c r="AC1090" s="86"/>
    </row>
    <row r="1091" spans="1:29" ht="27.75" customHeight="1">
      <c r="A1091" s="317" t="s">
        <v>135</v>
      </c>
      <c r="B1091" s="318"/>
      <c r="C1091" s="317" t="s">
        <v>68</v>
      </c>
      <c r="D1091" s="318"/>
      <c r="E1091" s="183"/>
      <c r="F1091" s="321" t="s">
        <v>136</v>
      </c>
      <c r="G1091" s="322" t="s">
        <v>155</v>
      </c>
      <c r="H1091" s="323"/>
      <c r="I1091" s="323"/>
      <c r="J1091" s="322" t="s">
        <v>154</v>
      </c>
      <c r="K1091" s="323"/>
      <c r="L1091" s="324"/>
      <c r="M1091" s="92"/>
      <c r="O1091" s="325"/>
      <c r="P1091" s="325"/>
      <c r="Q1091" s="325"/>
      <c r="R1091" s="325"/>
      <c r="S1091" s="316"/>
      <c r="T1091" s="316"/>
      <c r="U1091" s="316"/>
      <c r="V1091" s="316"/>
      <c r="W1091" s="316"/>
      <c r="X1091" s="316"/>
      <c r="Y1091" s="316"/>
      <c r="Z1091" s="316"/>
      <c r="AA1091" s="316"/>
      <c r="AB1091" s="316"/>
      <c r="AC1091" s="316"/>
    </row>
    <row r="1092" spans="1:29" ht="125.25" customHeight="1">
      <c r="A1092" s="319"/>
      <c r="B1092" s="320"/>
      <c r="C1092" s="319"/>
      <c r="D1092" s="320"/>
      <c r="E1092" s="184"/>
      <c r="F1092" s="321"/>
      <c r="G1092" s="153" t="s">
        <v>151</v>
      </c>
      <c r="H1092" s="153" t="s">
        <v>152</v>
      </c>
      <c r="I1092" s="153" t="s">
        <v>153</v>
      </c>
      <c r="J1092" s="153" t="s">
        <v>151</v>
      </c>
      <c r="K1092" s="153" t="s">
        <v>152</v>
      </c>
      <c r="L1092" s="153" t="s">
        <v>153</v>
      </c>
      <c r="O1092" s="325"/>
      <c r="P1092" s="325"/>
      <c r="Q1092" s="325"/>
      <c r="R1092" s="325"/>
      <c r="S1092" s="193"/>
      <c r="T1092" s="193"/>
      <c r="U1092" s="193"/>
      <c r="V1092" s="193"/>
      <c r="W1092" s="193"/>
      <c r="X1092" s="193"/>
      <c r="Y1092" s="193"/>
      <c r="Z1092" s="193"/>
      <c r="AA1092" s="193"/>
      <c r="AB1092" s="193"/>
      <c r="AC1092" s="193"/>
    </row>
    <row r="1093" spans="1:29" ht="30" customHeight="1">
      <c r="A1093" s="189">
        <v>24</v>
      </c>
      <c r="B1093" s="188" t="s">
        <v>69</v>
      </c>
      <c r="C1093" s="307" t="s">
        <v>131</v>
      </c>
      <c r="D1093" s="308"/>
      <c r="E1093" s="179"/>
      <c r="F1093" s="191" t="s">
        <v>71</v>
      </c>
      <c r="G1093" s="202" t="s">
        <v>156</v>
      </c>
      <c r="H1093" s="202" t="s">
        <v>156</v>
      </c>
      <c r="I1093" s="202" t="s">
        <v>156</v>
      </c>
      <c r="J1093" s="202" t="s">
        <v>156</v>
      </c>
      <c r="K1093" s="202" t="s">
        <v>156</v>
      </c>
      <c r="L1093" s="202" t="s">
        <v>156</v>
      </c>
      <c r="M1093" s="89"/>
      <c r="N1093" s="219"/>
      <c r="O1093" s="199"/>
      <c r="P1093" s="200"/>
      <c r="Q1093" s="309"/>
      <c r="R1093" s="309"/>
      <c r="S1093" s="86"/>
      <c r="T1093" s="86"/>
      <c r="U1093" s="86"/>
      <c r="V1093" s="86"/>
      <c r="W1093" s="86"/>
      <c r="X1093" s="86"/>
      <c r="Y1093" s="86"/>
      <c r="Z1093" s="86"/>
      <c r="AA1093" s="86"/>
      <c r="AB1093" s="86"/>
      <c r="AC1093" s="86"/>
    </row>
    <row r="1094" spans="1:29" ht="30" customHeight="1">
      <c r="A1094" s="189">
        <v>25</v>
      </c>
      <c r="B1094" s="188" t="s">
        <v>69</v>
      </c>
      <c r="C1094" s="307" t="s">
        <v>83</v>
      </c>
      <c r="D1094" s="308"/>
      <c r="E1094" s="179"/>
      <c r="F1094" s="191" t="s">
        <v>71</v>
      </c>
      <c r="G1094" s="201">
        <v>25</v>
      </c>
      <c r="H1094" s="201">
        <v>40</v>
      </c>
      <c r="I1094" s="201">
        <v>22</v>
      </c>
      <c r="J1094" s="201">
        <v>25</v>
      </c>
      <c r="K1094" s="201">
        <v>40</v>
      </c>
      <c r="L1094" s="201">
        <v>22</v>
      </c>
      <c r="M1094" s="89"/>
      <c r="N1094" s="219"/>
      <c r="O1094" s="199"/>
      <c r="P1094" s="200"/>
      <c r="Q1094" s="309"/>
      <c r="R1094" s="309"/>
      <c r="S1094" s="86"/>
      <c r="T1094" s="86"/>
      <c r="U1094" s="86"/>
      <c r="V1094" s="86"/>
      <c r="W1094" s="86"/>
      <c r="X1094" s="86"/>
      <c r="Y1094" s="86"/>
      <c r="Z1094" s="86"/>
      <c r="AA1094" s="86"/>
      <c r="AB1094" s="86"/>
      <c r="AC1094" s="86"/>
    </row>
    <row r="1095" spans="1:29" ht="30" customHeight="1">
      <c r="A1095" s="189">
        <v>26</v>
      </c>
      <c r="B1095" s="188" t="s">
        <v>69</v>
      </c>
      <c r="C1095" s="307" t="s">
        <v>84</v>
      </c>
      <c r="D1095" s="308"/>
      <c r="E1095" s="179"/>
      <c r="F1095" s="191" t="s">
        <v>71</v>
      </c>
      <c r="G1095" s="201">
        <v>5</v>
      </c>
      <c r="H1095" s="202" t="s">
        <v>156</v>
      </c>
      <c r="I1095" s="202" t="s">
        <v>156</v>
      </c>
      <c r="J1095" s="201">
        <v>5</v>
      </c>
      <c r="K1095" s="202" t="s">
        <v>156</v>
      </c>
      <c r="L1095" s="202" t="s">
        <v>156</v>
      </c>
      <c r="M1095" s="89"/>
      <c r="N1095" s="219"/>
      <c r="O1095" s="199"/>
      <c r="P1095" s="200"/>
      <c r="Q1095" s="309"/>
      <c r="R1095" s="309"/>
      <c r="S1095" s="86"/>
      <c r="T1095" s="86"/>
      <c r="U1095" s="86"/>
      <c r="V1095" s="86"/>
      <c r="W1095" s="86"/>
      <c r="X1095" s="86"/>
      <c r="Y1095" s="86"/>
      <c r="Z1095" s="86"/>
      <c r="AA1095" s="86"/>
      <c r="AB1095" s="86"/>
      <c r="AC1095" s="86"/>
    </row>
    <row r="1096" spans="1:29" ht="30" customHeight="1">
      <c r="A1096" s="189">
        <v>27</v>
      </c>
      <c r="B1096" s="188" t="s">
        <v>69</v>
      </c>
      <c r="C1096" s="307" t="s">
        <v>85</v>
      </c>
      <c r="D1096" s="308"/>
      <c r="E1096" s="179"/>
      <c r="F1096" s="191" t="s">
        <v>71</v>
      </c>
      <c r="G1096" s="201">
        <v>3</v>
      </c>
      <c r="H1096" s="201">
        <v>1</v>
      </c>
      <c r="I1096" s="201">
        <v>8</v>
      </c>
      <c r="J1096" s="201">
        <v>3</v>
      </c>
      <c r="K1096" s="201">
        <v>1</v>
      </c>
      <c r="L1096" s="201">
        <v>8</v>
      </c>
      <c r="M1096" s="89"/>
      <c r="N1096" s="219"/>
      <c r="O1096" s="199"/>
      <c r="P1096" s="200"/>
      <c r="Q1096" s="309"/>
      <c r="R1096" s="309"/>
      <c r="S1096" s="86"/>
      <c r="T1096" s="86"/>
      <c r="U1096" s="86"/>
      <c r="V1096" s="86"/>
      <c r="W1096" s="86"/>
      <c r="X1096" s="86"/>
      <c r="Y1096" s="86"/>
      <c r="Z1096" s="86"/>
      <c r="AA1096" s="86"/>
      <c r="AB1096" s="86"/>
      <c r="AC1096" s="86"/>
    </row>
    <row r="1097" spans="1:29" ht="30" customHeight="1">
      <c r="A1097" s="189">
        <v>28</v>
      </c>
      <c r="B1097" s="188" t="s">
        <v>69</v>
      </c>
      <c r="C1097" s="307" t="s">
        <v>132</v>
      </c>
      <c r="D1097" s="308"/>
      <c r="E1097" s="179"/>
      <c r="F1097" s="191" t="s">
        <v>71</v>
      </c>
      <c r="G1097" s="202" t="s">
        <v>156</v>
      </c>
      <c r="H1097" s="202" t="s">
        <v>156</v>
      </c>
      <c r="I1097" s="202" t="s">
        <v>156</v>
      </c>
      <c r="J1097" s="202" t="s">
        <v>156</v>
      </c>
      <c r="K1097" s="202" t="s">
        <v>156</v>
      </c>
      <c r="L1097" s="202" t="s">
        <v>156</v>
      </c>
      <c r="M1097" s="89"/>
      <c r="N1097" s="219"/>
      <c r="O1097" s="199"/>
      <c r="P1097" s="200"/>
      <c r="Q1097" s="309"/>
      <c r="R1097" s="309"/>
      <c r="S1097" s="86"/>
      <c r="T1097" s="86"/>
      <c r="U1097" s="86"/>
      <c r="V1097" s="86"/>
      <c r="W1097" s="86"/>
      <c r="X1097" s="86"/>
      <c r="Y1097" s="86"/>
      <c r="Z1097" s="86"/>
      <c r="AA1097" s="86"/>
      <c r="AB1097" s="86"/>
      <c r="AC1097" s="86"/>
    </row>
    <row r="1098" spans="1:29" ht="30" customHeight="1">
      <c r="A1098" s="189">
        <v>29</v>
      </c>
      <c r="B1098" s="188" t="s">
        <v>69</v>
      </c>
      <c r="C1098" s="307" t="s">
        <v>86</v>
      </c>
      <c r="D1098" s="308"/>
      <c r="E1098" s="179"/>
      <c r="F1098" s="191" t="s">
        <v>71</v>
      </c>
      <c r="G1098" s="201">
        <v>10</v>
      </c>
      <c r="H1098" s="201">
        <v>12</v>
      </c>
      <c r="I1098" s="201">
        <v>9</v>
      </c>
      <c r="J1098" s="201">
        <v>10</v>
      </c>
      <c r="K1098" s="201">
        <v>12</v>
      </c>
      <c r="L1098" s="201">
        <v>9</v>
      </c>
      <c r="M1098" s="89"/>
      <c r="N1098" s="219"/>
      <c r="O1098" s="199"/>
      <c r="P1098" s="200"/>
      <c r="Q1098" s="309"/>
      <c r="R1098" s="309"/>
      <c r="S1098" s="86"/>
      <c r="T1098" s="86"/>
      <c r="U1098" s="86"/>
      <c r="V1098" s="86"/>
      <c r="W1098" s="86"/>
      <c r="X1098" s="86"/>
      <c r="Y1098" s="86"/>
      <c r="Z1098" s="86"/>
      <c r="AA1098" s="86"/>
      <c r="AB1098" s="86"/>
      <c r="AC1098" s="86"/>
    </row>
    <row r="1099" spans="1:29" ht="30" customHeight="1">
      <c r="A1099" s="189">
        <v>30</v>
      </c>
      <c r="B1099" s="188" t="s">
        <v>69</v>
      </c>
      <c r="C1099" s="307" t="s">
        <v>87</v>
      </c>
      <c r="D1099" s="308"/>
      <c r="E1099" s="179"/>
      <c r="F1099" s="191" t="s">
        <v>71</v>
      </c>
      <c r="G1099" s="202" t="s">
        <v>156</v>
      </c>
      <c r="H1099" s="202" t="s">
        <v>156</v>
      </c>
      <c r="I1099" s="202" t="s">
        <v>156</v>
      </c>
      <c r="J1099" s="202" t="s">
        <v>156</v>
      </c>
      <c r="K1099" s="202" t="s">
        <v>156</v>
      </c>
      <c r="L1099" s="202" t="s">
        <v>156</v>
      </c>
      <c r="M1099" s="89"/>
      <c r="N1099" s="219"/>
      <c r="O1099" s="199"/>
      <c r="P1099" s="200"/>
      <c r="Q1099" s="309"/>
      <c r="R1099" s="309"/>
      <c r="S1099" s="86"/>
      <c r="T1099" s="86"/>
      <c r="U1099" s="86"/>
      <c r="V1099" s="86"/>
      <c r="W1099" s="86"/>
      <c r="X1099" s="86"/>
      <c r="Y1099" s="86"/>
      <c r="Z1099" s="86"/>
      <c r="AA1099" s="86"/>
      <c r="AB1099" s="86"/>
      <c r="AC1099" s="86"/>
    </row>
    <row r="1100" spans="1:29" ht="30" customHeight="1">
      <c r="A1100" s="189">
        <v>31</v>
      </c>
      <c r="B1100" s="188" t="s">
        <v>69</v>
      </c>
      <c r="C1100" s="307" t="s">
        <v>105</v>
      </c>
      <c r="D1100" s="308"/>
      <c r="E1100" s="179"/>
      <c r="F1100" s="191" t="s">
        <v>71</v>
      </c>
      <c r="G1100" s="201">
        <v>2</v>
      </c>
      <c r="H1100" s="203" t="s">
        <v>156</v>
      </c>
      <c r="I1100" s="201">
        <v>8</v>
      </c>
      <c r="J1100" s="201">
        <v>2</v>
      </c>
      <c r="K1100" s="203" t="s">
        <v>156</v>
      </c>
      <c r="L1100" s="201">
        <v>8</v>
      </c>
      <c r="M1100" s="89"/>
      <c r="N1100" s="219"/>
      <c r="O1100" s="199"/>
      <c r="P1100" s="200"/>
      <c r="Q1100" s="309"/>
      <c r="R1100" s="309"/>
      <c r="S1100" s="86"/>
      <c r="T1100" s="86"/>
      <c r="U1100" s="86"/>
      <c r="V1100" s="86"/>
      <c r="W1100" s="86"/>
      <c r="X1100" s="86"/>
      <c r="Y1100" s="86"/>
      <c r="Z1100" s="86"/>
      <c r="AA1100" s="86"/>
      <c r="AB1100" s="86"/>
      <c r="AC1100" s="86"/>
    </row>
    <row r="1101" spans="1:29" ht="30" customHeight="1">
      <c r="A1101" s="189">
        <v>32</v>
      </c>
      <c r="B1101" s="188" t="s">
        <v>69</v>
      </c>
      <c r="C1101" s="307" t="s">
        <v>133</v>
      </c>
      <c r="D1101" s="308"/>
      <c r="E1101" s="179"/>
      <c r="F1101" s="191" t="s">
        <v>71</v>
      </c>
      <c r="G1101" s="202" t="s">
        <v>156</v>
      </c>
      <c r="H1101" s="202" t="s">
        <v>156</v>
      </c>
      <c r="I1101" s="202" t="s">
        <v>156</v>
      </c>
      <c r="J1101" s="202" t="s">
        <v>156</v>
      </c>
      <c r="K1101" s="202" t="s">
        <v>156</v>
      </c>
      <c r="L1101" s="202" t="s">
        <v>156</v>
      </c>
      <c r="M1101" s="89"/>
      <c r="N1101" s="219"/>
      <c r="O1101" s="199"/>
      <c r="P1101" s="200"/>
      <c r="Q1101" s="309"/>
      <c r="R1101" s="309"/>
      <c r="S1101" s="86"/>
      <c r="T1101" s="86"/>
      <c r="U1101" s="86"/>
      <c r="V1101" s="86"/>
      <c r="W1101" s="86"/>
      <c r="X1101" s="86"/>
      <c r="Y1101" s="86"/>
      <c r="Z1101" s="86"/>
      <c r="AA1101" s="86"/>
      <c r="AB1101" s="86"/>
      <c r="AC1101" s="86"/>
    </row>
    <row r="1102" spans="1:29" ht="30" customHeight="1">
      <c r="A1102" s="189">
        <v>33</v>
      </c>
      <c r="B1102" s="188" t="s">
        <v>69</v>
      </c>
      <c r="C1102" s="307" t="s">
        <v>88</v>
      </c>
      <c r="D1102" s="308"/>
      <c r="E1102" s="179"/>
      <c r="F1102" s="191" t="s">
        <v>71</v>
      </c>
      <c r="G1102" s="201">
        <v>3</v>
      </c>
      <c r="H1102" s="201">
        <v>7</v>
      </c>
      <c r="I1102" s="201">
        <v>7</v>
      </c>
      <c r="J1102" s="201">
        <v>3</v>
      </c>
      <c r="K1102" s="201">
        <v>7</v>
      </c>
      <c r="L1102" s="201">
        <v>7</v>
      </c>
      <c r="M1102" s="89"/>
      <c r="N1102" s="219"/>
      <c r="O1102" s="199"/>
      <c r="P1102" s="200"/>
      <c r="Q1102" s="309"/>
      <c r="R1102" s="309"/>
      <c r="S1102" s="86"/>
      <c r="T1102" s="86"/>
      <c r="U1102" s="86"/>
      <c r="V1102" s="86"/>
      <c r="W1102" s="86"/>
      <c r="X1102" s="86"/>
      <c r="Y1102" s="86"/>
      <c r="Z1102" s="86"/>
      <c r="AA1102" s="86"/>
      <c r="AB1102" s="86"/>
      <c r="AC1102" s="86"/>
    </row>
    <row r="1103" spans="1:29" ht="30" customHeight="1">
      <c r="A1103" s="189">
        <v>34</v>
      </c>
      <c r="B1103" s="188" t="s">
        <v>69</v>
      </c>
      <c r="C1103" s="307" t="s">
        <v>89</v>
      </c>
      <c r="D1103" s="308"/>
      <c r="E1103" s="179"/>
      <c r="F1103" s="191" t="s">
        <v>71</v>
      </c>
      <c r="G1103" s="202" t="s">
        <v>156</v>
      </c>
      <c r="H1103" s="202" t="s">
        <v>156</v>
      </c>
      <c r="I1103" s="202" t="s">
        <v>156</v>
      </c>
      <c r="J1103" s="202" t="s">
        <v>156</v>
      </c>
      <c r="K1103" s="202" t="s">
        <v>156</v>
      </c>
      <c r="L1103" s="202" t="s">
        <v>156</v>
      </c>
      <c r="M1103" s="89"/>
      <c r="N1103" s="219"/>
      <c r="O1103" s="199"/>
      <c r="P1103" s="200"/>
      <c r="Q1103" s="309"/>
      <c r="R1103" s="309"/>
      <c r="S1103" s="86"/>
      <c r="T1103" s="86"/>
      <c r="U1103" s="86"/>
      <c r="V1103" s="86"/>
      <c r="W1103" s="86"/>
      <c r="X1103" s="86"/>
      <c r="Y1103" s="86"/>
      <c r="Z1103" s="86"/>
      <c r="AA1103" s="86"/>
      <c r="AB1103" s="86"/>
      <c r="AC1103" s="86"/>
    </row>
    <row r="1104" spans="1:29" ht="30" customHeight="1">
      <c r="A1104" s="189">
        <v>35</v>
      </c>
      <c r="B1104" s="188" t="s">
        <v>69</v>
      </c>
      <c r="C1104" s="307" t="s">
        <v>140</v>
      </c>
      <c r="D1104" s="308"/>
      <c r="E1104" s="179"/>
      <c r="F1104" s="191" t="s">
        <v>71</v>
      </c>
      <c r="G1104" s="202" t="s">
        <v>156</v>
      </c>
      <c r="H1104" s="202" t="s">
        <v>156</v>
      </c>
      <c r="I1104" s="201">
        <v>3</v>
      </c>
      <c r="J1104" s="202" t="s">
        <v>156</v>
      </c>
      <c r="K1104" s="202" t="s">
        <v>156</v>
      </c>
      <c r="L1104" s="201">
        <v>3</v>
      </c>
      <c r="M1104" s="89"/>
      <c r="N1104" s="220"/>
      <c r="O1104" s="199"/>
      <c r="P1104" s="200"/>
      <c r="Q1104" s="309"/>
      <c r="R1104" s="309"/>
      <c r="S1104" s="86"/>
      <c r="T1104" s="86"/>
      <c r="U1104" s="86"/>
      <c r="V1104" s="86"/>
      <c r="W1104" s="86"/>
      <c r="X1104" s="86"/>
      <c r="Y1104" s="86"/>
      <c r="Z1104" s="86"/>
      <c r="AA1104" s="86"/>
      <c r="AB1104" s="86"/>
      <c r="AC1104" s="86"/>
    </row>
    <row r="1105" spans="1:29" ht="30" customHeight="1">
      <c r="A1105" s="189">
        <v>36</v>
      </c>
      <c r="B1105" s="188" t="s">
        <v>69</v>
      </c>
      <c r="C1105" s="307" t="s">
        <v>134</v>
      </c>
      <c r="D1105" s="308"/>
      <c r="E1105" s="179"/>
      <c r="F1105" s="191" t="s">
        <v>71</v>
      </c>
      <c r="G1105" s="202" t="s">
        <v>156</v>
      </c>
      <c r="H1105" s="202" t="s">
        <v>156</v>
      </c>
      <c r="I1105" s="202" t="s">
        <v>156</v>
      </c>
      <c r="J1105" s="202" t="s">
        <v>156</v>
      </c>
      <c r="K1105" s="202" t="s">
        <v>156</v>
      </c>
      <c r="L1105" s="202" t="s">
        <v>156</v>
      </c>
      <c r="M1105" s="89"/>
      <c r="N1105" s="220"/>
      <c r="O1105" s="199"/>
      <c r="P1105" s="200"/>
      <c r="Q1105" s="309"/>
      <c r="R1105" s="309"/>
      <c r="S1105" s="86"/>
      <c r="T1105" s="86"/>
      <c r="U1105" s="86"/>
      <c r="V1105" s="86"/>
      <c r="W1105" s="86"/>
      <c r="X1105" s="86"/>
      <c r="Y1105" s="86"/>
      <c r="Z1105" s="86"/>
      <c r="AA1105" s="86"/>
      <c r="AB1105" s="86"/>
      <c r="AC1105" s="86"/>
    </row>
    <row r="1106" spans="1:29" ht="30" customHeight="1">
      <c r="A1106" s="189">
        <v>37</v>
      </c>
      <c r="B1106" s="188" t="s">
        <v>69</v>
      </c>
      <c r="C1106" s="307" t="s">
        <v>90</v>
      </c>
      <c r="D1106" s="308"/>
      <c r="E1106" s="179"/>
      <c r="F1106" s="191" t="s">
        <v>71</v>
      </c>
      <c r="G1106" s="202" t="s">
        <v>156</v>
      </c>
      <c r="H1106" s="202" t="s">
        <v>156</v>
      </c>
      <c r="I1106" s="202" t="s">
        <v>156</v>
      </c>
      <c r="J1106" s="202" t="s">
        <v>156</v>
      </c>
      <c r="K1106" s="202" t="s">
        <v>156</v>
      </c>
      <c r="L1106" s="202" t="s">
        <v>156</v>
      </c>
      <c r="M1106" s="89"/>
      <c r="N1106" s="220"/>
      <c r="O1106" s="199"/>
      <c r="P1106" s="200"/>
      <c r="Q1106" s="309"/>
      <c r="R1106" s="309"/>
      <c r="S1106" s="86"/>
      <c r="T1106" s="86"/>
      <c r="U1106" s="86"/>
      <c r="V1106" s="86"/>
      <c r="W1106" s="86"/>
      <c r="X1106" s="86"/>
      <c r="Y1106" s="86"/>
      <c r="Z1106" s="86"/>
      <c r="AA1106" s="86"/>
      <c r="AB1106" s="86"/>
      <c r="AC1106" s="86"/>
    </row>
    <row r="1107" spans="1:29" ht="30" customHeight="1">
      <c r="A1107" s="189">
        <v>38</v>
      </c>
      <c r="B1107" s="188" t="s">
        <v>69</v>
      </c>
      <c r="C1107" s="307" t="s">
        <v>106</v>
      </c>
      <c r="D1107" s="308"/>
      <c r="E1107" s="150"/>
      <c r="F1107" s="191" t="s">
        <v>71</v>
      </c>
      <c r="G1107" s="202" t="s">
        <v>156</v>
      </c>
      <c r="H1107" s="202" t="s">
        <v>156</v>
      </c>
      <c r="I1107" s="202" t="s">
        <v>156</v>
      </c>
      <c r="J1107" s="202" t="s">
        <v>156</v>
      </c>
      <c r="K1107" s="202" t="s">
        <v>156</v>
      </c>
      <c r="L1107" s="202" t="s">
        <v>156</v>
      </c>
      <c r="M1107" s="89"/>
      <c r="N1107" s="220"/>
      <c r="O1107" s="199"/>
      <c r="P1107" s="200"/>
      <c r="Q1107" s="309"/>
      <c r="R1107" s="309"/>
      <c r="S1107" s="86"/>
      <c r="T1107" s="86"/>
      <c r="U1107" s="86"/>
      <c r="V1107" s="86"/>
      <c r="W1107" s="86"/>
      <c r="X1107" s="86"/>
      <c r="Y1107" s="86"/>
      <c r="Z1107" s="86"/>
      <c r="AA1107" s="86"/>
      <c r="AB1107" s="86"/>
      <c r="AC1107" s="86"/>
    </row>
    <row r="1108" spans="1:29" ht="25.5" customHeight="1">
      <c r="A1108" s="310" t="s">
        <v>92</v>
      </c>
      <c r="B1108" s="310"/>
      <c r="C1108" s="310"/>
      <c r="D1108" s="310"/>
      <c r="E1108" s="310"/>
      <c r="F1108" s="310"/>
      <c r="G1108" s="310"/>
      <c r="H1108" s="310"/>
      <c r="I1108" s="310"/>
      <c r="J1108" s="310"/>
      <c r="K1108" s="310"/>
      <c r="L1108" s="310"/>
      <c r="M1108" s="92"/>
    </row>
    <row r="1109" spans="1:29" ht="19.5" customHeight="1">
      <c r="A1109" s="139"/>
      <c r="B1109" s="139"/>
      <c r="C1109" s="140"/>
      <c r="D1109" s="140" t="s">
        <v>145</v>
      </c>
      <c r="E1109" s="140"/>
      <c r="F1109" s="152" t="s">
        <v>54</v>
      </c>
      <c r="G1109" s="152"/>
      <c r="H1109" s="152"/>
      <c r="I1109" s="152"/>
      <c r="J1109" s="152" t="s">
        <v>144</v>
      </c>
      <c r="K1109" s="152"/>
      <c r="L1109" s="140"/>
      <c r="M1109" s="94"/>
    </row>
    <row r="1110" spans="1:29" ht="28.5" customHeight="1">
      <c r="A1110" s="310" t="s">
        <v>93</v>
      </c>
      <c r="B1110" s="310"/>
      <c r="C1110" s="310"/>
      <c r="D1110" s="310"/>
      <c r="E1110" s="310"/>
      <c r="F1110" s="310"/>
      <c r="G1110" s="310"/>
      <c r="H1110" s="310"/>
      <c r="I1110" s="310"/>
      <c r="J1110" s="310"/>
      <c r="K1110" s="310"/>
      <c r="L1110" s="310"/>
      <c r="M1110" s="92"/>
      <c r="N1110" s="311"/>
      <c r="O1110" s="311"/>
      <c r="P1110" s="311"/>
    </row>
    <row r="1111" spans="1:29" ht="20.25" customHeight="1">
      <c r="A1111" s="139"/>
      <c r="B1111" s="139"/>
      <c r="C1111" s="139"/>
      <c r="D1111" s="140" t="s">
        <v>145</v>
      </c>
      <c r="E1111" s="140"/>
      <c r="F1111" s="152" t="s">
        <v>54</v>
      </c>
      <c r="G1111" s="152"/>
      <c r="H1111" s="152"/>
      <c r="I1111" s="152"/>
      <c r="J1111" s="152" t="s">
        <v>144</v>
      </c>
      <c r="K1111" s="152"/>
      <c r="L1111" s="139"/>
      <c r="M1111" s="94"/>
      <c r="N1111" s="221"/>
      <c r="O1111" s="95"/>
      <c r="P1111" s="95"/>
    </row>
    <row r="1112" spans="1:29" ht="26.25" customHeight="1">
      <c r="A1112" s="312" t="s">
        <v>94</v>
      </c>
      <c r="B1112" s="312"/>
      <c r="C1112" s="312"/>
      <c r="D1112" s="312"/>
      <c r="E1112" s="312"/>
      <c r="F1112" s="312"/>
      <c r="G1112" s="312"/>
      <c r="H1112" s="312"/>
      <c r="I1112" s="312"/>
      <c r="J1112" s="312"/>
      <c r="K1112" s="312"/>
      <c r="L1112" s="312"/>
      <c r="M1112" s="92"/>
    </row>
    <row r="1113" spans="1:29" ht="22.5" customHeight="1">
      <c r="A1113" s="120"/>
      <c r="B1113" s="120"/>
      <c r="C1113" s="120"/>
      <c r="D1113" s="120"/>
      <c r="E1113" s="120"/>
      <c r="F1113" s="120"/>
      <c r="G1113" s="120"/>
      <c r="H1113" s="120"/>
      <c r="I1113" s="120"/>
      <c r="J1113" s="120"/>
      <c r="K1113" s="120"/>
      <c r="L1113" s="120"/>
      <c r="M1113" s="94"/>
    </row>
    <row r="1114" spans="1:29" ht="22.5" customHeight="1">
      <c r="A1114" s="313" t="s">
        <v>95</v>
      </c>
      <c r="B1114" s="313"/>
      <c r="C1114" s="313"/>
      <c r="D1114" s="313"/>
      <c r="E1114" s="313"/>
      <c r="F1114" s="313"/>
      <c r="G1114" s="313"/>
      <c r="H1114" s="313"/>
      <c r="I1114" s="313"/>
      <c r="J1114" s="313"/>
      <c r="K1114" s="313"/>
      <c r="L1114" s="313"/>
      <c r="M1114" s="92"/>
    </row>
    <row r="1115" spans="1:29" ht="19.5" customHeight="1">
      <c r="A1115" s="97"/>
      <c r="B1115" s="97"/>
      <c r="C1115" s="145"/>
      <c r="D1115" s="97"/>
      <c r="E1115" s="97"/>
      <c r="F1115" s="97"/>
      <c r="G1115" s="97"/>
      <c r="H1115" s="97"/>
      <c r="I1115" s="97"/>
      <c r="J1115" s="97"/>
      <c r="K1115" s="97"/>
      <c r="L1115" s="97"/>
      <c r="M1115" s="94"/>
    </row>
    <row r="1116" spans="1:29" ht="5.25" customHeight="1">
      <c r="A1116" s="94"/>
      <c r="B1116" s="94"/>
      <c r="C1116" s="146"/>
      <c r="D1116" s="94"/>
      <c r="E1116" s="94"/>
      <c r="F1116" s="94"/>
      <c r="G1116" s="94"/>
      <c r="H1116" s="94"/>
      <c r="I1116" s="94"/>
      <c r="J1116" s="94"/>
      <c r="K1116" s="94"/>
      <c r="L1116" s="94"/>
      <c r="M1116" s="94"/>
    </row>
    <row r="1117" spans="1:29" ht="16.5" customHeight="1">
      <c r="A1117" s="314" t="s">
        <v>96</v>
      </c>
      <c r="B1117" s="314"/>
      <c r="C1117" s="314"/>
      <c r="D1117" s="314"/>
      <c r="E1117" s="98"/>
      <c r="F1117" s="98"/>
      <c r="G1117" s="98"/>
      <c r="H1117" s="315" t="s">
        <v>97</v>
      </c>
      <c r="I1117" s="315"/>
      <c r="J1117" s="315"/>
      <c r="K1117" s="315"/>
      <c r="L1117" s="315"/>
      <c r="M1117" s="94"/>
    </row>
    <row r="1118" spans="1:29" ht="95.1" customHeight="1">
      <c r="A1118" s="99"/>
      <c r="B1118" s="101" t="str">
        <f>B1048</f>
        <v>Ông Huỳnh Phước Hải        ….............</v>
      </c>
      <c r="C1118" s="147"/>
      <c r="D1118" s="99"/>
      <c r="E1118" s="81"/>
      <c r="F1118" s="100"/>
      <c r="G1118" s="100"/>
      <c r="H1118" s="306" t="str">
        <f>H1048</f>
        <v>Ông Phạm Tấn Việt          …..................</v>
      </c>
      <c r="I1118" s="306"/>
      <c r="J1118" s="306"/>
      <c r="K1118" s="306"/>
      <c r="L1118" s="306"/>
      <c r="M1118" s="94"/>
    </row>
    <row r="1119" spans="1:29" ht="51" customHeight="1">
      <c r="A1119" s="99"/>
      <c r="B1119" s="99"/>
      <c r="C1119" s="147"/>
      <c r="D1119" s="99"/>
      <c r="E1119" s="81"/>
      <c r="F1119" s="100"/>
      <c r="G1119" s="100"/>
      <c r="H1119" s="100"/>
      <c r="I1119" s="100"/>
      <c r="J1119" s="99"/>
      <c r="K1119" s="99"/>
      <c r="L1119" s="99"/>
      <c r="M1119" s="94"/>
    </row>
    <row r="1120" spans="1:29" ht="21.75" customHeight="1">
      <c r="A1120" s="348" t="s">
        <v>165</v>
      </c>
      <c r="B1120" s="348"/>
      <c r="C1120" s="348"/>
      <c r="D1120" s="348"/>
      <c r="E1120" s="348"/>
      <c r="F1120" s="348"/>
      <c r="G1120" s="348"/>
      <c r="H1120" s="348"/>
      <c r="I1120" s="348"/>
      <c r="J1120" s="348"/>
      <c r="K1120" s="348"/>
      <c r="L1120" s="348"/>
      <c r="M1120" s="82"/>
    </row>
    <row r="1121" spans="1:29" ht="19.5">
      <c r="A1121" s="84" t="str">
        <f>"Ngày "&amp;N1122&amp;" tháng "&amp;O3&amp;" năm "&amp;P3&amp;""</f>
        <v>Ngày 17 tháng 07 năm 2026</v>
      </c>
      <c r="B1121" s="84"/>
      <c r="C1121" s="85"/>
      <c r="N1121" s="216"/>
      <c r="O1121" s="20"/>
      <c r="P1121" s="20"/>
    </row>
    <row r="1122" spans="1:29" ht="16.5">
      <c r="A1122" s="337" t="s">
        <v>57</v>
      </c>
      <c r="B1122" s="337"/>
      <c r="C1122" s="337"/>
      <c r="D1122" s="311"/>
      <c r="E1122" s="311"/>
      <c r="F1122" s="311"/>
      <c r="G1122" s="95"/>
      <c r="H1122" s="95"/>
      <c r="I1122" s="95"/>
      <c r="J1122" s="95"/>
      <c r="K1122" s="95"/>
      <c r="L1122" s="95"/>
      <c r="N1122" s="217" t="s">
        <v>179</v>
      </c>
      <c r="O1122" s="214"/>
      <c r="P1122" s="17"/>
    </row>
    <row r="1123" spans="1:29" ht="15.75" customHeight="1">
      <c r="A1123" s="338"/>
      <c r="B1123" s="338"/>
      <c r="C1123" s="338"/>
      <c r="D1123" s="339" t="s">
        <v>58</v>
      </c>
      <c r="E1123" s="340"/>
      <c r="F1123" s="340"/>
      <c r="G1123" s="340"/>
      <c r="H1123" s="341"/>
      <c r="I1123" s="339" t="s">
        <v>59</v>
      </c>
      <c r="J1123" s="340"/>
      <c r="K1123" s="340"/>
      <c r="L1123" s="341"/>
    </row>
    <row r="1124" spans="1:29" ht="19.5" customHeight="1">
      <c r="A1124" s="342" t="s">
        <v>60</v>
      </c>
      <c r="B1124" s="342"/>
      <c r="C1124" s="342"/>
      <c r="D1124" s="343" t="s">
        <v>54</v>
      </c>
      <c r="E1124" s="344"/>
      <c r="F1124" s="344"/>
      <c r="G1124" s="344"/>
      <c r="H1124" s="345"/>
      <c r="I1124" s="343" t="s">
        <v>54</v>
      </c>
      <c r="J1124" s="344"/>
      <c r="K1124" s="344"/>
      <c r="L1124" s="345"/>
    </row>
    <row r="1125" spans="1:29" ht="22.5" customHeight="1">
      <c r="A1125" s="342" t="s">
        <v>61</v>
      </c>
      <c r="B1125" s="342"/>
      <c r="C1125" s="342"/>
      <c r="D1125" s="343" t="s">
        <v>163</v>
      </c>
      <c r="E1125" s="344"/>
      <c r="F1125" s="344"/>
      <c r="G1125" s="344"/>
      <c r="H1125" s="345"/>
      <c r="I1125" s="343" t="str">
        <f>D1125</f>
        <v>31° - 34°</v>
      </c>
      <c r="J1125" s="344"/>
      <c r="K1125" s="344"/>
      <c r="L1125" s="345"/>
    </row>
    <row r="1126" spans="1:29" s="87" customFormat="1" ht="19.5" customHeight="1">
      <c r="A1126" s="310" t="s">
        <v>62</v>
      </c>
      <c r="B1126" s="310"/>
      <c r="C1126" s="310"/>
      <c r="D1126" s="310"/>
      <c r="E1126" s="310"/>
      <c r="F1126" s="310"/>
      <c r="G1126" s="310"/>
      <c r="H1126" s="310"/>
      <c r="I1126" s="310"/>
      <c r="J1126" s="310"/>
      <c r="K1126" s="310"/>
      <c r="L1126" s="310"/>
      <c r="M1126" s="85"/>
      <c r="N1126" s="218"/>
    </row>
    <row r="1127" spans="1:29" s="87" customFormat="1" ht="15.75">
      <c r="A1127" s="332" t="s">
        <v>63</v>
      </c>
      <c r="B1127" s="332"/>
      <c r="C1127" s="332"/>
      <c r="D1127" s="332"/>
      <c r="E1127" s="332"/>
      <c r="F1127" s="332"/>
      <c r="G1127" s="332"/>
      <c r="H1127" s="332"/>
      <c r="I1127" s="332"/>
      <c r="J1127" s="332"/>
      <c r="K1127" s="332"/>
      <c r="L1127" s="332"/>
      <c r="M1127" s="85"/>
      <c r="N1127" s="218"/>
    </row>
    <row r="1128" spans="1:29" s="87" customFormat="1" ht="20.100000000000001" customHeight="1">
      <c r="A1128" s="88"/>
      <c r="B1128" s="88"/>
      <c r="C1128" s="333" t="s">
        <v>64</v>
      </c>
      <c r="D1128" s="334"/>
      <c r="E1128" s="334"/>
      <c r="F1128" s="334"/>
      <c r="G1128" s="334"/>
      <c r="H1128" s="334"/>
      <c r="I1128" s="334"/>
      <c r="J1128" s="334"/>
      <c r="K1128" s="334"/>
      <c r="L1128" s="334"/>
      <c r="M1128" s="85"/>
      <c r="N1128" s="218"/>
    </row>
    <row r="1129" spans="1:29" s="87" customFormat="1" ht="20.100000000000001" customHeight="1">
      <c r="A1129" s="88"/>
      <c r="B1129" s="88"/>
      <c r="C1129" s="333" t="s">
        <v>65</v>
      </c>
      <c r="D1129" s="334"/>
      <c r="E1129" s="334"/>
      <c r="F1129" s="334"/>
      <c r="G1129" s="334"/>
      <c r="H1129" s="334"/>
      <c r="I1129" s="334"/>
      <c r="J1129" s="334"/>
      <c r="K1129" s="334"/>
      <c r="L1129" s="334"/>
      <c r="M1129" s="85"/>
      <c r="N1129" s="218"/>
    </row>
    <row r="1130" spans="1:29" s="87" customFormat="1" ht="17.25" customHeight="1">
      <c r="A1130" s="335" t="s">
        <v>66</v>
      </c>
      <c r="B1130" s="335"/>
      <c r="C1130" s="335"/>
      <c r="D1130" s="335"/>
      <c r="E1130" s="335"/>
      <c r="F1130" s="335"/>
      <c r="G1130" s="335"/>
      <c r="H1130" s="335"/>
      <c r="I1130" s="335"/>
      <c r="J1130" s="335"/>
      <c r="K1130" s="335"/>
      <c r="L1130" s="335"/>
      <c r="M1130" s="85"/>
      <c r="N1130" s="218"/>
    </row>
    <row r="1131" spans="1:29" s="87" customFormat="1" ht="7.5" customHeight="1">
      <c r="A1131" s="119"/>
      <c r="B1131" s="119"/>
      <c r="C1131" s="119"/>
      <c r="D1131" s="119"/>
      <c r="E1131" s="119"/>
      <c r="F1131" s="119"/>
      <c r="G1131" s="119"/>
      <c r="H1131" s="119"/>
      <c r="I1131" s="119"/>
      <c r="J1131" s="119"/>
      <c r="K1131" s="119"/>
      <c r="L1131" s="119"/>
      <c r="M1131" s="85"/>
      <c r="N1131" s="218"/>
    </row>
    <row r="1132" spans="1:29" ht="15.75">
      <c r="A1132" s="336" t="s">
        <v>67</v>
      </c>
      <c r="B1132" s="336"/>
      <c r="C1132" s="336"/>
      <c r="D1132" s="336"/>
      <c r="E1132" s="336"/>
      <c r="F1132" s="336"/>
      <c r="G1132" s="336"/>
      <c r="H1132" s="336"/>
      <c r="I1132" s="336"/>
      <c r="J1132" s="336"/>
      <c r="K1132" s="336"/>
      <c r="L1132" s="336"/>
    </row>
    <row r="1133" spans="1:29" ht="2.25" customHeight="1">
      <c r="A1133" s="141"/>
      <c r="B1133" s="141"/>
      <c r="C1133" s="141"/>
      <c r="D1133" s="141"/>
      <c r="E1133" s="141"/>
      <c r="F1133" s="141"/>
      <c r="G1133" s="155"/>
      <c r="H1133" s="155"/>
      <c r="I1133" s="155"/>
      <c r="J1133" s="155"/>
      <c r="K1133" s="155"/>
      <c r="L1133" s="155"/>
    </row>
    <row r="1134" spans="1:29" ht="27.75" customHeight="1">
      <c r="A1134" s="317" t="s">
        <v>135</v>
      </c>
      <c r="B1134" s="318"/>
      <c r="C1134" s="317" t="s">
        <v>68</v>
      </c>
      <c r="D1134" s="318"/>
      <c r="E1134" s="183"/>
      <c r="F1134" s="321" t="s">
        <v>136</v>
      </c>
      <c r="G1134" s="322" t="s">
        <v>155</v>
      </c>
      <c r="H1134" s="323"/>
      <c r="I1134" s="323"/>
      <c r="J1134" s="322" t="s">
        <v>154</v>
      </c>
      <c r="K1134" s="323"/>
      <c r="L1134" s="324"/>
      <c r="M1134" s="92"/>
      <c r="O1134" s="325"/>
      <c r="P1134" s="325"/>
      <c r="Q1134" s="325"/>
      <c r="R1134" s="325"/>
      <c r="S1134" s="316"/>
      <c r="T1134" s="316"/>
      <c r="U1134" s="316"/>
      <c r="V1134" s="316"/>
      <c r="W1134" s="316"/>
      <c r="X1134" s="316"/>
      <c r="Y1134" s="316"/>
      <c r="Z1134" s="316"/>
      <c r="AA1134" s="316"/>
      <c r="AB1134" s="316"/>
      <c r="AC1134" s="316"/>
    </row>
    <row r="1135" spans="1:29" ht="125.25" customHeight="1">
      <c r="A1135" s="319"/>
      <c r="B1135" s="320"/>
      <c r="C1135" s="319"/>
      <c r="D1135" s="320"/>
      <c r="E1135" s="184"/>
      <c r="F1135" s="321"/>
      <c r="G1135" s="153" t="s">
        <v>151</v>
      </c>
      <c r="H1135" s="153" t="s">
        <v>152</v>
      </c>
      <c r="I1135" s="153" t="s">
        <v>153</v>
      </c>
      <c r="J1135" s="153" t="s">
        <v>151</v>
      </c>
      <c r="K1135" s="153" t="s">
        <v>152</v>
      </c>
      <c r="L1135" s="153" t="s">
        <v>153</v>
      </c>
      <c r="O1135" s="325"/>
      <c r="P1135" s="325"/>
      <c r="Q1135" s="325"/>
      <c r="R1135" s="325"/>
      <c r="S1135" s="193"/>
      <c r="T1135" s="193"/>
      <c r="U1135" s="193"/>
      <c r="V1135" s="193"/>
      <c r="W1135" s="193"/>
      <c r="X1135" s="193"/>
      <c r="Y1135" s="193"/>
      <c r="Z1135" s="193"/>
      <c r="AA1135" s="193"/>
      <c r="AB1135" s="193"/>
      <c r="AC1135" s="193"/>
    </row>
    <row r="1136" spans="1:29" ht="24.75" customHeight="1">
      <c r="A1136" s="190" t="s">
        <v>128</v>
      </c>
      <c r="B1136" s="142"/>
      <c r="C1136" s="330" t="s">
        <v>129</v>
      </c>
      <c r="D1136" s="330"/>
      <c r="E1136" s="330"/>
      <c r="F1136" s="330"/>
      <c r="G1136" s="330"/>
      <c r="H1136" s="330"/>
      <c r="I1136" s="330"/>
      <c r="J1136" s="330"/>
      <c r="K1136" s="330"/>
      <c r="L1136" s="330"/>
      <c r="M1136" s="93"/>
      <c r="O1136" s="156"/>
      <c r="P1136" s="142"/>
      <c r="Q1136" s="331"/>
      <c r="R1136" s="331"/>
      <c r="S1136" s="331"/>
      <c r="T1136" s="331"/>
      <c r="U1136" s="331"/>
      <c r="V1136" s="331"/>
      <c r="W1136" s="331"/>
      <c r="X1136" s="331"/>
      <c r="Y1136" s="331"/>
      <c r="Z1136" s="331"/>
      <c r="AA1136" s="331"/>
      <c r="AB1136" s="331"/>
      <c r="AC1136" s="331"/>
    </row>
    <row r="1137" spans="1:29" ht="20.100000000000001" customHeight="1">
      <c r="A1137" s="187">
        <v>1</v>
      </c>
      <c r="B1137" s="185" t="s">
        <v>69</v>
      </c>
      <c r="C1137" s="326" t="s">
        <v>70</v>
      </c>
      <c r="D1137" s="326"/>
      <c r="E1137" s="176"/>
      <c r="F1137" s="144" t="s">
        <v>71</v>
      </c>
      <c r="G1137" s="203" t="s">
        <v>156</v>
      </c>
      <c r="H1137" s="202" t="s">
        <v>156</v>
      </c>
      <c r="I1137" s="201">
        <v>1</v>
      </c>
      <c r="J1137" s="202" t="s">
        <v>156</v>
      </c>
      <c r="K1137" s="202" t="s">
        <v>156</v>
      </c>
      <c r="L1137" s="201">
        <v>1</v>
      </c>
      <c r="M1137" s="93"/>
      <c r="O1137" s="195"/>
      <c r="P1137" s="196"/>
      <c r="Q1137" s="327"/>
      <c r="R1137" s="327"/>
      <c r="S1137" s="86"/>
      <c r="T1137" s="86"/>
      <c r="U1137" s="86"/>
      <c r="V1137" s="86"/>
      <c r="W1137" s="194"/>
      <c r="X1137" s="194"/>
      <c r="Y1137" s="194"/>
      <c r="Z1137" s="194"/>
      <c r="AA1137" s="194"/>
      <c r="AB1137" s="194"/>
      <c r="AC1137" s="194"/>
    </row>
    <row r="1138" spans="1:29" ht="20.100000000000001" customHeight="1">
      <c r="A1138" s="187">
        <v>2</v>
      </c>
      <c r="B1138" s="185" t="s">
        <v>69</v>
      </c>
      <c r="C1138" s="326" t="s">
        <v>72</v>
      </c>
      <c r="D1138" s="326"/>
      <c r="E1138" s="176"/>
      <c r="F1138" s="144" t="s">
        <v>71</v>
      </c>
      <c r="G1138" s="203" t="s">
        <v>156</v>
      </c>
      <c r="H1138" s="202" t="s">
        <v>156</v>
      </c>
      <c r="I1138" s="202" t="s">
        <v>156</v>
      </c>
      <c r="J1138" s="202" t="s">
        <v>156</v>
      </c>
      <c r="K1138" s="202" t="s">
        <v>156</v>
      </c>
      <c r="L1138" s="202" t="s">
        <v>156</v>
      </c>
      <c r="M1138" s="93"/>
      <c r="O1138" s="195"/>
      <c r="P1138" s="196"/>
      <c r="Q1138" s="327"/>
      <c r="R1138" s="327"/>
      <c r="S1138" s="194"/>
      <c r="T1138" s="194"/>
      <c r="U1138" s="194"/>
      <c r="V1138" s="86"/>
      <c r="W1138" s="86"/>
      <c r="X1138" s="86"/>
      <c r="Y1138" s="86"/>
      <c r="Z1138" s="194"/>
      <c r="AA1138" s="194"/>
      <c r="AB1138" s="194"/>
      <c r="AC1138" s="194"/>
    </row>
    <row r="1139" spans="1:29" ht="20.100000000000001" customHeight="1">
      <c r="A1139" s="187">
        <v>3</v>
      </c>
      <c r="B1139" s="185" t="s">
        <v>69</v>
      </c>
      <c r="C1139" s="326" t="s">
        <v>73</v>
      </c>
      <c r="D1139" s="326"/>
      <c r="E1139" s="176"/>
      <c r="F1139" s="144" t="s">
        <v>71</v>
      </c>
      <c r="G1139" s="203" t="s">
        <v>156</v>
      </c>
      <c r="H1139" s="202" t="s">
        <v>156</v>
      </c>
      <c r="I1139" s="202" t="s">
        <v>156</v>
      </c>
      <c r="J1139" s="202" t="s">
        <v>156</v>
      </c>
      <c r="K1139" s="202" t="s">
        <v>156</v>
      </c>
      <c r="L1139" s="202" t="s">
        <v>156</v>
      </c>
      <c r="M1139" s="93"/>
      <c r="O1139" s="195"/>
      <c r="P1139" s="196"/>
      <c r="Q1139" s="327"/>
      <c r="R1139" s="327"/>
      <c r="S1139" s="194"/>
      <c r="T1139" s="86"/>
      <c r="U1139" s="86"/>
      <c r="V1139" s="86"/>
      <c r="W1139" s="86"/>
      <c r="X1139" s="194"/>
      <c r="Y1139" s="194"/>
      <c r="Z1139" s="194"/>
      <c r="AA1139" s="194"/>
      <c r="AB1139" s="194"/>
      <c r="AC1139" s="194"/>
    </row>
    <row r="1140" spans="1:29" ht="20.100000000000001" customHeight="1">
      <c r="A1140" s="187">
        <v>4</v>
      </c>
      <c r="B1140" s="185" t="s">
        <v>69</v>
      </c>
      <c r="C1140" s="326" t="s">
        <v>98</v>
      </c>
      <c r="D1140" s="326"/>
      <c r="E1140" s="176"/>
      <c r="F1140" s="144" t="s">
        <v>71</v>
      </c>
      <c r="G1140" s="203" t="s">
        <v>156</v>
      </c>
      <c r="H1140" s="202" t="s">
        <v>156</v>
      </c>
      <c r="I1140" s="202" t="s">
        <v>156</v>
      </c>
      <c r="J1140" s="202" t="s">
        <v>156</v>
      </c>
      <c r="K1140" s="202" t="s">
        <v>156</v>
      </c>
      <c r="L1140" s="202" t="s">
        <v>156</v>
      </c>
      <c r="M1140" s="93"/>
      <c r="O1140" s="195"/>
      <c r="P1140" s="196"/>
      <c r="Q1140" s="327"/>
      <c r="R1140" s="327"/>
      <c r="S1140" s="194"/>
      <c r="T1140" s="194"/>
      <c r="U1140" s="194"/>
      <c r="V1140" s="194"/>
      <c r="W1140" s="194"/>
      <c r="X1140" s="194"/>
      <c r="Y1140" s="194"/>
      <c r="Z1140" s="86"/>
      <c r="AA1140" s="86"/>
      <c r="AB1140" s="86"/>
      <c r="AC1140" s="86"/>
    </row>
    <row r="1141" spans="1:29" ht="20.100000000000001" customHeight="1">
      <c r="A1141" s="187">
        <v>5</v>
      </c>
      <c r="B1141" s="185" t="s">
        <v>69</v>
      </c>
      <c r="C1141" s="326" t="s">
        <v>74</v>
      </c>
      <c r="D1141" s="326"/>
      <c r="E1141" s="176"/>
      <c r="F1141" s="144" t="s">
        <v>71</v>
      </c>
      <c r="G1141" s="203" t="s">
        <v>156</v>
      </c>
      <c r="H1141" s="202" t="s">
        <v>156</v>
      </c>
      <c r="I1141" s="202" t="s">
        <v>156</v>
      </c>
      <c r="J1141" s="202" t="s">
        <v>156</v>
      </c>
      <c r="K1141" s="202" t="s">
        <v>156</v>
      </c>
      <c r="L1141" s="202" t="s">
        <v>156</v>
      </c>
      <c r="M1141" s="93"/>
      <c r="O1141" s="195"/>
      <c r="P1141" s="196"/>
      <c r="Q1141" s="327"/>
      <c r="R1141" s="327"/>
      <c r="S1141" s="194"/>
      <c r="T1141" s="194"/>
      <c r="U1141" s="194"/>
      <c r="V1141" s="194"/>
      <c r="W1141" s="194"/>
      <c r="X1141" s="194"/>
      <c r="Y1141" s="194"/>
      <c r="Z1141" s="194"/>
      <c r="AA1141" s="194"/>
      <c r="AB1141" s="194"/>
      <c r="AC1141" s="194"/>
    </row>
    <row r="1142" spans="1:29" ht="20.100000000000001" customHeight="1">
      <c r="A1142" s="187">
        <v>6</v>
      </c>
      <c r="B1142" s="185" t="s">
        <v>69</v>
      </c>
      <c r="C1142" s="326" t="s">
        <v>75</v>
      </c>
      <c r="D1142" s="326"/>
      <c r="E1142" s="176"/>
      <c r="F1142" s="144" t="s">
        <v>71</v>
      </c>
      <c r="G1142" s="203" t="s">
        <v>156</v>
      </c>
      <c r="H1142" s="202" t="s">
        <v>156</v>
      </c>
      <c r="I1142" s="202" t="s">
        <v>156</v>
      </c>
      <c r="J1142" s="202" t="s">
        <v>156</v>
      </c>
      <c r="K1142" s="202" t="s">
        <v>156</v>
      </c>
      <c r="L1142" s="202" t="s">
        <v>156</v>
      </c>
      <c r="M1142" s="93"/>
      <c r="O1142" s="195"/>
      <c r="P1142" s="196"/>
      <c r="Q1142" s="327"/>
      <c r="R1142" s="327"/>
      <c r="S1142" s="194"/>
      <c r="T1142" s="194"/>
      <c r="U1142" s="194"/>
      <c r="V1142" s="194"/>
      <c r="W1142" s="194"/>
      <c r="X1142" s="194"/>
      <c r="Y1142" s="194"/>
      <c r="Z1142" s="194"/>
      <c r="AA1142" s="194"/>
      <c r="AB1142" s="194"/>
      <c r="AC1142" s="194"/>
    </row>
    <row r="1143" spans="1:29" ht="20.100000000000001" customHeight="1">
      <c r="A1143" s="187">
        <v>7</v>
      </c>
      <c r="B1143" s="185" t="s">
        <v>69</v>
      </c>
      <c r="C1143" s="326" t="s">
        <v>76</v>
      </c>
      <c r="D1143" s="326"/>
      <c r="E1143" s="176"/>
      <c r="F1143" s="144" t="s">
        <v>71</v>
      </c>
      <c r="G1143" s="203" t="s">
        <v>156</v>
      </c>
      <c r="H1143" s="202" t="s">
        <v>156</v>
      </c>
      <c r="I1143" s="202" t="s">
        <v>156</v>
      </c>
      <c r="J1143" s="202" t="s">
        <v>156</v>
      </c>
      <c r="K1143" s="202" t="s">
        <v>156</v>
      </c>
      <c r="L1143" s="202" t="s">
        <v>156</v>
      </c>
      <c r="M1143" s="93"/>
      <c r="O1143" s="195"/>
      <c r="P1143" s="196"/>
      <c r="Q1143" s="327"/>
      <c r="R1143" s="327"/>
      <c r="S1143" s="194"/>
      <c r="T1143" s="194"/>
      <c r="U1143" s="194"/>
      <c r="V1143" s="194"/>
      <c r="W1143" s="194"/>
      <c r="X1143" s="194"/>
      <c r="Y1143" s="194"/>
      <c r="Z1143" s="194"/>
      <c r="AA1143" s="194"/>
      <c r="AB1143" s="194"/>
      <c r="AC1143" s="194"/>
    </row>
    <row r="1144" spans="1:29" ht="20.100000000000001" customHeight="1">
      <c r="A1144" s="187">
        <v>8</v>
      </c>
      <c r="B1144" s="185" t="s">
        <v>69</v>
      </c>
      <c r="C1144" s="326" t="s">
        <v>99</v>
      </c>
      <c r="D1144" s="326"/>
      <c r="E1144" s="176"/>
      <c r="F1144" s="144" t="s">
        <v>71</v>
      </c>
      <c r="G1144" s="203" t="s">
        <v>156</v>
      </c>
      <c r="H1144" s="202" t="s">
        <v>156</v>
      </c>
      <c r="I1144" s="202" t="s">
        <v>156</v>
      </c>
      <c r="J1144" s="202" t="s">
        <v>156</v>
      </c>
      <c r="K1144" s="202" t="s">
        <v>156</v>
      </c>
      <c r="L1144" s="202" t="s">
        <v>156</v>
      </c>
      <c r="M1144" s="93"/>
      <c r="O1144" s="195"/>
      <c r="P1144" s="196"/>
      <c r="Q1144" s="327"/>
      <c r="R1144" s="327"/>
      <c r="S1144" s="194"/>
      <c r="T1144" s="194"/>
      <c r="U1144" s="194"/>
      <c r="V1144" s="194"/>
      <c r="W1144" s="194"/>
      <c r="X1144" s="194"/>
      <c r="Y1144" s="194"/>
      <c r="Z1144" s="194"/>
      <c r="AA1144" s="194"/>
      <c r="AB1144" s="194"/>
      <c r="AC1144" s="194"/>
    </row>
    <row r="1145" spans="1:29" ht="20.100000000000001" customHeight="1">
      <c r="A1145" s="187">
        <v>9</v>
      </c>
      <c r="B1145" s="185" t="s">
        <v>69</v>
      </c>
      <c r="C1145" s="326" t="s">
        <v>77</v>
      </c>
      <c r="D1145" s="326"/>
      <c r="E1145" s="176"/>
      <c r="F1145" s="144" t="s">
        <v>71</v>
      </c>
      <c r="G1145" s="203" t="s">
        <v>156</v>
      </c>
      <c r="H1145" s="202" t="s">
        <v>156</v>
      </c>
      <c r="I1145" s="202" t="s">
        <v>156</v>
      </c>
      <c r="J1145" s="202" t="s">
        <v>156</v>
      </c>
      <c r="K1145" s="202" t="s">
        <v>156</v>
      </c>
      <c r="L1145" s="202" t="s">
        <v>156</v>
      </c>
      <c r="M1145" s="93"/>
      <c r="O1145" s="195"/>
      <c r="P1145" s="196"/>
      <c r="Q1145" s="327"/>
      <c r="R1145" s="327"/>
      <c r="S1145" s="194"/>
      <c r="T1145" s="194"/>
      <c r="U1145" s="194"/>
      <c r="V1145" s="194"/>
      <c r="W1145" s="194"/>
      <c r="X1145" s="194"/>
      <c r="Y1145" s="194"/>
      <c r="Z1145" s="194"/>
      <c r="AA1145" s="194"/>
      <c r="AB1145" s="194"/>
      <c r="AC1145" s="194"/>
    </row>
    <row r="1146" spans="1:29" ht="20.100000000000001" customHeight="1">
      <c r="A1146" s="187">
        <v>10</v>
      </c>
      <c r="B1146" s="185" t="s">
        <v>69</v>
      </c>
      <c r="C1146" s="326" t="s">
        <v>78</v>
      </c>
      <c r="D1146" s="326"/>
      <c r="E1146" s="176"/>
      <c r="F1146" s="144" t="s">
        <v>71</v>
      </c>
      <c r="G1146" s="203" t="s">
        <v>156</v>
      </c>
      <c r="H1146" s="202" t="s">
        <v>156</v>
      </c>
      <c r="I1146" s="202" t="s">
        <v>156</v>
      </c>
      <c r="J1146" s="202" t="s">
        <v>156</v>
      </c>
      <c r="K1146" s="202" t="s">
        <v>156</v>
      </c>
      <c r="L1146" s="202" t="s">
        <v>156</v>
      </c>
      <c r="M1146" s="93"/>
      <c r="O1146" s="195"/>
      <c r="P1146" s="196"/>
      <c r="Q1146" s="327"/>
      <c r="R1146" s="327"/>
      <c r="S1146" s="194"/>
      <c r="T1146" s="194"/>
      <c r="U1146" s="194"/>
      <c r="V1146" s="194"/>
      <c r="W1146" s="194"/>
      <c r="X1146" s="194"/>
      <c r="Y1146" s="194"/>
      <c r="Z1146" s="194"/>
      <c r="AA1146" s="194"/>
      <c r="AB1146" s="194"/>
      <c r="AC1146" s="194"/>
    </row>
    <row r="1147" spans="1:29" ht="20.100000000000001" customHeight="1">
      <c r="A1147" s="187">
        <v>11</v>
      </c>
      <c r="B1147" s="185" t="s">
        <v>69</v>
      </c>
      <c r="C1147" s="326" t="s">
        <v>79</v>
      </c>
      <c r="D1147" s="326"/>
      <c r="E1147" s="176"/>
      <c r="F1147" s="144" t="s">
        <v>71</v>
      </c>
      <c r="G1147" s="203" t="s">
        <v>156</v>
      </c>
      <c r="H1147" s="202" t="s">
        <v>156</v>
      </c>
      <c r="I1147" s="202" t="s">
        <v>156</v>
      </c>
      <c r="J1147" s="202" t="s">
        <v>156</v>
      </c>
      <c r="K1147" s="202" t="s">
        <v>156</v>
      </c>
      <c r="L1147" s="202" t="s">
        <v>156</v>
      </c>
      <c r="M1147" s="93"/>
      <c r="O1147" s="195"/>
      <c r="P1147" s="196"/>
      <c r="Q1147" s="327"/>
      <c r="R1147" s="327"/>
      <c r="S1147" s="194"/>
      <c r="T1147" s="194"/>
      <c r="U1147" s="194"/>
      <c r="V1147" s="194"/>
      <c r="W1147" s="194"/>
      <c r="X1147" s="194"/>
      <c r="Y1147" s="194"/>
      <c r="Z1147" s="194"/>
      <c r="AA1147" s="194"/>
      <c r="AB1147" s="194"/>
      <c r="AC1147" s="194"/>
    </row>
    <row r="1148" spans="1:29" ht="20.100000000000001" customHeight="1">
      <c r="A1148" s="187">
        <v>12</v>
      </c>
      <c r="B1148" s="185" t="s">
        <v>69</v>
      </c>
      <c r="C1148" s="326" t="s">
        <v>100</v>
      </c>
      <c r="D1148" s="326"/>
      <c r="E1148" s="176"/>
      <c r="F1148" s="144" t="s">
        <v>71</v>
      </c>
      <c r="G1148" s="203" t="s">
        <v>156</v>
      </c>
      <c r="H1148" s="202" t="s">
        <v>156</v>
      </c>
      <c r="I1148" s="202" t="s">
        <v>156</v>
      </c>
      <c r="J1148" s="202" t="s">
        <v>156</v>
      </c>
      <c r="K1148" s="202" t="s">
        <v>156</v>
      </c>
      <c r="L1148" s="202" t="s">
        <v>156</v>
      </c>
      <c r="M1148" s="93"/>
      <c r="O1148" s="195"/>
      <c r="P1148" s="196"/>
      <c r="Q1148" s="327"/>
      <c r="R1148" s="327"/>
      <c r="S1148" s="194"/>
      <c r="T1148" s="194"/>
      <c r="U1148" s="194"/>
      <c r="V1148" s="194"/>
      <c r="W1148" s="194"/>
      <c r="X1148" s="194"/>
      <c r="Y1148" s="194"/>
      <c r="Z1148" s="194"/>
      <c r="AA1148" s="194"/>
      <c r="AB1148" s="194"/>
      <c r="AC1148" s="194"/>
    </row>
    <row r="1149" spans="1:29" ht="20.100000000000001" customHeight="1">
      <c r="A1149" s="187">
        <v>13</v>
      </c>
      <c r="B1149" s="185" t="s">
        <v>69</v>
      </c>
      <c r="C1149" s="326" t="s">
        <v>80</v>
      </c>
      <c r="D1149" s="326"/>
      <c r="E1149" s="176"/>
      <c r="F1149" s="144" t="s">
        <v>71</v>
      </c>
      <c r="G1149" s="203" t="s">
        <v>156</v>
      </c>
      <c r="H1149" s="202" t="s">
        <v>156</v>
      </c>
      <c r="I1149" s="202" t="s">
        <v>156</v>
      </c>
      <c r="J1149" s="202" t="s">
        <v>156</v>
      </c>
      <c r="K1149" s="202" t="s">
        <v>156</v>
      </c>
      <c r="L1149" s="202" t="s">
        <v>156</v>
      </c>
      <c r="M1149" s="93"/>
      <c r="O1149" s="195"/>
      <c r="P1149" s="196"/>
      <c r="Q1149" s="327"/>
      <c r="R1149" s="327"/>
      <c r="S1149" s="194"/>
      <c r="T1149" s="194"/>
      <c r="U1149" s="194"/>
      <c r="V1149" s="194"/>
      <c r="W1149" s="194"/>
      <c r="X1149" s="194"/>
      <c r="Y1149" s="194"/>
      <c r="Z1149" s="194"/>
      <c r="AA1149" s="194"/>
      <c r="AB1149" s="194"/>
      <c r="AC1149" s="194"/>
    </row>
    <row r="1150" spans="1:29" ht="20.100000000000001" customHeight="1">
      <c r="A1150" s="187">
        <v>14</v>
      </c>
      <c r="B1150" s="185" t="s">
        <v>69</v>
      </c>
      <c r="C1150" s="326" t="s">
        <v>91</v>
      </c>
      <c r="D1150" s="326"/>
      <c r="E1150" s="176"/>
      <c r="F1150" s="144" t="s">
        <v>71</v>
      </c>
      <c r="G1150" s="203" t="s">
        <v>156</v>
      </c>
      <c r="H1150" s="202" t="s">
        <v>156</v>
      </c>
      <c r="I1150" s="202" t="s">
        <v>156</v>
      </c>
      <c r="J1150" s="202" t="s">
        <v>156</v>
      </c>
      <c r="K1150" s="202" t="s">
        <v>156</v>
      </c>
      <c r="L1150" s="202" t="s">
        <v>156</v>
      </c>
      <c r="M1150" s="93"/>
      <c r="O1150" s="195"/>
      <c r="P1150" s="196"/>
      <c r="Q1150" s="327"/>
      <c r="R1150" s="327"/>
      <c r="S1150" s="194"/>
      <c r="T1150" s="194"/>
      <c r="U1150" s="194"/>
      <c r="V1150" s="194"/>
      <c r="W1150" s="194"/>
      <c r="X1150" s="194"/>
      <c r="Y1150" s="194"/>
      <c r="Z1150" s="194"/>
      <c r="AA1150" s="194"/>
      <c r="AB1150" s="194"/>
      <c r="AC1150" s="194"/>
    </row>
    <row r="1151" spans="1:29" ht="20.100000000000001" customHeight="1">
      <c r="A1151" s="187">
        <v>15</v>
      </c>
      <c r="B1151" s="185" t="s">
        <v>69</v>
      </c>
      <c r="C1151" s="326" t="s">
        <v>81</v>
      </c>
      <c r="D1151" s="326"/>
      <c r="E1151" s="176"/>
      <c r="F1151" s="144" t="s">
        <v>71</v>
      </c>
      <c r="G1151" s="203" t="s">
        <v>156</v>
      </c>
      <c r="H1151" s="202" t="s">
        <v>156</v>
      </c>
      <c r="I1151" s="202" t="s">
        <v>156</v>
      </c>
      <c r="J1151" s="202" t="s">
        <v>156</v>
      </c>
      <c r="K1151" s="202" t="s">
        <v>156</v>
      </c>
      <c r="L1151" s="202" t="s">
        <v>156</v>
      </c>
      <c r="M1151" s="93"/>
      <c r="O1151" s="195"/>
      <c r="P1151" s="196"/>
      <c r="Q1151" s="327"/>
      <c r="R1151" s="327"/>
      <c r="S1151" s="194"/>
      <c r="T1151" s="194"/>
      <c r="U1151" s="194"/>
      <c r="V1151" s="194"/>
      <c r="W1151" s="194"/>
      <c r="X1151" s="194"/>
      <c r="Y1151" s="194"/>
      <c r="Z1151" s="194"/>
      <c r="AA1151" s="194"/>
      <c r="AB1151" s="194"/>
      <c r="AC1151" s="194"/>
    </row>
    <row r="1152" spans="1:29" ht="20.100000000000001" customHeight="1">
      <c r="A1152" s="187">
        <v>16</v>
      </c>
      <c r="B1152" s="185" t="s">
        <v>69</v>
      </c>
      <c r="C1152" s="326" t="s">
        <v>101</v>
      </c>
      <c r="D1152" s="326"/>
      <c r="E1152" s="151"/>
      <c r="F1152" s="144" t="s">
        <v>71</v>
      </c>
      <c r="G1152" s="203" t="s">
        <v>156</v>
      </c>
      <c r="H1152" s="202" t="s">
        <v>156</v>
      </c>
      <c r="I1152" s="202" t="s">
        <v>156</v>
      </c>
      <c r="J1152" s="202" t="s">
        <v>156</v>
      </c>
      <c r="K1152" s="202" t="s">
        <v>156</v>
      </c>
      <c r="L1152" s="202" t="s">
        <v>156</v>
      </c>
      <c r="M1152" s="93"/>
      <c r="N1152" s="219"/>
      <c r="O1152" s="195"/>
      <c r="P1152" s="196"/>
      <c r="Q1152" s="327"/>
      <c r="R1152" s="327"/>
      <c r="S1152" s="197"/>
      <c r="T1152" s="197"/>
      <c r="U1152" s="197"/>
      <c r="V1152" s="197"/>
      <c r="W1152" s="197"/>
      <c r="X1152" s="197"/>
      <c r="Y1152" s="197"/>
      <c r="Z1152" s="197"/>
      <c r="AA1152" s="197"/>
      <c r="AB1152" s="197"/>
      <c r="AC1152" s="197"/>
    </row>
    <row r="1153" spans="1:29" ht="20.100000000000001" customHeight="1">
      <c r="A1153" s="187">
        <v>17</v>
      </c>
      <c r="B1153" s="186" t="s">
        <v>69</v>
      </c>
      <c r="C1153" s="326" t="s">
        <v>141</v>
      </c>
      <c r="D1153" s="326"/>
      <c r="E1153" s="151"/>
      <c r="F1153" s="144" t="s">
        <v>71</v>
      </c>
      <c r="G1153" s="203" t="s">
        <v>156</v>
      </c>
      <c r="H1153" s="202" t="s">
        <v>156</v>
      </c>
      <c r="I1153" s="202" t="s">
        <v>156</v>
      </c>
      <c r="J1153" s="202" t="s">
        <v>156</v>
      </c>
      <c r="K1153" s="202" t="s">
        <v>156</v>
      </c>
      <c r="L1153" s="202" t="s">
        <v>156</v>
      </c>
      <c r="M1153" s="93"/>
      <c r="N1153" s="219"/>
      <c r="O1153" s="195"/>
      <c r="P1153" s="104"/>
      <c r="Q1153" s="327"/>
      <c r="R1153" s="327"/>
      <c r="S1153" s="197"/>
      <c r="T1153" s="197"/>
      <c r="U1153" s="197"/>
      <c r="V1153" s="197"/>
      <c r="W1153" s="197"/>
      <c r="X1153" s="197"/>
      <c r="Y1153" s="197"/>
      <c r="Z1153" s="197"/>
      <c r="AA1153" s="197"/>
      <c r="AB1153" s="197"/>
      <c r="AC1153" s="197"/>
    </row>
    <row r="1154" spans="1:29" ht="20.100000000000001" customHeight="1">
      <c r="A1154" s="187">
        <v>18</v>
      </c>
      <c r="B1154" s="186" t="s">
        <v>69</v>
      </c>
      <c r="C1154" s="326" t="s">
        <v>142</v>
      </c>
      <c r="D1154" s="326"/>
      <c r="E1154" s="151"/>
      <c r="F1154" s="144" t="s">
        <v>71</v>
      </c>
      <c r="G1154" s="203" t="s">
        <v>156</v>
      </c>
      <c r="H1154" s="202" t="s">
        <v>156</v>
      </c>
      <c r="I1154" s="202" t="s">
        <v>156</v>
      </c>
      <c r="J1154" s="202" t="s">
        <v>156</v>
      </c>
      <c r="K1154" s="202" t="s">
        <v>156</v>
      </c>
      <c r="L1154" s="202" t="s">
        <v>156</v>
      </c>
      <c r="M1154" s="93"/>
      <c r="N1154" s="219"/>
      <c r="O1154" s="195"/>
      <c r="P1154" s="104"/>
      <c r="Q1154" s="327"/>
      <c r="R1154" s="327"/>
      <c r="S1154" s="197"/>
      <c r="T1154" s="197"/>
      <c r="U1154" s="197"/>
      <c r="V1154" s="197"/>
      <c r="W1154" s="197"/>
      <c r="X1154" s="197"/>
      <c r="Y1154" s="197"/>
      <c r="Z1154" s="197"/>
      <c r="AA1154" s="197"/>
      <c r="AB1154" s="197"/>
      <c r="AC1154" s="197"/>
    </row>
    <row r="1155" spans="1:29" ht="20.100000000000001" customHeight="1">
      <c r="A1155" s="187">
        <v>19</v>
      </c>
      <c r="B1155" s="186" t="s">
        <v>69</v>
      </c>
      <c r="C1155" s="326" t="s">
        <v>143</v>
      </c>
      <c r="D1155" s="326"/>
      <c r="E1155" s="151"/>
      <c r="F1155" s="144" t="s">
        <v>71</v>
      </c>
      <c r="G1155" s="203" t="s">
        <v>156</v>
      </c>
      <c r="H1155" s="202" t="s">
        <v>156</v>
      </c>
      <c r="I1155" s="202" t="s">
        <v>156</v>
      </c>
      <c r="J1155" s="202" t="s">
        <v>156</v>
      </c>
      <c r="K1155" s="202" t="s">
        <v>156</v>
      </c>
      <c r="L1155" s="202" t="s">
        <v>156</v>
      </c>
      <c r="M1155" s="93"/>
      <c r="N1155" s="219"/>
      <c r="O1155" s="195"/>
      <c r="P1155" s="104"/>
      <c r="Q1155" s="327"/>
      <c r="R1155" s="327"/>
      <c r="S1155" s="197"/>
      <c r="T1155" s="197"/>
      <c r="U1155" s="197"/>
      <c r="V1155" s="197"/>
      <c r="W1155" s="197"/>
      <c r="X1155" s="197"/>
      <c r="Y1155" s="197"/>
      <c r="Z1155" s="197"/>
      <c r="AA1155" s="197"/>
      <c r="AB1155" s="197"/>
      <c r="AC1155" s="197"/>
    </row>
    <row r="1156" spans="1:29" ht="20.100000000000001" customHeight="1">
      <c r="A1156" s="187">
        <v>20</v>
      </c>
      <c r="B1156" s="186" t="s">
        <v>69</v>
      </c>
      <c r="C1156" s="326" t="s">
        <v>102</v>
      </c>
      <c r="D1156" s="326"/>
      <c r="E1156" s="150"/>
      <c r="F1156" s="154" t="s">
        <v>71</v>
      </c>
      <c r="G1156" s="203" t="s">
        <v>156</v>
      </c>
      <c r="H1156" s="202" t="s">
        <v>156</v>
      </c>
      <c r="I1156" s="202" t="s">
        <v>156</v>
      </c>
      <c r="J1156" s="202" t="s">
        <v>156</v>
      </c>
      <c r="K1156" s="202" t="s">
        <v>156</v>
      </c>
      <c r="L1156" s="202" t="s">
        <v>156</v>
      </c>
      <c r="M1156" s="93"/>
      <c r="N1156" s="219"/>
      <c r="O1156" s="195"/>
      <c r="P1156" s="104"/>
      <c r="Q1156" s="327"/>
      <c r="R1156" s="327"/>
      <c r="S1156" s="197"/>
      <c r="T1156" s="197"/>
      <c r="U1156" s="197"/>
      <c r="V1156" s="197"/>
      <c r="W1156" s="197"/>
      <c r="X1156" s="197"/>
      <c r="Y1156" s="197"/>
      <c r="Z1156" s="197"/>
      <c r="AA1156" s="197"/>
      <c r="AB1156" s="197"/>
      <c r="AC1156" s="197"/>
    </row>
    <row r="1157" spans="1:29" ht="24.75" customHeight="1">
      <c r="A1157" s="190" t="s">
        <v>128</v>
      </c>
      <c r="B1157" s="142"/>
      <c r="C1157" s="330" t="s">
        <v>130</v>
      </c>
      <c r="D1157" s="330"/>
      <c r="E1157" s="330"/>
      <c r="F1157" s="330"/>
      <c r="G1157" s="330"/>
      <c r="H1157" s="330"/>
      <c r="I1157" s="330"/>
      <c r="J1157" s="330"/>
      <c r="K1157" s="330"/>
      <c r="L1157" s="330"/>
      <c r="M1157" s="93"/>
      <c r="O1157" s="156"/>
      <c r="P1157" s="142"/>
      <c r="Q1157" s="331"/>
      <c r="R1157" s="331"/>
      <c r="S1157" s="331"/>
      <c r="T1157" s="331"/>
      <c r="U1157" s="331"/>
      <c r="V1157" s="331"/>
      <c r="W1157" s="331"/>
      <c r="X1157" s="331"/>
      <c r="Y1157" s="331"/>
      <c r="Z1157" s="331"/>
      <c r="AA1157" s="331"/>
      <c r="AB1157" s="331"/>
      <c r="AC1157" s="331"/>
    </row>
    <row r="1158" spans="1:29" ht="33" customHeight="1">
      <c r="A1158" s="189">
        <v>21</v>
      </c>
      <c r="B1158" s="188" t="s">
        <v>69</v>
      </c>
      <c r="C1158" s="307" t="s">
        <v>82</v>
      </c>
      <c r="D1158" s="308"/>
      <c r="E1158" s="182"/>
      <c r="F1158" s="191" t="s">
        <v>71</v>
      </c>
      <c r="G1158" s="201">
        <v>58</v>
      </c>
      <c r="H1158" s="201">
        <v>40</v>
      </c>
      <c r="I1158" s="201">
        <v>21</v>
      </c>
      <c r="J1158" s="201">
        <v>58</v>
      </c>
      <c r="K1158" s="201">
        <v>40</v>
      </c>
      <c r="L1158" s="201">
        <v>21</v>
      </c>
      <c r="M1158" s="89"/>
      <c r="N1158" s="219"/>
      <c r="O1158" s="199"/>
      <c r="P1158" s="200"/>
      <c r="Q1158" s="309"/>
      <c r="R1158" s="309"/>
      <c r="S1158" s="86"/>
      <c r="T1158" s="86"/>
      <c r="U1158" s="86"/>
      <c r="V1158" s="86"/>
      <c r="W1158" s="86"/>
      <c r="X1158" s="86"/>
      <c r="Y1158" s="86"/>
      <c r="Z1158" s="86"/>
      <c r="AA1158" s="86"/>
      <c r="AB1158" s="86"/>
      <c r="AC1158" s="86"/>
    </row>
    <row r="1159" spans="1:29" ht="33" customHeight="1">
      <c r="A1159" s="189">
        <v>22</v>
      </c>
      <c r="B1159" s="188" t="s">
        <v>69</v>
      </c>
      <c r="C1159" s="307" t="s">
        <v>103</v>
      </c>
      <c r="D1159" s="308"/>
      <c r="E1159" s="179"/>
      <c r="F1159" s="191" t="s">
        <v>71</v>
      </c>
      <c r="G1159" s="201">
        <v>9</v>
      </c>
      <c r="H1159" s="201">
        <v>9</v>
      </c>
      <c r="I1159" s="201">
        <v>7</v>
      </c>
      <c r="J1159" s="201">
        <v>9</v>
      </c>
      <c r="K1159" s="201">
        <v>9</v>
      </c>
      <c r="L1159" s="201">
        <v>7</v>
      </c>
      <c r="M1159" s="89"/>
      <c r="N1159" s="219"/>
      <c r="O1159" s="199"/>
      <c r="P1159" s="200"/>
      <c r="Q1159" s="309"/>
      <c r="R1159" s="309"/>
      <c r="S1159" s="86"/>
      <c r="T1159" s="86"/>
      <c r="U1159" s="86"/>
      <c r="V1159" s="86"/>
      <c r="W1159" s="86"/>
      <c r="X1159" s="86"/>
      <c r="Y1159" s="86"/>
      <c r="Z1159" s="86"/>
      <c r="AA1159" s="86"/>
      <c r="AB1159" s="86"/>
      <c r="AC1159" s="86"/>
    </row>
    <row r="1160" spans="1:29" ht="33" customHeight="1">
      <c r="A1160" s="189">
        <v>23</v>
      </c>
      <c r="B1160" s="188" t="s">
        <v>69</v>
      </c>
      <c r="C1160" s="307" t="s">
        <v>104</v>
      </c>
      <c r="D1160" s="308"/>
      <c r="E1160" s="179"/>
      <c r="F1160" s="191" t="s">
        <v>71</v>
      </c>
      <c r="G1160" s="201">
        <v>5</v>
      </c>
      <c r="H1160" s="201">
        <v>1</v>
      </c>
      <c r="I1160" s="201">
        <v>1</v>
      </c>
      <c r="J1160" s="201">
        <v>5</v>
      </c>
      <c r="K1160" s="201">
        <v>1</v>
      </c>
      <c r="L1160" s="201">
        <v>1</v>
      </c>
      <c r="M1160" s="89"/>
      <c r="N1160" s="219"/>
      <c r="O1160" s="199"/>
      <c r="P1160" s="200"/>
      <c r="Q1160" s="309"/>
      <c r="R1160" s="309"/>
      <c r="S1160" s="86"/>
      <c r="T1160" s="86"/>
      <c r="U1160" s="86"/>
      <c r="V1160" s="86"/>
      <c r="W1160" s="86"/>
      <c r="X1160" s="86"/>
      <c r="Y1160" s="86"/>
      <c r="Z1160" s="86"/>
      <c r="AA1160" s="86"/>
      <c r="AB1160" s="86"/>
      <c r="AC1160" s="86"/>
    </row>
    <row r="1161" spans="1:29" ht="27.75" customHeight="1">
      <c r="A1161" s="317" t="s">
        <v>135</v>
      </c>
      <c r="B1161" s="318"/>
      <c r="C1161" s="317" t="s">
        <v>68</v>
      </c>
      <c r="D1161" s="318"/>
      <c r="E1161" s="183"/>
      <c r="F1161" s="321" t="s">
        <v>136</v>
      </c>
      <c r="G1161" s="322" t="s">
        <v>155</v>
      </c>
      <c r="H1161" s="323"/>
      <c r="I1161" s="323"/>
      <c r="J1161" s="322" t="s">
        <v>154</v>
      </c>
      <c r="K1161" s="323"/>
      <c r="L1161" s="324"/>
      <c r="M1161" s="92"/>
      <c r="O1161" s="325"/>
      <c r="P1161" s="325"/>
      <c r="Q1161" s="325"/>
      <c r="R1161" s="325"/>
      <c r="S1161" s="316"/>
      <c r="T1161" s="316"/>
      <c r="U1161" s="316"/>
      <c r="V1161" s="316"/>
      <c r="W1161" s="316"/>
      <c r="X1161" s="316"/>
      <c r="Y1161" s="316"/>
      <c r="Z1161" s="316"/>
      <c r="AA1161" s="316"/>
      <c r="AB1161" s="316"/>
      <c r="AC1161" s="316"/>
    </row>
    <row r="1162" spans="1:29" ht="125.25" customHeight="1">
      <c r="A1162" s="319"/>
      <c r="B1162" s="320"/>
      <c r="C1162" s="319"/>
      <c r="D1162" s="320"/>
      <c r="E1162" s="184"/>
      <c r="F1162" s="321"/>
      <c r="G1162" s="153" t="s">
        <v>151</v>
      </c>
      <c r="H1162" s="153" t="s">
        <v>152</v>
      </c>
      <c r="I1162" s="153" t="s">
        <v>153</v>
      </c>
      <c r="J1162" s="153" t="s">
        <v>151</v>
      </c>
      <c r="K1162" s="153" t="s">
        <v>152</v>
      </c>
      <c r="L1162" s="153" t="s">
        <v>153</v>
      </c>
      <c r="O1162" s="325"/>
      <c r="P1162" s="325"/>
      <c r="Q1162" s="325"/>
      <c r="R1162" s="325"/>
      <c r="S1162" s="193"/>
      <c r="T1162" s="193"/>
      <c r="U1162" s="193"/>
      <c r="V1162" s="193"/>
      <c r="W1162" s="193"/>
      <c r="X1162" s="193"/>
      <c r="Y1162" s="193"/>
      <c r="Z1162" s="193"/>
      <c r="AA1162" s="193"/>
      <c r="AB1162" s="193"/>
      <c r="AC1162" s="193"/>
    </row>
    <row r="1163" spans="1:29" ht="30" customHeight="1">
      <c r="A1163" s="189">
        <v>24</v>
      </c>
      <c r="B1163" s="188" t="s">
        <v>69</v>
      </c>
      <c r="C1163" s="307" t="s">
        <v>131</v>
      </c>
      <c r="D1163" s="308"/>
      <c r="E1163" s="179"/>
      <c r="F1163" s="191" t="s">
        <v>71</v>
      </c>
      <c r="G1163" s="202" t="s">
        <v>156</v>
      </c>
      <c r="H1163" s="202" t="s">
        <v>156</v>
      </c>
      <c r="I1163" s="202" t="s">
        <v>156</v>
      </c>
      <c r="J1163" s="202" t="s">
        <v>156</v>
      </c>
      <c r="K1163" s="202" t="s">
        <v>156</v>
      </c>
      <c r="L1163" s="202" t="s">
        <v>156</v>
      </c>
      <c r="M1163" s="89"/>
      <c r="N1163" s="219"/>
      <c r="O1163" s="199"/>
      <c r="P1163" s="200"/>
      <c r="Q1163" s="309"/>
      <c r="R1163" s="309"/>
      <c r="S1163" s="86"/>
      <c r="T1163" s="86"/>
      <c r="U1163" s="86"/>
      <c r="V1163" s="86"/>
      <c r="W1163" s="86"/>
      <c r="X1163" s="86"/>
      <c r="Y1163" s="86"/>
      <c r="Z1163" s="86"/>
      <c r="AA1163" s="86"/>
      <c r="AB1163" s="86"/>
      <c r="AC1163" s="86"/>
    </row>
    <row r="1164" spans="1:29" ht="30" customHeight="1">
      <c r="A1164" s="189">
        <v>25</v>
      </c>
      <c r="B1164" s="188" t="s">
        <v>69</v>
      </c>
      <c r="C1164" s="307" t="s">
        <v>83</v>
      </c>
      <c r="D1164" s="308"/>
      <c r="E1164" s="179"/>
      <c r="F1164" s="191" t="s">
        <v>71</v>
      </c>
      <c r="G1164" s="201">
        <v>25</v>
      </c>
      <c r="H1164" s="201">
        <v>40</v>
      </c>
      <c r="I1164" s="201">
        <v>22</v>
      </c>
      <c r="J1164" s="201">
        <v>25</v>
      </c>
      <c r="K1164" s="201">
        <v>40</v>
      </c>
      <c r="L1164" s="201">
        <v>22</v>
      </c>
      <c r="M1164" s="89"/>
      <c r="N1164" s="219"/>
      <c r="O1164" s="199"/>
      <c r="P1164" s="200"/>
      <c r="Q1164" s="309"/>
      <c r="R1164" s="309"/>
      <c r="S1164" s="86"/>
      <c r="T1164" s="86"/>
      <c r="U1164" s="86"/>
      <c r="V1164" s="86"/>
      <c r="W1164" s="86"/>
      <c r="X1164" s="86"/>
      <c r="Y1164" s="86"/>
      <c r="Z1164" s="86"/>
      <c r="AA1164" s="86"/>
      <c r="AB1164" s="86"/>
      <c r="AC1164" s="86"/>
    </row>
    <row r="1165" spans="1:29" ht="30" customHeight="1">
      <c r="A1165" s="189">
        <v>26</v>
      </c>
      <c r="B1165" s="188" t="s">
        <v>69</v>
      </c>
      <c r="C1165" s="307" t="s">
        <v>84</v>
      </c>
      <c r="D1165" s="308"/>
      <c r="E1165" s="179"/>
      <c r="F1165" s="191" t="s">
        <v>71</v>
      </c>
      <c r="G1165" s="201">
        <v>5</v>
      </c>
      <c r="H1165" s="202" t="s">
        <v>156</v>
      </c>
      <c r="I1165" s="202" t="s">
        <v>156</v>
      </c>
      <c r="J1165" s="201">
        <v>5</v>
      </c>
      <c r="K1165" s="202" t="s">
        <v>156</v>
      </c>
      <c r="L1165" s="202" t="s">
        <v>156</v>
      </c>
      <c r="M1165" s="89"/>
      <c r="N1165" s="219"/>
      <c r="O1165" s="199"/>
      <c r="P1165" s="200"/>
      <c r="Q1165" s="309"/>
      <c r="R1165" s="309"/>
      <c r="S1165" s="86"/>
      <c r="T1165" s="86"/>
      <c r="U1165" s="86"/>
      <c r="V1165" s="86"/>
      <c r="W1165" s="86"/>
      <c r="X1165" s="86"/>
      <c r="Y1165" s="86"/>
      <c r="Z1165" s="86"/>
      <c r="AA1165" s="86"/>
      <c r="AB1165" s="86"/>
      <c r="AC1165" s="86"/>
    </row>
    <row r="1166" spans="1:29" ht="30" customHeight="1">
      <c r="A1166" s="189">
        <v>27</v>
      </c>
      <c r="B1166" s="188" t="s">
        <v>69</v>
      </c>
      <c r="C1166" s="307" t="s">
        <v>85</v>
      </c>
      <c r="D1166" s="308"/>
      <c r="E1166" s="179"/>
      <c r="F1166" s="191" t="s">
        <v>71</v>
      </c>
      <c r="G1166" s="201">
        <v>3</v>
      </c>
      <c r="H1166" s="201">
        <v>1</v>
      </c>
      <c r="I1166" s="201">
        <v>8</v>
      </c>
      <c r="J1166" s="201">
        <v>3</v>
      </c>
      <c r="K1166" s="201">
        <v>1</v>
      </c>
      <c r="L1166" s="201">
        <v>8</v>
      </c>
      <c r="M1166" s="89"/>
      <c r="N1166" s="219"/>
      <c r="O1166" s="199"/>
      <c r="P1166" s="200"/>
      <c r="Q1166" s="309"/>
      <c r="R1166" s="309"/>
      <c r="S1166" s="86"/>
      <c r="T1166" s="86"/>
      <c r="U1166" s="86"/>
      <c r="V1166" s="86"/>
      <c r="W1166" s="86"/>
      <c r="X1166" s="86"/>
      <c r="Y1166" s="86"/>
      <c r="Z1166" s="86"/>
      <c r="AA1166" s="86"/>
      <c r="AB1166" s="86"/>
      <c r="AC1166" s="86"/>
    </row>
    <row r="1167" spans="1:29" ht="30" customHeight="1">
      <c r="A1167" s="189">
        <v>28</v>
      </c>
      <c r="B1167" s="188" t="s">
        <v>69</v>
      </c>
      <c r="C1167" s="307" t="s">
        <v>132</v>
      </c>
      <c r="D1167" s="308"/>
      <c r="E1167" s="179"/>
      <c r="F1167" s="191" t="s">
        <v>71</v>
      </c>
      <c r="G1167" s="202" t="s">
        <v>156</v>
      </c>
      <c r="H1167" s="202" t="s">
        <v>156</v>
      </c>
      <c r="I1167" s="202" t="s">
        <v>156</v>
      </c>
      <c r="J1167" s="202" t="s">
        <v>156</v>
      </c>
      <c r="K1167" s="202" t="s">
        <v>156</v>
      </c>
      <c r="L1167" s="202" t="s">
        <v>156</v>
      </c>
      <c r="M1167" s="89"/>
      <c r="N1167" s="219"/>
      <c r="O1167" s="199"/>
      <c r="P1167" s="200"/>
      <c r="Q1167" s="309"/>
      <c r="R1167" s="309"/>
      <c r="S1167" s="86"/>
      <c r="T1167" s="86"/>
      <c r="U1167" s="86"/>
      <c r="V1167" s="86"/>
      <c r="W1167" s="86"/>
      <c r="X1167" s="86"/>
      <c r="Y1167" s="86"/>
      <c r="Z1167" s="86"/>
      <c r="AA1167" s="86"/>
      <c r="AB1167" s="86"/>
      <c r="AC1167" s="86"/>
    </row>
    <row r="1168" spans="1:29" ht="30" customHeight="1">
      <c r="A1168" s="189">
        <v>29</v>
      </c>
      <c r="B1168" s="188" t="s">
        <v>69</v>
      </c>
      <c r="C1168" s="307" t="s">
        <v>86</v>
      </c>
      <c r="D1168" s="308"/>
      <c r="E1168" s="179"/>
      <c r="F1168" s="191" t="s">
        <v>71</v>
      </c>
      <c r="G1168" s="201">
        <v>10</v>
      </c>
      <c r="H1168" s="201">
        <v>12</v>
      </c>
      <c r="I1168" s="201">
        <v>9</v>
      </c>
      <c r="J1168" s="201">
        <v>10</v>
      </c>
      <c r="K1168" s="201">
        <v>12</v>
      </c>
      <c r="L1168" s="201">
        <v>9</v>
      </c>
      <c r="M1168" s="89"/>
      <c r="N1168" s="219"/>
      <c r="O1168" s="199"/>
      <c r="P1168" s="200"/>
      <c r="Q1168" s="309"/>
      <c r="R1168" s="309"/>
      <c r="S1168" s="86"/>
      <c r="T1168" s="86"/>
      <c r="U1168" s="86"/>
      <c r="V1168" s="86"/>
      <c r="W1168" s="86"/>
      <c r="X1168" s="86"/>
      <c r="Y1168" s="86"/>
      <c r="Z1168" s="86"/>
      <c r="AA1168" s="86"/>
      <c r="AB1168" s="86"/>
      <c r="AC1168" s="86"/>
    </row>
    <row r="1169" spans="1:29" ht="30" customHeight="1">
      <c r="A1169" s="189">
        <v>30</v>
      </c>
      <c r="B1169" s="188" t="s">
        <v>69</v>
      </c>
      <c r="C1169" s="307" t="s">
        <v>87</v>
      </c>
      <c r="D1169" s="308"/>
      <c r="E1169" s="179"/>
      <c r="F1169" s="191" t="s">
        <v>71</v>
      </c>
      <c r="G1169" s="202" t="s">
        <v>156</v>
      </c>
      <c r="H1169" s="202" t="s">
        <v>156</v>
      </c>
      <c r="I1169" s="202" t="s">
        <v>156</v>
      </c>
      <c r="J1169" s="202" t="s">
        <v>156</v>
      </c>
      <c r="K1169" s="202" t="s">
        <v>156</v>
      </c>
      <c r="L1169" s="202" t="s">
        <v>156</v>
      </c>
      <c r="M1169" s="89"/>
      <c r="N1169" s="219"/>
      <c r="O1169" s="199"/>
      <c r="P1169" s="200"/>
      <c r="Q1169" s="309"/>
      <c r="R1169" s="309"/>
      <c r="S1169" s="86"/>
      <c r="T1169" s="86"/>
      <c r="U1169" s="86"/>
      <c r="V1169" s="86"/>
      <c r="W1169" s="86"/>
      <c r="X1169" s="86"/>
      <c r="Y1169" s="86"/>
      <c r="Z1169" s="86"/>
      <c r="AA1169" s="86"/>
      <c r="AB1169" s="86"/>
      <c r="AC1169" s="86"/>
    </row>
    <row r="1170" spans="1:29" ht="30" customHeight="1">
      <c r="A1170" s="189">
        <v>31</v>
      </c>
      <c r="B1170" s="188" t="s">
        <v>69</v>
      </c>
      <c r="C1170" s="307" t="s">
        <v>105</v>
      </c>
      <c r="D1170" s="308"/>
      <c r="E1170" s="179"/>
      <c r="F1170" s="191" t="s">
        <v>71</v>
      </c>
      <c r="G1170" s="201">
        <v>2</v>
      </c>
      <c r="H1170" s="203" t="s">
        <v>156</v>
      </c>
      <c r="I1170" s="201">
        <v>8</v>
      </c>
      <c r="J1170" s="201">
        <v>2</v>
      </c>
      <c r="K1170" s="203" t="s">
        <v>156</v>
      </c>
      <c r="L1170" s="201">
        <v>8</v>
      </c>
      <c r="M1170" s="89"/>
      <c r="N1170" s="219"/>
      <c r="O1170" s="199"/>
      <c r="P1170" s="200"/>
      <c r="Q1170" s="309"/>
      <c r="R1170" s="309"/>
      <c r="S1170" s="86"/>
      <c r="T1170" s="86"/>
      <c r="U1170" s="86"/>
      <c r="V1170" s="86"/>
      <c r="W1170" s="86"/>
      <c r="X1170" s="86"/>
      <c r="Y1170" s="86"/>
      <c r="Z1170" s="86"/>
      <c r="AA1170" s="86"/>
      <c r="AB1170" s="86"/>
      <c r="AC1170" s="86"/>
    </row>
    <row r="1171" spans="1:29" ht="30" customHeight="1">
      <c r="A1171" s="189">
        <v>32</v>
      </c>
      <c r="B1171" s="188" t="s">
        <v>69</v>
      </c>
      <c r="C1171" s="307" t="s">
        <v>133</v>
      </c>
      <c r="D1171" s="308"/>
      <c r="E1171" s="179"/>
      <c r="F1171" s="191" t="s">
        <v>71</v>
      </c>
      <c r="G1171" s="202" t="s">
        <v>156</v>
      </c>
      <c r="H1171" s="202" t="s">
        <v>156</v>
      </c>
      <c r="I1171" s="202" t="s">
        <v>156</v>
      </c>
      <c r="J1171" s="202" t="s">
        <v>156</v>
      </c>
      <c r="K1171" s="202" t="s">
        <v>156</v>
      </c>
      <c r="L1171" s="202" t="s">
        <v>156</v>
      </c>
      <c r="M1171" s="89"/>
      <c r="N1171" s="219"/>
      <c r="O1171" s="199"/>
      <c r="P1171" s="200"/>
      <c r="Q1171" s="309"/>
      <c r="R1171" s="309"/>
      <c r="S1171" s="86"/>
      <c r="T1171" s="86"/>
      <c r="U1171" s="86"/>
      <c r="V1171" s="86"/>
      <c r="W1171" s="86"/>
      <c r="X1171" s="86"/>
      <c r="Y1171" s="86"/>
      <c r="Z1171" s="86"/>
      <c r="AA1171" s="86"/>
      <c r="AB1171" s="86"/>
      <c r="AC1171" s="86"/>
    </row>
    <row r="1172" spans="1:29" ht="30" customHeight="1">
      <c r="A1172" s="189">
        <v>33</v>
      </c>
      <c r="B1172" s="188" t="s">
        <v>69</v>
      </c>
      <c r="C1172" s="307" t="s">
        <v>88</v>
      </c>
      <c r="D1172" s="308"/>
      <c r="E1172" s="179"/>
      <c r="F1172" s="191" t="s">
        <v>71</v>
      </c>
      <c r="G1172" s="201">
        <v>3</v>
      </c>
      <c r="H1172" s="201">
        <v>7</v>
      </c>
      <c r="I1172" s="201">
        <v>7</v>
      </c>
      <c r="J1172" s="201">
        <v>3</v>
      </c>
      <c r="K1172" s="201">
        <v>7</v>
      </c>
      <c r="L1172" s="201">
        <v>7</v>
      </c>
      <c r="M1172" s="89"/>
      <c r="N1172" s="219"/>
      <c r="O1172" s="199"/>
      <c r="P1172" s="200"/>
      <c r="Q1172" s="309"/>
      <c r="R1172" s="309"/>
      <c r="S1172" s="86"/>
      <c r="T1172" s="86"/>
      <c r="U1172" s="86"/>
      <c r="V1172" s="86"/>
      <c r="W1172" s="86"/>
      <c r="X1172" s="86"/>
      <c r="Y1172" s="86"/>
      <c r="Z1172" s="86"/>
      <c r="AA1172" s="86"/>
      <c r="AB1172" s="86"/>
      <c r="AC1172" s="86"/>
    </row>
    <row r="1173" spans="1:29" ht="30" customHeight="1">
      <c r="A1173" s="189">
        <v>34</v>
      </c>
      <c r="B1173" s="188" t="s">
        <v>69</v>
      </c>
      <c r="C1173" s="307" t="s">
        <v>89</v>
      </c>
      <c r="D1173" s="308"/>
      <c r="E1173" s="179"/>
      <c r="F1173" s="191" t="s">
        <v>71</v>
      </c>
      <c r="G1173" s="202" t="s">
        <v>156</v>
      </c>
      <c r="H1173" s="202" t="s">
        <v>156</v>
      </c>
      <c r="I1173" s="202" t="s">
        <v>156</v>
      </c>
      <c r="J1173" s="202" t="s">
        <v>156</v>
      </c>
      <c r="K1173" s="202" t="s">
        <v>156</v>
      </c>
      <c r="L1173" s="202" t="s">
        <v>156</v>
      </c>
      <c r="M1173" s="89"/>
      <c r="N1173" s="219"/>
      <c r="O1173" s="199"/>
      <c r="P1173" s="200"/>
      <c r="Q1173" s="309"/>
      <c r="R1173" s="309"/>
      <c r="S1173" s="86"/>
      <c r="T1173" s="86"/>
      <c r="U1173" s="86"/>
      <c r="V1173" s="86"/>
      <c r="W1173" s="86"/>
      <c r="X1173" s="86"/>
      <c r="Y1173" s="86"/>
      <c r="Z1173" s="86"/>
      <c r="AA1173" s="86"/>
      <c r="AB1173" s="86"/>
      <c r="AC1173" s="86"/>
    </row>
    <row r="1174" spans="1:29" ht="30" customHeight="1">
      <c r="A1174" s="189">
        <v>35</v>
      </c>
      <c r="B1174" s="188" t="s">
        <v>69</v>
      </c>
      <c r="C1174" s="307" t="s">
        <v>140</v>
      </c>
      <c r="D1174" s="308"/>
      <c r="E1174" s="179"/>
      <c r="F1174" s="191" t="s">
        <v>71</v>
      </c>
      <c r="G1174" s="202" t="s">
        <v>156</v>
      </c>
      <c r="H1174" s="202" t="s">
        <v>156</v>
      </c>
      <c r="I1174" s="201">
        <v>3</v>
      </c>
      <c r="J1174" s="202" t="s">
        <v>156</v>
      </c>
      <c r="K1174" s="202" t="s">
        <v>156</v>
      </c>
      <c r="L1174" s="201">
        <v>3</v>
      </c>
      <c r="M1174" s="89"/>
      <c r="N1174" s="220"/>
      <c r="O1174" s="199"/>
      <c r="P1174" s="200"/>
      <c r="Q1174" s="309"/>
      <c r="R1174" s="309"/>
      <c r="S1174" s="86"/>
      <c r="T1174" s="86"/>
      <c r="U1174" s="86"/>
      <c r="V1174" s="86"/>
      <c r="W1174" s="86"/>
      <c r="X1174" s="86"/>
      <c r="Y1174" s="86"/>
      <c r="Z1174" s="86"/>
      <c r="AA1174" s="86"/>
      <c r="AB1174" s="86"/>
      <c r="AC1174" s="86"/>
    </row>
    <row r="1175" spans="1:29" ht="30" customHeight="1">
      <c r="A1175" s="189">
        <v>36</v>
      </c>
      <c r="B1175" s="188" t="s">
        <v>69</v>
      </c>
      <c r="C1175" s="307" t="s">
        <v>134</v>
      </c>
      <c r="D1175" s="308"/>
      <c r="E1175" s="179"/>
      <c r="F1175" s="191" t="s">
        <v>71</v>
      </c>
      <c r="G1175" s="202" t="s">
        <v>156</v>
      </c>
      <c r="H1175" s="202" t="s">
        <v>156</v>
      </c>
      <c r="I1175" s="202" t="s">
        <v>156</v>
      </c>
      <c r="J1175" s="202" t="s">
        <v>156</v>
      </c>
      <c r="K1175" s="202" t="s">
        <v>156</v>
      </c>
      <c r="L1175" s="202" t="s">
        <v>156</v>
      </c>
      <c r="M1175" s="89"/>
      <c r="N1175" s="220"/>
      <c r="O1175" s="199"/>
      <c r="P1175" s="200"/>
      <c r="Q1175" s="309"/>
      <c r="R1175" s="309"/>
      <c r="S1175" s="86"/>
      <c r="T1175" s="86"/>
      <c r="U1175" s="86"/>
      <c r="V1175" s="86"/>
      <c r="W1175" s="86"/>
      <c r="X1175" s="86"/>
      <c r="Y1175" s="86"/>
      <c r="Z1175" s="86"/>
      <c r="AA1175" s="86"/>
      <c r="AB1175" s="86"/>
      <c r="AC1175" s="86"/>
    </row>
    <row r="1176" spans="1:29" ht="30" customHeight="1">
      <c r="A1176" s="189">
        <v>37</v>
      </c>
      <c r="B1176" s="188" t="s">
        <v>69</v>
      </c>
      <c r="C1176" s="307" t="s">
        <v>90</v>
      </c>
      <c r="D1176" s="308"/>
      <c r="E1176" s="179"/>
      <c r="F1176" s="191" t="s">
        <v>71</v>
      </c>
      <c r="G1176" s="202" t="s">
        <v>156</v>
      </c>
      <c r="H1176" s="202" t="s">
        <v>156</v>
      </c>
      <c r="I1176" s="202" t="s">
        <v>156</v>
      </c>
      <c r="J1176" s="202" t="s">
        <v>156</v>
      </c>
      <c r="K1176" s="202" t="s">
        <v>156</v>
      </c>
      <c r="L1176" s="202" t="s">
        <v>156</v>
      </c>
      <c r="M1176" s="89"/>
      <c r="N1176" s="220"/>
      <c r="O1176" s="199"/>
      <c r="P1176" s="200"/>
      <c r="Q1176" s="309"/>
      <c r="R1176" s="309"/>
      <c r="S1176" s="86"/>
      <c r="T1176" s="86"/>
      <c r="U1176" s="86"/>
      <c r="V1176" s="86"/>
      <c r="W1176" s="86"/>
      <c r="X1176" s="86"/>
      <c r="Y1176" s="86"/>
      <c r="Z1176" s="86"/>
      <c r="AA1176" s="86"/>
      <c r="AB1176" s="86"/>
      <c r="AC1176" s="86"/>
    </row>
    <row r="1177" spans="1:29" ht="30" customHeight="1">
      <c r="A1177" s="189">
        <v>38</v>
      </c>
      <c r="B1177" s="188" t="s">
        <v>69</v>
      </c>
      <c r="C1177" s="307" t="s">
        <v>106</v>
      </c>
      <c r="D1177" s="308"/>
      <c r="E1177" s="150"/>
      <c r="F1177" s="191" t="s">
        <v>71</v>
      </c>
      <c r="G1177" s="202" t="s">
        <v>156</v>
      </c>
      <c r="H1177" s="202" t="s">
        <v>156</v>
      </c>
      <c r="I1177" s="202" t="s">
        <v>156</v>
      </c>
      <c r="J1177" s="202" t="s">
        <v>156</v>
      </c>
      <c r="K1177" s="202" t="s">
        <v>156</v>
      </c>
      <c r="L1177" s="202" t="s">
        <v>156</v>
      </c>
      <c r="M1177" s="89"/>
      <c r="N1177" s="220"/>
      <c r="O1177" s="199"/>
      <c r="P1177" s="200"/>
      <c r="Q1177" s="309"/>
      <c r="R1177" s="309"/>
      <c r="S1177" s="86"/>
      <c r="T1177" s="86"/>
      <c r="U1177" s="86"/>
      <c r="V1177" s="86"/>
      <c r="W1177" s="86"/>
      <c r="X1177" s="86"/>
      <c r="Y1177" s="86"/>
      <c r="Z1177" s="86"/>
      <c r="AA1177" s="86"/>
      <c r="AB1177" s="86"/>
      <c r="AC1177" s="86"/>
    </row>
    <row r="1178" spans="1:29" ht="25.5" customHeight="1">
      <c r="A1178" s="310" t="s">
        <v>92</v>
      </c>
      <c r="B1178" s="310"/>
      <c r="C1178" s="310"/>
      <c r="D1178" s="310"/>
      <c r="E1178" s="310"/>
      <c r="F1178" s="310"/>
      <c r="G1178" s="310"/>
      <c r="H1178" s="310"/>
      <c r="I1178" s="310"/>
      <c r="J1178" s="310"/>
      <c r="K1178" s="310"/>
      <c r="L1178" s="310"/>
      <c r="M1178" s="92"/>
    </row>
    <row r="1179" spans="1:29" ht="19.5" customHeight="1">
      <c r="A1179" s="139"/>
      <c r="B1179" s="139"/>
      <c r="C1179" s="140"/>
      <c r="D1179" s="140" t="s">
        <v>145</v>
      </c>
      <c r="E1179" s="140"/>
      <c r="F1179" s="152" t="s">
        <v>54</v>
      </c>
      <c r="G1179" s="152"/>
      <c r="H1179" s="152"/>
      <c r="I1179" s="152"/>
      <c r="J1179" s="152" t="s">
        <v>144</v>
      </c>
      <c r="K1179" s="152"/>
      <c r="L1179" s="140"/>
      <c r="M1179" s="94"/>
    </row>
    <row r="1180" spans="1:29" ht="28.5" customHeight="1">
      <c r="A1180" s="310" t="s">
        <v>93</v>
      </c>
      <c r="B1180" s="310"/>
      <c r="C1180" s="310"/>
      <c r="D1180" s="310"/>
      <c r="E1180" s="310"/>
      <c r="F1180" s="310"/>
      <c r="G1180" s="310"/>
      <c r="H1180" s="310"/>
      <c r="I1180" s="310"/>
      <c r="J1180" s="310"/>
      <c r="K1180" s="310"/>
      <c r="L1180" s="310"/>
      <c r="M1180" s="92"/>
      <c r="N1180" s="311"/>
      <c r="O1180" s="311"/>
      <c r="P1180" s="311"/>
    </row>
    <row r="1181" spans="1:29" ht="20.25" customHeight="1">
      <c r="A1181" s="139"/>
      <c r="B1181" s="139"/>
      <c r="C1181" s="139"/>
      <c r="D1181" s="140" t="s">
        <v>145</v>
      </c>
      <c r="E1181" s="140"/>
      <c r="F1181" s="152" t="s">
        <v>54</v>
      </c>
      <c r="G1181" s="152"/>
      <c r="H1181" s="152"/>
      <c r="I1181" s="152"/>
      <c r="J1181" s="152" t="s">
        <v>144</v>
      </c>
      <c r="K1181" s="152"/>
      <c r="L1181" s="139"/>
      <c r="M1181" s="94"/>
      <c r="N1181" s="221"/>
      <c r="O1181" s="95"/>
      <c r="P1181" s="95"/>
    </row>
    <row r="1182" spans="1:29" ht="26.25" customHeight="1">
      <c r="A1182" s="312" t="s">
        <v>94</v>
      </c>
      <c r="B1182" s="312"/>
      <c r="C1182" s="312"/>
      <c r="D1182" s="312"/>
      <c r="E1182" s="312"/>
      <c r="F1182" s="312"/>
      <c r="G1182" s="312"/>
      <c r="H1182" s="312"/>
      <c r="I1182" s="312"/>
      <c r="J1182" s="312"/>
      <c r="K1182" s="312"/>
      <c r="L1182" s="312"/>
      <c r="M1182" s="92"/>
    </row>
    <row r="1183" spans="1:29" ht="22.5" customHeight="1">
      <c r="A1183" s="120"/>
      <c r="B1183" s="120"/>
      <c r="C1183" s="120"/>
      <c r="D1183" s="120"/>
      <c r="E1183" s="120"/>
      <c r="F1183" s="120"/>
      <c r="G1183" s="120"/>
      <c r="H1183" s="120"/>
      <c r="I1183" s="120"/>
      <c r="J1183" s="120"/>
      <c r="K1183" s="120"/>
      <c r="L1183" s="120"/>
      <c r="M1183" s="94"/>
    </row>
    <row r="1184" spans="1:29" ht="22.5" customHeight="1">
      <c r="A1184" s="313" t="s">
        <v>95</v>
      </c>
      <c r="B1184" s="313"/>
      <c r="C1184" s="313"/>
      <c r="D1184" s="313"/>
      <c r="E1184" s="313"/>
      <c r="F1184" s="313"/>
      <c r="G1184" s="313"/>
      <c r="H1184" s="313"/>
      <c r="I1184" s="313"/>
      <c r="J1184" s="313"/>
      <c r="K1184" s="313"/>
      <c r="L1184" s="313"/>
      <c r="M1184" s="92"/>
    </row>
    <row r="1185" spans="1:16" ht="19.5" customHeight="1">
      <c r="A1185" s="97"/>
      <c r="B1185" s="97"/>
      <c r="C1185" s="145"/>
      <c r="D1185" s="97"/>
      <c r="E1185" s="97"/>
      <c r="F1185" s="97"/>
      <c r="G1185" s="97"/>
      <c r="H1185" s="97"/>
      <c r="I1185" s="97"/>
      <c r="J1185" s="97"/>
      <c r="K1185" s="97"/>
      <c r="L1185" s="97"/>
      <c r="M1185" s="94"/>
    </row>
    <row r="1186" spans="1:16" ht="5.25" customHeight="1">
      <c r="A1186" s="94"/>
      <c r="B1186" s="94"/>
      <c r="C1186" s="146"/>
      <c r="D1186" s="94"/>
      <c r="E1186" s="94"/>
      <c r="F1186" s="94"/>
      <c r="G1186" s="94"/>
      <c r="H1186" s="94"/>
      <c r="I1186" s="94"/>
      <c r="J1186" s="94"/>
      <c r="K1186" s="94"/>
      <c r="L1186" s="94"/>
      <c r="M1186" s="94"/>
    </row>
    <row r="1187" spans="1:16" ht="16.5" customHeight="1">
      <c r="A1187" s="314" t="s">
        <v>96</v>
      </c>
      <c r="B1187" s="314"/>
      <c r="C1187" s="314"/>
      <c r="D1187" s="314"/>
      <c r="E1187" s="98"/>
      <c r="F1187" s="98"/>
      <c r="G1187" s="98"/>
      <c r="H1187" s="315" t="s">
        <v>97</v>
      </c>
      <c r="I1187" s="315"/>
      <c r="J1187" s="315"/>
      <c r="K1187" s="315"/>
      <c r="L1187" s="315"/>
      <c r="M1187" s="94"/>
    </row>
    <row r="1188" spans="1:16" ht="95.1" customHeight="1">
      <c r="A1188" s="99"/>
      <c r="B1188" s="101" t="str">
        <f>B1118</f>
        <v>Ông Huỳnh Phước Hải        ….............</v>
      </c>
      <c r="C1188" s="147"/>
      <c r="D1188" s="99"/>
      <c r="E1188" s="81"/>
      <c r="F1188" s="100"/>
      <c r="G1188" s="100"/>
      <c r="H1188" s="306" t="str">
        <f>H1118</f>
        <v>Ông Phạm Tấn Việt          …..................</v>
      </c>
      <c r="I1188" s="306"/>
      <c r="J1188" s="306"/>
      <c r="K1188" s="306"/>
      <c r="L1188" s="306"/>
      <c r="M1188" s="94"/>
    </row>
    <row r="1189" spans="1:16" ht="49.5" customHeight="1">
      <c r="A1189" s="99"/>
      <c r="B1189" s="99"/>
      <c r="C1189" s="147"/>
      <c r="D1189" s="99"/>
      <c r="E1189" s="81"/>
      <c r="F1189" s="100"/>
      <c r="G1189" s="100"/>
      <c r="H1189" s="100"/>
      <c r="I1189" s="100"/>
      <c r="J1189" s="99"/>
      <c r="K1189" s="99"/>
      <c r="L1189" s="99"/>
      <c r="M1189" s="94"/>
    </row>
    <row r="1190" spans="1:16" ht="21.75" customHeight="1">
      <c r="A1190" s="346" t="s">
        <v>165</v>
      </c>
      <c r="B1190" s="346"/>
      <c r="C1190" s="346"/>
      <c r="D1190" s="346"/>
      <c r="E1190" s="346"/>
      <c r="F1190" s="346"/>
      <c r="G1190" s="346"/>
      <c r="H1190" s="346"/>
      <c r="I1190" s="346"/>
      <c r="J1190" s="346"/>
      <c r="K1190" s="346"/>
      <c r="L1190" s="346"/>
      <c r="M1190" s="82"/>
    </row>
    <row r="1191" spans="1:16" ht="19.5">
      <c r="A1191" s="84" t="str">
        <f>"Ngày "&amp;N1192&amp;" tháng "&amp;O3&amp;" năm "&amp;P3&amp;""</f>
        <v>Ngày 18 tháng 07 năm 2026</v>
      </c>
      <c r="B1191" s="84"/>
      <c r="C1191" s="85"/>
      <c r="N1191" s="216"/>
      <c r="O1191" s="20"/>
      <c r="P1191" s="20"/>
    </row>
    <row r="1192" spans="1:16" ht="16.5">
      <c r="A1192" s="337" t="s">
        <v>57</v>
      </c>
      <c r="B1192" s="337"/>
      <c r="C1192" s="337"/>
      <c r="D1192" s="311"/>
      <c r="E1192" s="311"/>
      <c r="F1192" s="311"/>
      <c r="G1192" s="95"/>
      <c r="H1192" s="95"/>
      <c r="I1192" s="95"/>
      <c r="J1192" s="95"/>
      <c r="K1192" s="95"/>
      <c r="L1192" s="95"/>
      <c r="N1192" s="217" t="s">
        <v>180</v>
      </c>
      <c r="O1192" s="214"/>
      <c r="P1192" s="17"/>
    </row>
    <row r="1193" spans="1:16" ht="15.75" customHeight="1">
      <c r="A1193" s="338"/>
      <c r="B1193" s="338"/>
      <c r="C1193" s="338"/>
      <c r="D1193" s="339" t="s">
        <v>58</v>
      </c>
      <c r="E1193" s="340"/>
      <c r="F1193" s="340"/>
      <c r="G1193" s="340"/>
      <c r="H1193" s="341"/>
      <c r="I1193" s="339" t="s">
        <v>59</v>
      </c>
      <c r="J1193" s="340"/>
      <c r="K1193" s="340"/>
      <c r="L1193" s="341"/>
    </row>
    <row r="1194" spans="1:16" ht="19.5" customHeight="1">
      <c r="A1194" s="342" t="s">
        <v>60</v>
      </c>
      <c r="B1194" s="342"/>
      <c r="C1194" s="342"/>
      <c r="D1194" s="343" t="s">
        <v>54</v>
      </c>
      <c r="E1194" s="344"/>
      <c r="F1194" s="344"/>
      <c r="G1194" s="344"/>
      <c r="H1194" s="345"/>
      <c r="I1194" s="343" t="s">
        <v>54</v>
      </c>
      <c r="J1194" s="344"/>
      <c r="K1194" s="344"/>
      <c r="L1194" s="345"/>
    </row>
    <row r="1195" spans="1:16" ht="22.5" customHeight="1">
      <c r="A1195" s="342" t="s">
        <v>61</v>
      </c>
      <c r="B1195" s="342"/>
      <c r="C1195" s="342"/>
      <c r="D1195" s="343" t="s">
        <v>163</v>
      </c>
      <c r="E1195" s="344"/>
      <c r="F1195" s="344"/>
      <c r="G1195" s="344"/>
      <c r="H1195" s="345"/>
      <c r="I1195" s="343" t="str">
        <f>D1195</f>
        <v>31° - 34°</v>
      </c>
      <c r="J1195" s="344"/>
      <c r="K1195" s="344"/>
      <c r="L1195" s="345"/>
    </row>
    <row r="1196" spans="1:16" s="87" customFormat="1" ht="15.75">
      <c r="A1196" s="310" t="s">
        <v>62</v>
      </c>
      <c r="B1196" s="310"/>
      <c r="C1196" s="310"/>
      <c r="D1196" s="310"/>
      <c r="E1196" s="310"/>
      <c r="F1196" s="310"/>
      <c r="G1196" s="310"/>
      <c r="H1196" s="310"/>
      <c r="I1196" s="310"/>
      <c r="J1196" s="310"/>
      <c r="K1196" s="310"/>
      <c r="L1196" s="310"/>
      <c r="M1196" s="85"/>
      <c r="N1196" s="218"/>
    </row>
    <row r="1197" spans="1:16" s="87" customFormat="1" ht="15.75">
      <c r="A1197" s="332" t="s">
        <v>63</v>
      </c>
      <c r="B1197" s="332"/>
      <c r="C1197" s="332"/>
      <c r="D1197" s="332"/>
      <c r="E1197" s="332"/>
      <c r="F1197" s="332"/>
      <c r="G1197" s="332"/>
      <c r="H1197" s="332"/>
      <c r="I1197" s="332"/>
      <c r="J1197" s="332"/>
      <c r="K1197" s="332"/>
      <c r="L1197" s="332"/>
      <c r="M1197" s="85"/>
      <c r="N1197" s="218"/>
    </row>
    <row r="1198" spans="1:16" s="87" customFormat="1" ht="20.100000000000001" customHeight="1">
      <c r="A1198" s="88"/>
      <c r="B1198" s="88"/>
      <c r="C1198" s="333" t="s">
        <v>64</v>
      </c>
      <c r="D1198" s="334"/>
      <c r="E1198" s="334"/>
      <c r="F1198" s="334"/>
      <c r="G1198" s="334"/>
      <c r="H1198" s="334"/>
      <c r="I1198" s="334"/>
      <c r="J1198" s="334"/>
      <c r="K1198" s="334"/>
      <c r="L1198" s="334"/>
      <c r="M1198" s="85"/>
      <c r="N1198" s="218"/>
    </row>
    <row r="1199" spans="1:16" s="87" customFormat="1" ht="20.100000000000001" customHeight="1">
      <c r="A1199" s="88"/>
      <c r="B1199" s="88"/>
      <c r="C1199" s="333" t="s">
        <v>65</v>
      </c>
      <c r="D1199" s="334"/>
      <c r="E1199" s="334"/>
      <c r="F1199" s="334"/>
      <c r="G1199" s="334"/>
      <c r="H1199" s="334"/>
      <c r="I1199" s="334"/>
      <c r="J1199" s="334"/>
      <c r="K1199" s="334"/>
      <c r="L1199" s="334"/>
      <c r="M1199" s="85"/>
      <c r="N1199" s="218"/>
    </row>
    <row r="1200" spans="1:16" s="87" customFormat="1" ht="17.25" customHeight="1">
      <c r="A1200" s="335" t="s">
        <v>66</v>
      </c>
      <c r="B1200" s="335"/>
      <c r="C1200" s="335"/>
      <c r="D1200" s="335"/>
      <c r="E1200" s="335"/>
      <c r="F1200" s="335"/>
      <c r="G1200" s="335"/>
      <c r="H1200" s="335"/>
      <c r="I1200" s="335"/>
      <c r="J1200" s="335"/>
      <c r="K1200" s="335"/>
      <c r="L1200" s="335"/>
      <c r="M1200" s="85"/>
      <c r="N1200" s="218"/>
    </row>
    <row r="1201" spans="1:29" s="87" customFormat="1" ht="7.5" customHeight="1">
      <c r="A1201" s="119"/>
      <c r="B1201" s="119"/>
      <c r="C1201" s="119"/>
      <c r="D1201" s="119"/>
      <c r="E1201" s="119"/>
      <c r="F1201" s="119"/>
      <c r="G1201" s="119"/>
      <c r="H1201" s="119"/>
      <c r="I1201" s="119"/>
      <c r="J1201" s="119"/>
      <c r="K1201" s="119"/>
      <c r="L1201" s="119"/>
      <c r="M1201" s="85"/>
      <c r="N1201" s="218"/>
    </row>
    <row r="1202" spans="1:29" ht="15.75">
      <c r="A1202" s="336" t="s">
        <v>67</v>
      </c>
      <c r="B1202" s="336"/>
      <c r="C1202" s="336"/>
      <c r="D1202" s="336"/>
      <c r="E1202" s="336"/>
      <c r="F1202" s="336"/>
      <c r="G1202" s="336"/>
      <c r="H1202" s="336"/>
      <c r="I1202" s="336"/>
      <c r="J1202" s="336"/>
      <c r="K1202" s="336"/>
      <c r="L1202" s="336"/>
    </row>
    <row r="1203" spans="1:29" ht="2.25" customHeight="1">
      <c r="A1203" s="141"/>
      <c r="B1203" s="141"/>
      <c r="C1203" s="141"/>
      <c r="D1203" s="141"/>
      <c r="E1203" s="141"/>
      <c r="F1203" s="141"/>
      <c r="G1203" s="155"/>
      <c r="H1203" s="155"/>
      <c r="I1203" s="155"/>
      <c r="J1203" s="155"/>
      <c r="K1203" s="155"/>
      <c r="L1203" s="155"/>
    </row>
    <row r="1204" spans="1:29" ht="27.75" customHeight="1">
      <c r="A1204" s="317" t="s">
        <v>135</v>
      </c>
      <c r="B1204" s="318"/>
      <c r="C1204" s="317" t="s">
        <v>68</v>
      </c>
      <c r="D1204" s="318"/>
      <c r="E1204" s="183"/>
      <c r="F1204" s="321" t="s">
        <v>136</v>
      </c>
      <c r="G1204" s="322" t="s">
        <v>155</v>
      </c>
      <c r="H1204" s="323"/>
      <c r="I1204" s="323"/>
      <c r="J1204" s="322" t="s">
        <v>154</v>
      </c>
      <c r="K1204" s="323"/>
      <c r="L1204" s="324"/>
      <c r="M1204" s="92"/>
      <c r="O1204" s="325"/>
      <c r="P1204" s="325"/>
      <c r="Q1204" s="325"/>
      <c r="R1204" s="325"/>
      <c r="S1204" s="316"/>
      <c r="T1204" s="316"/>
      <c r="U1204" s="316"/>
      <c r="V1204" s="316"/>
      <c r="W1204" s="316"/>
      <c r="X1204" s="316"/>
      <c r="Y1204" s="316"/>
      <c r="Z1204" s="316"/>
      <c r="AA1204" s="316"/>
      <c r="AB1204" s="316"/>
      <c r="AC1204" s="316"/>
    </row>
    <row r="1205" spans="1:29" ht="125.25" customHeight="1">
      <c r="A1205" s="319"/>
      <c r="B1205" s="320"/>
      <c r="C1205" s="319"/>
      <c r="D1205" s="320"/>
      <c r="E1205" s="184"/>
      <c r="F1205" s="321"/>
      <c r="G1205" s="153" t="s">
        <v>151</v>
      </c>
      <c r="H1205" s="153" t="s">
        <v>152</v>
      </c>
      <c r="I1205" s="153" t="s">
        <v>153</v>
      </c>
      <c r="J1205" s="153" t="s">
        <v>151</v>
      </c>
      <c r="K1205" s="153" t="s">
        <v>152</v>
      </c>
      <c r="L1205" s="153" t="s">
        <v>153</v>
      </c>
      <c r="O1205" s="325"/>
      <c r="P1205" s="325"/>
      <c r="Q1205" s="325"/>
      <c r="R1205" s="325"/>
      <c r="S1205" s="193"/>
      <c r="T1205" s="193"/>
      <c r="U1205" s="193"/>
      <c r="V1205" s="193"/>
      <c r="W1205" s="193"/>
      <c r="X1205" s="193"/>
      <c r="Y1205" s="193"/>
      <c r="Z1205" s="193"/>
      <c r="AA1205" s="193"/>
      <c r="AB1205" s="193"/>
      <c r="AC1205" s="193"/>
    </row>
    <row r="1206" spans="1:29" ht="24.75" customHeight="1">
      <c r="A1206" s="190" t="s">
        <v>128</v>
      </c>
      <c r="B1206" s="142"/>
      <c r="C1206" s="330" t="s">
        <v>129</v>
      </c>
      <c r="D1206" s="330"/>
      <c r="E1206" s="330"/>
      <c r="F1206" s="330"/>
      <c r="G1206" s="330"/>
      <c r="H1206" s="330"/>
      <c r="I1206" s="330"/>
      <c r="J1206" s="330"/>
      <c r="K1206" s="330"/>
      <c r="L1206" s="330"/>
      <c r="M1206" s="93"/>
      <c r="O1206" s="156"/>
      <c r="P1206" s="142"/>
      <c r="Q1206" s="331"/>
      <c r="R1206" s="331"/>
      <c r="S1206" s="331"/>
      <c r="T1206" s="331"/>
      <c r="U1206" s="331"/>
      <c r="V1206" s="331"/>
      <c r="W1206" s="331"/>
      <c r="X1206" s="331"/>
      <c r="Y1206" s="331"/>
      <c r="Z1206" s="331"/>
      <c r="AA1206" s="331"/>
      <c r="AB1206" s="331"/>
      <c r="AC1206" s="331"/>
    </row>
    <row r="1207" spans="1:29" ht="21" customHeight="1">
      <c r="A1207" s="187">
        <v>1</v>
      </c>
      <c r="B1207" s="185" t="s">
        <v>69</v>
      </c>
      <c r="C1207" s="326" t="s">
        <v>70</v>
      </c>
      <c r="D1207" s="326"/>
      <c r="E1207" s="176"/>
      <c r="F1207" s="144" t="s">
        <v>71</v>
      </c>
      <c r="G1207" s="203" t="s">
        <v>156</v>
      </c>
      <c r="H1207" s="202" t="s">
        <v>156</v>
      </c>
      <c r="I1207" s="201">
        <v>1</v>
      </c>
      <c r="J1207" s="202" t="s">
        <v>156</v>
      </c>
      <c r="K1207" s="202" t="s">
        <v>156</v>
      </c>
      <c r="L1207" s="201">
        <v>1</v>
      </c>
      <c r="M1207" s="93"/>
      <c r="O1207" s="195"/>
      <c r="P1207" s="196"/>
      <c r="Q1207" s="327"/>
      <c r="R1207" s="327"/>
      <c r="S1207" s="86"/>
      <c r="T1207" s="86"/>
      <c r="U1207" s="86"/>
      <c r="V1207" s="86"/>
      <c r="W1207" s="194"/>
      <c r="X1207" s="194"/>
      <c r="Y1207" s="194"/>
      <c r="Z1207" s="194"/>
      <c r="AA1207" s="194"/>
      <c r="AB1207" s="194"/>
      <c r="AC1207" s="194"/>
    </row>
    <row r="1208" spans="1:29" ht="21" customHeight="1">
      <c r="A1208" s="187">
        <v>2</v>
      </c>
      <c r="B1208" s="185" t="s">
        <v>69</v>
      </c>
      <c r="C1208" s="326" t="s">
        <v>72</v>
      </c>
      <c r="D1208" s="326"/>
      <c r="E1208" s="176"/>
      <c r="F1208" s="144" t="s">
        <v>71</v>
      </c>
      <c r="G1208" s="203" t="s">
        <v>156</v>
      </c>
      <c r="H1208" s="202" t="s">
        <v>156</v>
      </c>
      <c r="I1208" s="202" t="s">
        <v>156</v>
      </c>
      <c r="J1208" s="202" t="s">
        <v>156</v>
      </c>
      <c r="K1208" s="202" t="s">
        <v>156</v>
      </c>
      <c r="L1208" s="202" t="s">
        <v>156</v>
      </c>
      <c r="M1208" s="93"/>
      <c r="O1208" s="195"/>
      <c r="P1208" s="196"/>
      <c r="Q1208" s="327"/>
      <c r="R1208" s="327"/>
      <c r="S1208" s="194"/>
      <c r="T1208" s="194"/>
      <c r="U1208" s="194"/>
      <c r="V1208" s="86"/>
      <c r="W1208" s="86"/>
      <c r="X1208" s="86"/>
      <c r="Y1208" s="86"/>
      <c r="Z1208" s="194"/>
      <c r="AA1208" s="194"/>
      <c r="AB1208" s="194"/>
      <c r="AC1208" s="194"/>
    </row>
    <row r="1209" spans="1:29" ht="21" customHeight="1">
      <c r="A1209" s="187">
        <v>3</v>
      </c>
      <c r="B1209" s="185" t="s">
        <v>69</v>
      </c>
      <c r="C1209" s="326" t="s">
        <v>73</v>
      </c>
      <c r="D1209" s="326"/>
      <c r="E1209" s="176"/>
      <c r="F1209" s="144" t="s">
        <v>71</v>
      </c>
      <c r="G1209" s="203" t="s">
        <v>156</v>
      </c>
      <c r="H1209" s="202" t="s">
        <v>156</v>
      </c>
      <c r="I1209" s="202" t="s">
        <v>156</v>
      </c>
      <c r="J1209" s="202" t="s">
        <v>156</v>
      </c>
      <c r="K1209" s="202" t="s">
        <v>156</v>
      </c>
      <c r="L1209" s="202" t="s">
        <v>156</v>
      </c>
      <c r="M1209" s="93"/>
      <c r="O1209" s="195"/>
      <c r="P1209" s="196"/>
      <c r="Q1209" s="327"/>
      <c r="R1209" s="327"/>
      <c r="S1209" s="194"/>
      <c r="T1209" s="86"/>
      <c r="U1209" s="86"/>
      <c r="V1209" s="86"/>
      <c r="W1209" s="86"/>
      <c r="X1209" s="194"/>
      <c r="Y1209" s="194"/>
      <c r="Z1209" s="194"/>
      <c r="AA1209" s="194"/>
      <c r="AB1209" s="194"/>
      <c r="AC1209" s="194"/>
    </row>
    <row r="1210" spans="1:29" ht="21" customHeight="1">
      <c r="A1210" s="187">
        <v>4</v>
      </c>
      <c r="B1210" s="185" t="s">
        <v>69</v>
      </c>
      <c r="C1210" s="326" t="s">
        <v>98</v>
      </c>
      <c r="D1210" s="326"/>
      <c r="E1210" s="176"/>
      <c r="F1210" s="144" t="s">
        <v>71</v>
      </c>
      <c r="G1210" s="203" t="s">
        <v>156</v>
      </c>
      <c r="H1210" s="202" t="s">
        <v>156</v>
      </c>
      <c r="I1210" s="202" t="s">
        <v>156</v>
      </c>
      <c r="J1210" s="202" t="s">
        <v>156</v>
      </c>
      <c r="K1210" s="202" t="s">
        <v>156</v>
      </c>
      <c r="L1210" s="202" t="s">
        <v>156</v>
      </c>
      <c r="M1210" s="93"/>
      <c r="O1210" s="195"/>
      <c r="P1210" s="196"/>
      <c r="Q1210" s="327"/>
      <c r="R1210" s="327"/>
      <c r="S1210" s="194"/>
      <c r="T1210" s="194"/>
      <c r="U1210" s="194"/>
      <c r="V1210" s="194"/>
      <c r="W1210" s="194"/>
      <c r="X1210" s="194"/>
      <c r="Y1210" s="194"/>
      <c r="Z1210" s="86"/>
      <c r="AA1210" s="86"/>
      <c r="AB1210" s="86"/>
      <c r="AC1210" s="86"/>
    </row>
    <row r="1211" spans="1:29" ht="21" customHeight="1">
      <c r="A1211" s="187">
        <v>5</v>
      </c>
      <c r="B1211" s="185" t="s">
        <v>69</v>
      </c>
      <c r="C1211" s="326" t="s">
        <v>74</v>
      </c>
      <c r="D1211" s="326"/>
      <c r="E1211" s="176"/>
      <c r="F1211" s="144" t="s">
        <v>71</v>
      </c>
      <c r="G1211" s="203" t="s">
        <v>156</v>
      </c>
      <c r="H1211" s="202" t="s">
        <v>156</v>
      </c>
      <c r="I1211" s="202" t="s">
        <v>156</v>
      </c>
      <c r="J1211" s="202" t="s">
        <v>156</v>
      </c>
      <c r="K1211" s="202" t="s">
        <v>156</v>
      </c>
      <c r="L1211" s="202" t="s">
        <v>156</v>
      </c>
      <c r="M1211" s="93"/>
      <c r="O1211" s="195"/>
      <c r="P1211" s="196"/>
      <c r="Q1211" s="327"/>
      <c r="R1211" s="327"/>
      <c r="S1211" s="194"/>
      <c r="T1211" s="194"/>
      <c r="U1211" s="194"/>
      <c r="V1211" s="194"/>
      <c r="W1211" s="194"/>
      <c r="X1211" s="194"/>
      <c r="Y1211" s="194"/>
      <c r="Z1211" s="194"/>
      <c r="AA1211" s="194"/>
      <c r="AB1211" s="194"/>
      <c r="AC1211" s="194"/>
    </row>
    <row r="1212" spans="1:29" ht="21" customHeight="1">
      <c r="A1212" s="187">
        <v>6</v>
      </c>
      <c r="B1212" s="185" t="s">
        <v>69</v>
      </c>
      <c r="C1212" s="326" t="s">
        <v>75</v>
      </c>
      <c r="D1212" s="326"/>
      <c r="E1212" s="176"/>
      <c r="F1212" s="144" t="s">
        <v>71</v>
      </c>
      <c r="G1212" s="203" t="s">
        <v>156</v>
      </c>
      <c r="H1212" s="202" t="s">
        <v>156</v>
      </c>
      <c r="I1212" s="202" t="s">
        <v>156</v>
      </c>
      <c r="J1212" s="202" t="s">
        <v>156</v>
      </c>
      <c r="K1212" s="202" t="s">
        <v>156</v>
      </c>
      <c r="L1212" s="202" t="s">
        <v>156</v>
      </c>
      <c r="M1212" s="93"/>
      <c r="O1212" s="195"/>
      <c r="P1212" s="196"/>
      <c r="Q1212" s="327"/>
      <c r="R1212" s="327"/>
      <c r="S1212" s="194"/>
      <c r="T1212" s="194"/>
      <c r="U1212" s="194"/>
      <c r="V1212" s="194"/>
      <c r="W1212" s="194"/>
      <c r="X1212" s="194"/>
      <c r="Y1212" s="194"/>
      <c r="Z1212" s="194"/>
      <c r="AA1212" s="194"/>
      <c r="AB1212" s="194"/>
      <c r="AC1212" s="194"/>
    </row>
    <row r="1213" spans="1:29" ht="21" customHeight="1">
      <c r="A1213" s="187">
        <v>7</v>
      </c>
      <c r="B1213" s="185" t="s">
        <v>69</v>
      </c>
      <c r="C1213" s="326" t="s">
        <v>76</v>
      </c>
      <c r="D1213" s="326"/>
      <c r="E1213" s="176"/>
      <c r="F1213" s="144" t="s">
        <v>71</v>
      </c>
      <c r="G1213" s="203" t="s">
        <v>156</v>
      </c>
      <c r="H1213" s="202" t="s">
        <v>156</v>
      </c>
      <c r="I1213" s="202" t="s">
        <v>156</v>
      </c>
      <c r="J1213" s="202" t="s">
        <v>156</v>
      </c>
      <c r="K1213" s="202" t="s">
        <v>156</v>
      </c>
      <c r="L1213" s="202" t="s">
        <v>156</v>
      </c>
      <c r="M1213" s="93"/>
      <c r="O1213" s="195"/>
      <c r="P1213" s="196"/>
      <c r="Q1213" s="327"/>
      <c r="R1213" s="327"/>
      <c r="S1213" s="194"/>
      <c r="T1213" s="194"/>
      <c r="U1213" s="194"/>
      <c r="V1213" s="194"/>
      <c r="W1213" s="194"/>
      <c r="X1213" s="194"/>
      <c r="Y1213" s="194"/>
      <c r="Z1213" s="194"/>
      <c r="AA1213" s="194"/>
      <c r="AB1213" s="194"/>
      <c r="AC1213" s="194"/>
    </row>
    <row r="1214" spans="1:29" ht="21" customHeight="1">
      <c r="A1214" s="187">
        <v>8</v>
      </c>
      <c r="B1214" s="185" t="s">
        <v>69</v>
      </c>
      <c r="C1214" s="326" t="s">
        <v>99</v>
      </c>
      <c r="D1214" s="326"/>
      <c r="E1214" s="176"/>
      <c r="F1214" s="144" t="s">
        <v>71</v>
      </c>
      <c r="G1214" s="203" t="s">
        <v>156</v>
      </c>
      <c r="H1214" s="202" t="s">
        <v>156</v>
      </c>
      <c r="I1214" s="202" t="s">
        <v>156</v>
      </c>
      <c r="J1214" s="202" t="s">
        <v>156</v>
      </c>
      <c r="K1214" s="202" t="s">
        <v>156</v>
      </c>
      <c r="L1214" s="202" t="s">
        <v>156</v>
      </c>
      <c r="M1214" s="93"/>
      <c r="O1214" s="195"/>
      <c r="P1214" s="196"/>
      <c r="Q1214" s="327"/>
      <c r="R1214" s="327"/>
      <c r="S1214" s="194"/>
      <c r="T1214" s="194"/>
      <c r="U1214" s="194"/>
      <c r="V1214" s="194"/>
      <c r="W1214" s="194"/>
      <c r="X1214" s="194"/>
      <c r="Y1214" s="194"/>
      <c r="Z1214" s="194"/>
      <c r="AA1214" s="194"/>
      <c r="AB1214" s="194"/>
      <c r="AC1214" s="194"/>
    </row>
    <row r="1215" spans="1:29" ht="21" customHeight="1">
      <c r="A1215" s="187">
        <v>9</v>
      </c>
      <c r="B1215" s="185" t="s">
        <v>69</v>
      </c>
      <c r="C1215" s="326" t="s">
        <v>77</v>
      </c>
      <c r="D1215" s="326"/>
      <c r="E1215" s="176"/>
      <c r="F1215" s="144" t="s">
        <v>71</v>
      </c>
      <c r="G1215" s="203" t="s">
        <v>156</v>
      </c>
      <c r="H1215" s="202" t="s">
        <v>156</v>
      </c>
      <c r="I1215" s="202" t="s">
        <v>156</v>
      </c>
      <c r="J1215" s="202" t="s">
        <v>156</v>
      </c>
      <c r="K1215" s="202" t="s">
        <v>156</v>
      </c>
      <c r="L1215" s="202" t="s">
        <v>156</v>
      </c>
      <c r="M1215" s="93"/>
      <c r="O1215" s="195"/>
      <c r="P1215" s="196"/>
      <c r="Q1215" s="327"/>
      <c r="R1215" s="327"/>
      <c r="S1215" s="194"/>
      <c r="T1215" s="194"/>
      <c r="U1215" s="194"/>
      <c r="V1215" s="194"/>
      <c r="W1215" s="194"/>
      <c r="X1215" s="194"/>
      <c r="Y1215" s="194"/>
      <c r="Z1215" s="194"/>
      <c r="AA1215" s="194"/>
      <c r="AB1215" s="194"/>
      <c r="AC1215" s="194"/>
    </row>
    <row r="1216" spans="1:29" ht="21" customHeight="1">
      <c r="A1216" s="187">
        <v>10</v>
      </c>
      <c r="B1216" s="185" t="s">
        <v>69</v>
      </c>
      <c r="C1216" s="326" t="s">
        <v>78</v>
      </c>
      <c r="D1216" s="326"/>
      <c r="E1216" s="176"/>
      <c r="F1216" s="144" t="s">
        <v>71</v>
      </c>
      <c r="G1216" s="203" t="s">
        <v>156</v>
      </c>
      <c r="H1216" s="202" t="s">
        <v>156</v>
      </c>
      <c r="I1216" s="202" t="s">
        <v>156</v>
      </c>
      <c r="J1216" s="202" t="s">
        <v>156</v>
      </c>
      <c r="K1216" s="202" t="s">
        <v>156</v>
      </c>
      <c r="L1216" s="202" t="s">
        <v>156</v>
      </c>
      <c r="M1216" s="93"/>
      <c r="O1216" s="195"/>
      <c r="P1216" s="196"/>
      <c r="Q1216" s="327"/>
      <c r="R1216" s="327"/>
      <c r="S1216" s="194"/>
      <c r="T1216" s="194"/>
      <c r="U1216" s="194"/>
      <c r="V1216" s="194"/>
      <c r="W1216" s="194"/>
      <c r="X1216" s="194"/>
      <c r="Y1216" s="194"/>
      <c r="Z1216" s="194"/>
      <c r="AA1216" s="194"/>
      <c r="AB1216" s="194"/>
      <c r="AC1216" s="194"/>
    </row>
    <row r="1217" spans="1:29" ht="21" customHeight="1">
      <c r="A1217" s="187">
        <v>11</v>
      </c>
      <c r="B1217" s="185" t="s">
        <v>69</v>
      </c>
      <c r="C1217" s="326" t="s">
        <v>79</v>
      </c>
      <c r="D1217" s="326"/>
      <c r="E1217" s="176"/>
      <c r="F1217" s="144" t="s">
        <v>71</v>
      </c>
      <c r="G1217" s="203" t="s">
        <v>156</v>
      </c>
      <c r="H1217" s="202" t="s">
        <v>156</v>
      </c>
      <c r="I1217" s="202" t="s">
        <v>156</v>
      </c>
      <c r="J1217" s="202" t="s">
        <v>156</v>
      </c>
      <c r="K1217" s="202" t="s">
        <v>156</v>
      </c>
      <c r="L1217" s="202" t="s">
        <v>156</v>
      </c>
      <c r="M1217" s="93"/>
      <c r="O1217" s="195"/>
      <c r="P1217" s="196"/>
      <c r="Q1217" s="327"/>
      <c r="R1217" s="327"/>
      <c r="S1217" s="194"/>
      <c r="T1217" s="194"/>
      <c r="U1217" s="194"/>
      <c r="V1217" s="194"/>
      <c r="W1217" s="194"/>
      <c r="X1217" s="194"/>
      <c r="Y1217" s="194"/>
      <c r="Z1217" s="194"/>
      <c r="AA1217" s="194"/>
      <c r="AB1217" s="194"/>
      <c r="AC1217" s="194"/>
    </row>
    <row r="1218" spans="1:29" ht="21" customHeight="1">
      <c r="A1218" s="187">
        <v>12</v>
      </c>
      <c r="B1218" s="185" t="s">
        <v>69</v>
      </c>
      <c r="C1218" s="326" t="s">
        <v>100</v>
      </c>
      <c r="D1218" s="326"/>
      <c r="E1218" s="176"/>
      <c r="F1218" s="144" t="s">
        <v>71</v>
      </c>
      <c r="G1218" s="203" t="s">
        <v>156</v>
      </c>
      <c r="H1218" s="202" t="s">
        <v>156</v>
      </c>
      <c r="I1218" s="202" t="s">
        <v>156</v>
      </c>
      <c r="J1218" s="202" t="s">
        <v>156</v>
      </c>
      <c r="K1218" s="202" t="s">
        <v>156</v>
      </c>
      <c r="L1218" s="202" t="s">
        <v>156</v>
      </c>
      <c r="M1218" s="93"/>
      <c r="O1218" s="195"/>
      <c r="P1218" s="196"/>
      <c r="Q1218" s="327"/>
      <c r="R1218" s="327"/>
      <c r="S1218" s="194"/>
      <c r="T1218" s="194"/>
      <c r="U1218" s="194"/>
      <c r="V1218" s="194"/>
      <c r="W1218" s="194"/>
      <c r="X1218" s="194"/>
      <c r="Y1218" s="194"/>
      <c r="Z1218" s="194"/>
      <c r="AA1218" s="194"/>
      <c r="AB1218" s="194"/>
      <c r="AC1218" s="194"/>
    </row>
    <row r="1219" spans="1:29" ht="21" customHeight="1">
      <c r="A1219" s="187">
        <v>13</v>
      </c>
      <c r="B1219" s="185" t="s">
        <v>69</v>
      </c>
      <c r="C1219" s="326" t="s">
        <v>80</v>
      </c>
      <c r="D1219" s="326"/>
      <c r="E1219" s="176"/>
      <c r="F1219" s="144" t="s">
        <v>71</v>
      </c>
      <c r="G1219" s="203" t="s">
        <v>156</v>
      </c>
      <c r="H1219" s="202" t="s">
        <v>156</v>
      </c>
      <c r="I1219" s="202" t="s">
        <v>156</v>
      </c>
      <c r="J1219" s="202" t="s">
        <v>156</v>
      </c>
      <c r="K1219" s="202" t="s">
        <v>156</v>
      </c>
      <c r="L1219" s="202" t="s">
        <v>156</v>
      </c>
      <c r="M1219" s="93"/>
      <c r="O1219" s="195"/>
      <c r="P1219" s="196"/>
      <c r="Q1219" s="327"/>
      <c r="R1219" s="327"/>
      <c r="S1219" s="194"/>
      <c r="T1219" s="194"/>
      <c r="U1219" s="194"/>
      <c r="V1219" s="194"/>
      <c r="W1219" s="194"/>
      <c r="X1219" s="194"/>
      <c r="Y1219" s="194"/>
      <c r="Z1219" s="194"/>
      <c r="AA1219" s="194"/>
      <c r="AB1219" s="194"/>
      <c r="AC1219" s="194"/>
    </row>
    <row r="1220" spans="1:29" ht="21" customHeight="1">
      <c r="A1220" s="187">
        <v>14</v>
      </c>
      <c r="B1220" s="185" t="s">
        <v>69</v>
      </c>
      <c r="C1220" s="326" t="s">
        <v>91</v>
      </c>
      <c r="D1220" s="326"/>
      <c r="E1220" s="176"/>
      <c r="F1220" s="144" t="s">
        <v>71</v>
      </c>
      <c r="G1220" s="203" t="s">
        <v>156</v>
      </c>
      <c r="H1220" s="202" t="s">
        <v>156</v>
      </c>
      <c r="I1220" s="202" t="s">
        <v>156</v>
      </c>
      <c r="J1220" s="202" t="s">
        <v>156</v>
      </c>
      <c r="K1220" s="202" t="s">
        <v>156</v>
      </c>
      <c r="L1220" s="202" t="s">
        <v>156</v>
      </c>
      <c r="M1220" s="93"/>
      <c r="O1220" s="195"/>
      <c r="P1220" s="196"/>
      <c r="Q1220" s="327"/>
      <c r="R1220" s="327"/>
      <c r="S1220" s="194"/>
      <c r="T1220" s="194"/>
      <c r="U1220" s="194"/>
      <c r="V1220" s="194"/>
      <c r="W1220" s="194"/>
      <c r="X1220" s="194"/>
      <c r="Y1220" s="194"/>
      <c r="Z1220" s="194"/>
      <c r="AA1220" s="194"/>
      <c r="AB1220" s="194"/>
      <c r="AC1220" s="194"/>
    </row>
    <row r="1221" spans="1:29" ht="21" customHeight="1">
      <c r="A1221" s="187">
        <v>15</v>
      </c>
      <c r="B1221" s="185" t="s">
        <v>69</v>
      </c>
      <c r="C1221" s="326" t="s">
        <v>81</v>
      </c>
      <c r="D1221" s="326"/>
      <c r="E1221" s="176"/>
      <c r="F1221" s="144" t="s">
        <v>71</v>
      </c>
      <c r="G1221" s="203" t="s">
        <v>156</v>
      </c>
      <c r="H1221" s="202" t="s">
        <v>156</v>
      </c>
      <c r="I1221" s="202" t="s">
        <v>156</v>
      </c>
      <c r="J1221" s="202" t="s">
        <v>156</v>
      </c>
      <c r="K1221" s="202" t="s">
        <v>156</v>
      </c>
      <c r="L1221" s="202" t="s">
        <v>156</v>
      </c>
      <c r="M1221" s="93"/>
      <c r="O1221" s="195"/>
      <c r="P1221" s="196"/>
      <c r="Q1221" s="327"/>
      <c r="R1221" s="327"/>
      <c r="S1221" s="194"/>
      <c r="T1221" s="194"/>
      <c r="U1221" s="194"/>
      <c r="V1221" s="194"/>
      <c r="W1221" s="194"/>
      <c r="X1221" s="194"/>
      <c r="Y1221" s="194"/>
      <c r="Z1221" s="194"/>
      <c r="AA1221" s="194"/>
      <c r="AB1221" s="194"/>
      <c r="AC1221" s="194"/>
    </row>
    <row r="1222" spans="1:29" ht="21" customHeight="1">
      <c r="A1222" s="187">
        <v>16</v>
      </c>
      <c r="B1222" s="185" t="s">
        <v>69</v>
      </c>
      <c r="C1222" s="326" t="s">
        <v>101</v>
      </c>
      <c r="D1222" s="326"/>
      <c r="E1222" s="151"/>
      <c r="F1222" s="144" t="s">
        <v>71</v>
      </c>
      <c r="G1222" s="203" t="s">
        <v>156</v>
      </c>
      <c r="H1222" s="202" t="s">
        <v>156</v>
      </c>
      <c r="I1222" s="202" t="s">
        <v>156</v>
      </c>
      <c r="J1222" s="202" t="s">
        <v>156</v>
      </c>
      <c r="K1222" s="202" t="s">
        <v>156</v>
      </c>
      <c r="L1222" s="202" t="s">
        <v>156</v>
      </c>
      <c r="M1222" s="93"/>
      <c r="N1222" s="219"/>
      <c r="O1222" s="195"/>
      <c r="P1222" s="196"/>
      <c r="Q1222" s="327"/>
      <c r="R1222" s="327"/>
      <c r="S1222" s="197"/>
      <c r="T1222" s="197"/>
      <c r="U1222" s="197"/>
      <c r="V1222" s="197"/>
      <c r="W1222" s="197"/>
      <c r="X1222" s="197"/>
      <c r="Y1222" s="197"/>
      <c r="Z1222" s="197"/>
      <c r="AA1222" s="197"/>
      <c r="AB1222" s="197"/>
      <c r="AC1222" s="197"/>
    </row>
    <row r="1223" spans="1:29" ht="21" customHeight="1">
      <c r="A1223" s="187">
        <v>17</v>
      </c>
      <c r="B1223" s="186" t="s">
        <v>69</v>
      </c>
      <c r="C1223" s="326" t="s">
        <v>141</v>
      </c>
      <c r="D1223" s="326"/>
      <c r="E1223" s="151"/>
      <c r="F1223" s="144" t="s">
        <v>71</v>
      </c>
      <c r="G1223" s="203" t="s">
        <v>156</v>
      </c>
      <c r="H1223" s="202" t="s">
        <v>156</v>
      </c>
      <c r="I1223" s="202" t="s">
        <v>156</v>
      </c>
      <c r="J1223" s="202" t="s">
        <v>156</v>
      </c>
      <c r="K1223" s="202" t="s">
        <v>156</v>
      </c>
      <c r="L1223" s="202" t="s">
        <v>156</v>
      </c>
      <c r="M1223" s="93"/>
      <c r="N1223" s="219"/>
      <c r="O1223" s="195"/>
      <c r="P1223" s="104"/>
      <c r="Q1223" s="327"/>
      <c r="R1223" s="327"/>
      <c r="S1223" s="197"/>
      <c r="T1223" s="197"/>
      <c r="U1223" s="197"/>
      <c r="V1223" s="197"/>
      <c r="W1223" s="197"/>
      <c r="X1223" s="197"/>
      <c r="Y1223" s="197"/>
      <c r="Z1223" s="197"/>
      <c r="AA1223" s="197"/>
      <c r="AB1223" s="197"/>
      <c r="AC1223" s="197"/>
    </row>
    <row r="1224" spans="1:29" ht="21" customHeight="1">
      <c r="A1224" s="187">
        <v>18</v>
      </c>
      <c r="B1224" s="186" t="s">
        <v>69</v>
      </c>
      <c r="C1224" s="326" t="s">
        <v>142</v>
      </c>
      <c r="D1224" s="326"/>
      <c r="E1224" s="151"/>
      <c r="F1224" s="144" t="s">
        <v>71</v>
      </c>
      <c r="G1224" s="203" t="s">
        <v>156</v>
      </c>
      <c r="H1224" s="202" t="s">
        <v>156</v>
      </c>
      <c r="I1224" s="202" t="s">
        <v>156</v>
      </c>
      <c r="J1224" s="202" t="s">
        <v>156</v>
      </c>
      <c r="K1224" s="202" t="s">
        <v>156</v>
      </c>
      <c r="L1224" s="202" t="s">
        <v>156</v>
      </c>
      <c r="M1224" s="93"/>
      <c r="N1224" s="219"/>
      <c r="O1224" s="195"/>
      <c r="P1224" s="104"/>
      <c r="Q1224" s="327"/>
      <c r="R1224" s="327"/>
      <c r="S1224" s="197"/>
      <c r="T1224" s="197"/>
      <c r="U1224" s="197"/>
      <c r="V1224" s="197"/>
      <c r="W1224" s="197"/>
      <c r="X1224" s="197"/>
      <c r="Y1224" s="197"/>
      <c r="Z1224" s="197"/>
      <c r="AA1224" s="197"/>
      <c r="AB1224" s="197"/>
      <c r="AC1224" s="197"/>
    </row>
    <row r="1225" spans="1:29" ht="21" customHeight="1">
      <c r="A1225" s="187">
        <v>19</v>
      </c>
      <c r="B1225" s="186" t="s">
        <v>69</v>
      </c>
      <c r="C1225" s="326" t="s">
        <v>143</v>
      </c>
      <c r="D1225" s="326"/>
      <c r="E1225" s="151"/>
      <c r="F1225" s="144" t="s">
        <v>71</v>
      </c>
      <c r="G1225" s="203" t="s">
        <v>156</v>
      </c>
      <c r="H1225" s="202" t="s">
        <v>156</v>
      </c>
      <c r="I1225" s="202" t="s">
        <v>156</v>
      </c>
      <c r="J1225" s="202" t="s">
        <v>156</v>
      </c>
      <c r="K1225" s="202" t="s">
        <v>156</v>
      </c>
      <c r="L1225" s="202" t="s">
        <v>156</v>
      </c>
      <c r="M1225" s="93"/>
      <c r="N1225" s="219"/>
      <c r="O1225" s="195"/>
      <c r="P1225" s="104"/>
      <c r="Q1225" s="327"/>
      <c r="R1225" s="327"/>
      <c r="S1225" s="197"/>
      <c r="T1225" s="197"/>
      <c r="U1225" s="197"/>
      <c r="V1225" s="197"/>
      <c r="W1225" s="197"/>
      <c r="X1225" s="197"/>
      <c r="Y1225" s="197"/>
      <c r="Z1225" s="197"/>
      <c r="AA1225" s="197"/>
      <c r="AB1225" s="197"/>
      <c r="AC1225" s="197"/>
    </row>
    <row r="1226" spans="1:29" ht="21" customHeight="1">
      <c r="A1226" s="187">
        <v>20</v>
      </c>
      <c r="B1226" s="186" t="s">
        <v>69</v>
      </c>
      <c r="C1226" s="326" t="s">
        <v>102</v>
      </c>
      <c r="D1226" s="326"/>
      <c r="E1226" s="150"/>
      <c r="F1226" s="154" t="s">
        <v>71</v>
      </c>
      <c r="G1226" s="203" t="s">
        <v>156</v>
      </c>
      <c r="H1226" s="202" t="s">
        <v>156</v>
      </c>
      <c r="I1226" s="202" t="s">
        <v>156</v>
      </c>
      <c r="J1226" s="202" t="s">
        <v>156</v>
      </c>
      <c r="K1226" s="202" t="s">
        <v>156</v>
      </c>
      <c r="L1226" s="202" t="s">
        <v>156</v>
      </c>
      <c r="M1226" s="93"/>
      <c r="N1226" s="219"/>
      <c r="O1226" s="195"/>
      <c r="P1226" s="104"/>
      <c r="Q1226" s="327"/>
      <c r="R1226" s="327"/>
      <c r="S1226" s="197"/>
      <c r="T1226" s="197"/>
      <c r="U1226" s="197"/>
      <c r="V1226" s="197"/>
      <c r="W1226" s="197"/>
      <c r="X1226" s="197"/>
      <c r="Y1226" s="197"/>
      <c r="Z1226" s="197"/>
      <c r="AA1226" s="197"/>
      <c r="AB1226" s="197"/>
      <c r="AC1226" s="197"/>
    </row>
    <row r="1227" spans="1:29" ht="24.75" customHeight="1">
      <c r="A1227" s="192" t="s">
        <v>128</v>
      </c>
      <c r="B1227" s="104"/>
      <c r="C1227" s="328" t="s">
        <v>130</v>
      </c>
      <c r="D1227" s="328"/>
      <c r="E1227" s="328"/>
      <c r="F1227" s="328"/>
      <c r="G1227" s="328"/>
      <c r="H1227" s="328"/>
      <c r="I1227" s="328"/>
      <c r="J1227" s="328"/>
      <c r="K1227" s="328"/>
      <c r="L1227" s="328"/>
      <c r="M1227" s="89"/>
      <c r="N1227" s="219"/>
      <c r="O1227" s="198"/>
      <c r="P1227" s="104"/>
      <c r="Q1227" s="329"/>
      <c r="R1227" s="329"/>
      <c r="S1227" s="329"/>
      <c r="T1227" s="329"/>
      <c r="U1227" s="329"/>
      <c r="V1227" s="329"/>
      <c r="W1227" s="329"/>
      <c r="X1227" s="329"/>
      <c r="Y1227" s="329"/>
      <c r="Z1227" s="329"/>
      <c r="AA1227" s="329"/>
      <c r="AB1227" s="329"/>
      <c r="AC1227" s="329"/>
    </row>
    <row r="1228" spans="1:29" ht="33" customHeight="1">
      <c r="A1228" s="189">
        <v>21</v>
      </c>
      <c r="B1228" s="188" t="s">
        <v>69</v>
      </c>
      <c r="C1228" s="307" t="s">
        <v>82</v>
      </c>
      <c r="D1228" s="308"/>
      <c r="E1228" s="182"/>
      <c r="F1228" s="191" t="s">
        <v>71</v>
      </c>
      <c r="G1228" s="201">
        <v>58</v>
      </c>
      <c r="H1228" s="201">
        <v>40</v>
      </c>
      <c r="I1228" s="201">
        <v>21</v>
      </c>
      <c r="J1228" s="201">
        <v>58</v>
      </c>
      <c r="K1228" s="201">
        <v>40</v>
      </c>
      <c r="L1228" s="201">
        <v>21</v>
      </c>
      <c r="M1228" s="89"/>
      <c r="N1228" s="219"/>
      <c r="O1228" s="199"/>
      <c r="P1228" s="200"/>
      <c r="Q1228" s="309"/>
      <c r="R1228" s="309"/>
      <c r="S1228" s="86"/>
      <c r="T1228" s="86"/>
      <c r="U1228" s="86"/>
      <c r="V1228" s="86"/>
      <c r="W1228" s="86"/>
      <c r="X1228" s="86"/>
      <c r="Y1228" s="86"/>
      <c r="Z1228" s="86"/>
      <c r="AA1228" s="86"/>
      <c r="AB1228" s="86"/>
      <c r="AC1228" s="86"/>
    </row>
    <row r="1229" spans="1:29" ht="33" customHeight="1">
      <c r="A1229" s="189">
        <v>22</v>
      </c>
      <c r="B1229" s="188" t="s">
        <v>69</v>
      </c>
      <c r="C1229" s="307" t="s">
        <v>103</v>
      </c>
      <c r="D1229" s="308"/>
      <c r="E1229" s="179"/>
      <c r="F1229" s="191" t="s">
        <v>71</v>
      </c>
      <c r="G1229" s="201">
        <v>9</v>
      </c>
      <c r="H1229" s="201">
        <v>9</v>
      </c>
      <c r="I1229" s="201">
        <v>7</v>
      </c>
      <c r="J1229" s="201">
        <v>9</v>
      </c>
      <c r="K1229" s="201">
        <v>9</v>
      </c>
      <c r="L1229" s="201">
        <v>7</v>
      </c>
      <c r="M1229" s="89"/>
      <c r="N1229" s="219"/>
      <c r="O1229" s="199"/>
      <c r="P1229" s="200"/>
      <c r="Q1229" s="309"/>
      <c r="R1229" s="309"/>
      <c r="S1229" s="86"/>
      <c r="T1229" s="86"/>
      <c r="U1229" s="86"/>
      <c r="V1229" s="86"/>
      <c r="W1229" s="86"/>
      <c r="X1229" s="86"/>
      <c r="Y1229" s="86"/>
      <c r="Z1229" s="86"/>
      <c r="AA1229" s="86"/>
      <c r="AB1229" s="86"/>
      <c r="AC1229" s="86"/>
    </row>
    <row r="1230" spans="1:29" ht="33" customHeight="1">
      <c r="A1230" s="189">
        <v>23</v>
      </c>
      <c r="B1230" s="188" t="s">
        <v>69</v>
      </c>
      <c r="C1230" s="307" t="s">
        <v>104</v>
      </c>
      <c r="D1230" s="308"/>
      <c r="E1230" s="179"/>
      <c r="F1230" s="191" t="s">
        <v>71</v>
      </c>
      <c r="G1230" s="201">
        <v>5</v>
      </c>
      <c r="H1230" s="201">
        <v>1</v>
      </c>
      <c r="I1230" s="201">
        <v>1</v>
      </c>
      <c r="J1230" s="201">
        <v>5</v>
      </c>
      <c r="K1230" s="201">
        <v>1</v>
      </c>
      <c r="L1230" s="201">
        <v>1</v>
      </c>
      <c r="M1230" s="89"/>
      <c r="N1230" s="219"/>
      <c r="O1230" s="199"/>
      <c r="P1230" s="200"/>
      <c r="Q1230" s="309"/>
      <c r="R1230" s="309"/>
      <c r="S1230" s="86"/>
      <c r="T1230" s="86"/>
      <c r="U1230" s="86"/>
      <c r="V1230" s="86"/>
      <c r="W1230" s="86"/>
      <c r="X1230" s="86"/>
      <c r="Y1230" s="86"/>
      <c r="Z1230" s="86"/>
      <c r="AA1230" s="86"/>
      <c r="AB1230" s="86"/>
      <c r="AC1230" s="86"/>
    </row>
    <row r="1231" spans="1:29" ht="27.75" customHeight="1">
      <c r="A1231" s="317" t="s">
        <v>135</v>
      </c>
      <c r="B1231" s="318"/>
      <c r="C1231" s="317" t="s">
        <v>68</v>
      </c>
      <c r="D1231" s="318"/>
      <c r="E1231" s="183"/>
      <c r="F1231" s="321" t="s">
        <v>136</v>
      </c>
      <c r="G1231" s="322" t="s">
        <v>155</v>
      </c>
      <c r="H1231" s="323"/>
      <c r="I1231" s="323"/>
      <c r="J1231" s="322" t="s">
        <v>154</v>
      </c>
      <c r="K1231" s="323"/>
      <c r="L1231" s="324"/>
      <c r="M1231" s="92"/>
      <c r="O1231" s="325"/>
      <c r="P1231" s="325"/>
      <c r="Q1231" s="325"/>
      <c r="R1231" s="325"/>
      <c r="S1231" s="316"/>
      <c r="T1231" s="316"/>
      <c r="U1231" s="316"/>
      <c r="V1231" s="316"/>
      <c r="W1231" s="316"/>
      <c r="X1231" s="316"/>
      <c r="Y1231" s="316"/>
      <c r="Z1231" s="316"/>
      <c r="AA1231" s="316"/>
      <c r="AB1231" s="316"/>
      <c r="AC1231" s="316"/>
    </row>
    <row r="1232" spans="1:29" ht="125.25" customHeight="1">
      <c r="A1232" s="319"/>
      <c r="B1232" s="320"/>
      <c r="C1232" s="319"/>
      <c r="D1232" s="320"/>
      <c r="E1232" s="184"/>
      <c r="F1232" s="321"/>
      <c r="G1232" s="153" t="s">
        <v>151</v>
      </c>
      <c r="H1232" s="153" t="s">
        <v>152</v>
      </c>
      <c r="I1232" s="153" t="s">
        <v>153</v>
      </c>
      <c r="J1232" s="153" t="s">
        <v>151</v>
      </c>
      <c r="K1232" s="153" t="s">
        <v>152</v>
      </c>
      <c r="L1232" s="153" t="s">
        <v>153</v>
      </c>
      <c r="O1232" s="325"/>
      <c r="P1232" s="325"/>
      <c r="Q1232" s="325"/>
      <c r="R1232" s="325"/>
      <c r="S1232" s="193"/>
      <c r="T1232" s="193"/>
      <c r="U1232" s="193"/>
      <c r="V1232" s="193"/>
      <c r="W1232" s="193"/>
      <c r="X1232" s="193"/>
      <c r="Y1232" s="193"/>
      <c r="Z1232" s="193"/>
      <c r="AA1232" s="193"/>
      <c r="AB1232" s="193"/>
      <c r="AC1232" s="193"/>
    </row>
    <row r="1233" spans="1:29" ht="30" customHeight="1">
      <c r="A1233" s="189">
        <v>24</v>
      </c>
      <c r="B1233" s="188" t="s">
        <v>69</v>
      </c>
      <c r="C1233" s="307" t="s">
        <v>131</v>
      </c>
      <c r="D1233" s="308"/>
      <c r="E1233" s="179"/>
      <c r="F1233" s="191" t="s">
        <v>71</v>
      </c>
      <c r="G1233" s="202" t="s">
        <v>156</v>
      </c>
      <c r="H1233" s="202" t="s">
        <v>156</v>
      </c>
      <c r="I1233" s="202" t="s">
        <v>156</v>
      </c>
      <c r="J1233" s="202" t="s">
        <v>156</v>
      </c>
      <c r="K1233" s="202" t="s">
        <v>156</v>
      </c>
      <c r="L1233" s="202" t="s">
        <v>156</v>
      </c>
      <c r="M1233" s="89"/>
      <c r="N1233" s="219"/>
      <c r="O1233" s="199"/>
      <c r="P1233" s="200"/>
      <c r="Q1233" s="309"/>
      <c r="R1233" s="309"/>
      <c r="S1233" s="86"/>
      <c r="T1233" s="86"/>
      <c r="U1233" s="86"/>
      <c r="V1233" s="86"/>
      <c r="W1233" s="86"/>
      <c r="X1233" s="86"/>
      <c r="Y1233" s="86"/>
      <c r="Z1233" s="86"/>
      <c r="AA1233" s="86"/>
      <c r="AB1233" s="86"/>
      <c r="AC1233" s="86"/>
    </row>
    <row r="1234" spans="1:29" ht="30" customHeight="1">
      <c r="A1234" s="189">
        <v>25</v>
      </c>
      <c r="B1234" s="188" t="s">
        <v>69</v>
      </c>
      <c r="C1234" s="307" t="s">
        <v>83</v>
      </c>
      <c r="D1234" s="308"/>
      <c r="E1234" s="179"/>
      <c r="F1234" s="191" t="s">
        <v>71</v>
      </c>
      <c r="G1234" s="201">
        <v>25</v>
      </c>
      <c r="H1234" s="201">
        <v>40</v>
      </c>
      <c r="I1234" s="201">
        <v>22</v>
      </c>
      <c r="J1234" s="201">
        <v>25</v>
      </c>
      <c r="K1234" s="201">
        <v>40</v>
      </c>
      <c r="L1234" s="201">
        <v>22</v>
      </c>
      <c r="M1234" s="89"/>
      <c r="N1234" s="219"/>
      <c r="O1234" s="199"/>
      <c r="P1234" s="200"/>
      <c r="Q1234" s="309"/>
      <c r="R1234" s="309"/>
      <c r="S1234" s="86"/>
      <c r="T1234" s="86"/>
      <c r="U1234" s="86"/>
      <c r="V1234" s="86"/>
      <c r="W1234" s="86"/>
      <c r="X1234" s="86"/>
      <c r="Y1234" s="86"/>
      <c r="Z1234" s="86"/>
      <c r="AA1234" s="86"/>
      <c r="AB1234" s="86"/>
      <c r="AC1234" s="86"/>
    </row>
    <row r="1235" spans="1:29" ht="30" customHeight="1">
      <c r="A1235" s="189">
        <v>26</v>
      </c>
      <c r="B1235" s="188" t="s">
        <v>69</v>
      </c>
      <c r="C1235" s="307" t="s">
        <v>84</v>
      </c>
      <c r="D1235" s="308"/>
      <c r="E1235" s="179"/>
      <c r="F1235" s="191" t="s">
        <v>71</v>
      </c>
      <c r="G1235" s="201">
        <v>5</v>
      </c>
      <c r="H1235" s="202" t="s">
        <v>156</v>
      </c>
      <c r="I1235" s="202" t="s">
        <v>156</v>
      </c>
      <c r="J1235" s="201">
        <v>5</v>
      </c>
      <c r="K1235" s="202" t="s">
        <v>156</v>
      </c>
      <c r="L1235" s="202" t="s">
        <v>156</v>
      </c>
      <c r="M1235" s="89"/>
      <c r="N1235" s="219"/>
      <c r="O1235" s="199"/>
      <c r="P1235" s="200"/>
      <c r="Q1235" s="309"/>
      <c r="R1235" s="309"/>
      <c r="S1235" s="86"/>
      <c r="T1235" s="86"/>
      <c r="U1235" s="86"/>
      <c r="V1235" s="86"/>
      <c r="W1235" s="86"/>
      <c r="X1235" s="86"/>
      <c r="Y1235" s="86"/>
      <c r="Z1235" s="86"/>
      <c r="AA1235" s="86"/>
      <c r="AB1235" s="86"/>
      <c r="AC1235" s="86"/>
    </row>
    <row r="1236" spans="1:29" ht="30" customHeight="1">
      <c r="A1236" s="189">
        <v>27</v>
      </c>
      <c r="B1236" s="188" t="s">
        <v>69</v>
      </c>
      <c r="C1236" s="307" t="s">
        <v>85</v>
      </c>
      <c r="D1236" s="308"/>
      <c r="E1236" s="179"/>
      <c r="F1236" s="191" t="s">
        <v>71</v>
      </c>
      <c r="G1236" s="201">
        <v>3</v>
      </c>
      <c r="H1236" s="201">
        <v>1</v>
      </c>
      <c r="I1236" s="201">
        <v>8</v>
      </c>
      <c r="J1236" s="201">
        <v>3</v>
      </c>
      <c r="K1236" s="201">
        <v>1</v>
      </c>
      <c r="L1236" s="201">
        <v>8</v>
      </c>
      <c r="M1236" s="89"/>
      <c r="N1236" s="219"/>
      <c r="O1236" s="199"/>
      <c r="P1236" s="200"/>
      <c r="Q1236" s="309"/>
      <c r="R1236" s="309"/>
      <c r="S1236" s="86"/>
      <c r="T1236" s="86"/>
      <c r="U1236" s="86"/>
      <c r="V1236" s="86"/>
      <c r="W1236" s="86"/>
      <c r="X1236" s="86"/>
      <c r="Y1236" s="86"/>
      <c r="Z1236" s="86"/>
      <c r="AA1236" s="86"/>
      <c r="AB1236" s="86"/>
      <c r="AC1236" s="86"/>
    </row>
    <row r="1237" spans="1:29" ht="30" customHeight="1">
      <c r="A1237" s="189">
        <v>28</v>
      </c>
      <c r="B1237" s="188" t="s">
        <v>69</v>
      </c>
      <c r="C1237" s="307" t="s">
        <v>132</v>
      </c>
      <c r="D1237" s="308"/>
      <c r="E1237" s="179"/>
      <c r="F1237" s="191" t="s">
        <v>71</v>
      </c>
      <c r="G1237" s="202" t="s">
        <v>156</v>
      </c>
      <c r="H1237" s="202" t="s">
        <v>156</v>
      </c>
      <c r="I1237" s="202" t="s">
        <v>156</v>
      </c>
      <c r="J1237" s="202" t="s">
        <v>156</v>
      </c>
      <c r="K1237" s="202" t="s">
        <v>156</v>
      </c>
      <c r="L1237" s="202" t="s">
        <v>156</v>
      </c>
      <c r="M1237" s="89"/>
      <c r="N1237" s="219"/>
      <c r="O1237" s="199"/>
      <c r="P1237" s="200"/>
      <c r="Q1237" s="309"/>
      <c r="R1237" s="309"/>
      <c r="S1237" s="86"/>
      <c r="T1237" s="86"/>
      <c r="U1237" s="86"/>
      <c r="V1237" s="86"/>
      <c r="W1237" s="86"/>
      <c r="X1237" s="86"/>
      <c r="Y1237" s="86"/>
      <c r="Z1237" s="86"/>
      <c r="AA1237" s="86"/>
      <c r="AB1237" s="86"/>
      <c r="AC1237" s="86"/>
    </row>
    <row r="1238" spans="1:29" ht="30" customHeight="1">
      <c r="A1238" s="189">
        <v>29</v>
      </c>
      <c r="B1238" s="188" t="s">
        <v>69</v>
      </c>
      <c r="C1238" s="307" t="s">
        <v>86</v>
      </c>
      <c r="D1238" s="308"/>
      <c r="E1238" s="179"/>
      <c r="F1238" s="191" t="s">
        <v>71</v>
      </c>
      <c r="G1238" s="201">
        <v>10</v>
      </c>
      <c r="H1238" s="201">
        <v>12</v>
      </c>
      <c r="I1238" s="201">
        <v>9</v>
      </c>
      <c r="J1238" s="201">
        <v>10</v>
      </c>
      <c r="K1238" s="201">
        <v>12</v>
      </c>
      <c r="L1238" s="201">
        <v>9</v>
      </c>
      <c r="M1238" s="89"/>
      <c r="N1238" s="219"/>
      <c r="O1238" s="199"/>
      <c r="P1238" s="200"/>
      <c r="Q1238" s="309"/>
      <c r="R1238" s="309"/>
      <c r="S1238" s="86"/>
      <c r="T1238" s="86"/>
      <c r="U1238" s="86"/>
      <c r="V1238" s="86"/>
      <c r="W1238" s="86"/>
      <c r="X1238" s="86"/>
      <c r="Y1238" s="86"/>
      <c r="Z1238" s="86"/>
      <c r="AA1238" s="86"/>
      <c r="AB1238" s="86"/>
      <c r="AC1238" s="86"/>
    </row>
    <row r="1239" spans="1:29" ht="30" customHeight="1">
      <c r="A1239" s="189">
        <v>30</v>
      </c>
      <c r="B1239" s="188" t="s">
        <v>69</v>
      </c>
      <c r="C1239" s="307" t="s">
        <v>87</v>
      </c>
      <c r="D1239" s="308"/>
      <c r="E1239" s="179"/>
      <c r="F1239" s="191" t="s">
        <v>71</v>
      </c>
      <c r="G1239" s="202" t="s">
        <v>156</v>
      </c>
      <c r="H1239" s="202" t="s">
        <v>156</v>
      </c>
      <c r="I1239" s="202" t="s">
        <v>156</v>
      </c>
      <c r="J1239" s="202" t="s">
        <v>156</v>
      </c>
      <c r="K1239" s="202" t="s">
        <v>156</v>
      </c>
      <c r="L1239" s="202" t="s">
        <v>156</v>
      </c>
      <c r="M1239" s="89"/>
      <c r="N1239" s="219"/>
      <c r="O1239" s="199"/>
      <c r="P1239" s="200"/>
      <c r="Q1239" s="309"/>
      <c r="R1239" s="309"/>
      <c r="S1239" s="86"/>
      <c r="T1239" s="86"/>
      <c r="U1239" s="86"/>
      <c r="V1239" s="86"/>
      <c r="W1239" s="86"/>
      <c r="X1239" s="86"/>
      <c r="Y1239" s="86"/>
      <c r="Z1239" s="86"/>
      <c r="AA1239" s="86"/>
      <c r="AB1239" s="86"/>
      <c r="AC1239" s="86"/>
    </row>
    <row r="1240" spans="1:29" ht="30" customHeight="1">
      <c r="A1240" s="189">
        <v>31</v>
      </c>
      <c r="B1240" s="188" t="s">
        <v>69</v>
      </c>
      <c r="C1240" s="307" t="s">
        <v>105</v>
      </c>
      <c r="D1240" s="308"/>
      <c r="E1240" s="179"/>
      <c r="F1240" s="191" t="s">
        <v>71</v>
      </c>
      <c r="G1240" s="201">
        <v>2</v>
      </c>
      <c r="H1240" s="203" t="s">
        <v>156</v>
      </c>
      <c r="I1240" s="201">
        <v>8</v>
      </c>
      <c r="J1240" s="201">
        <v>2</v>
      </c>
      <c r="K1240" s="203" t="s">
        <v>156</v>
      </c>
      <c r="L1240" s="201">
        <v>8</v>
      </c>
      <c r="M1240" s="89"/>
      <c r="N1240" s="219"/>
      <c r="O1240" s="199"/>
      <c r="P1240" s="200"/>
      <c r="Q1240" s="309"/>
      <c r="R1240" s="309"/>
      <c r="S1240" s="86"/>
      <c r="T1240" s="86"/>
      <c r="U1240" s="86"/>
      <c r="V1240" s="86"/>
      <c r="W1240" s="86"/>
      <c r="X1240" s="86"/>
      <c r="Y1240" s="86"/>
      <c r="Z1240" s="86"/>
      <c r="AA1240" s="86"/>
      <c r="AB1240" s="86"/>
      <c r="AC1240" s="86"/>
    </row>
    <row r="1241" spans="1:29" ht="30" customHeight="1">
      <c r="A1241" s="189">
        <v>32</v>
      </c>
      <c r="B1241" s="188" t="s">
        <v>69</v>
      </c>
      <c r="C1241" s="307" t="s">
        <v>133</v>
      </c>
      <c r="D1241" s="308"/>
      <c r="E1241" s="179"/>
      <c r="F1241" s="191" t="s">
        <v>71</v>
      </c>
      <c r="G1241" s="202" t="s">
        <v>156</v>
      </c>
      <c r="H1241" s="202" t="s">
        <v>156</v>
      </c>
      <c r="I1241" s="202" t="s">
        <v>156</v>
      </c>
      <c r="J1241" s="202" t="s">
        <v>156</v>
      </c>
      <c r="K1241" s="202" t="s">
        <v>156</v>
      </c>
      <c r="L1241" s="202" t="s">
        <v>156</v>
      </c>
      <c r="M1241" s="89"/>
      <c r="N1241" s="219"/>
      <c r="O1241" s="199"/>
      <c r="P1241" s="200"/>
      <c r="Q1241" s="309"/>
      <c r="R1241" s="309"/>
      <c r="S1241" s="86"/>
      <c r="T1241" s="86"/>
      <c r="U1241" s="86"/>
      <c r="V1241" s="86"/>
      <c r="W1241" s="86"/>
      <c r="X1241" s="86"/>
      <c r="Y1241" s="86"/>
      <c r="Z1241" s="86"/>
      <c r="AA1241" s="86"/>
      <c r="AB1241" s="86"/>
      <c r="AC1241" s="86"/>
    </row>
    <row r="1242" spans="1:29" ht="30" customHeight="1">
      <c r="A1242" s="189">
        <v>33</v>
      </c>
      <c r="B1242" s="188" t="s">
        <v>69</v>
      </c>
      <c r="C1242" s="307" t="s">
        <v>88</v>
      </c>
      <c r="D1242" s="308"/>
      <c r="E1242" s="179"/>
      <c r="F1242" s="191" t="s">
        <v>71</v>
      </c>
      <c r="G1242" s="201">
        <v>3</v>
      </c>
      <c r="H1242" s="201">
        <v>7</v>
      </c>
      <c r="I1242" s="201">
        <v>7</v>
      </c>
      <c r="J1242" s="201">
        <v>3</v>
      </c>
      <c r="K1242" s="201">
        <v>7</v>
      </c>
      <c r="L1242" s="201">
        <v>7</v>
      </c>
      <c r="M1242" s="89"/>
      <c r="N1242" s="219"/>
      <c r="O1242" s="199"/>
      <c r="P1242" s="200"/>
      <c r="Q1242" s="309"/>
      <c r="R1242" s="309"/>
      <c r="S1242" s="86"/>
      <c r="T1242" s="86"/>
      <c r="U1242" s="86"/>
      <c r="V1242" s="86"/>
      <c r="W1242" s="86"/>
      <c r="X1242" s="86"/>
      <c r="Y1242" s="86"/>
      <c r="Z1242" s="86"/>
      <c r="AA1242" s="86"/>
      <c r="AB1242" s="86"/>
      <c r="AC1242" s="86"/>
    </row>
    <row r="1243" spans="1:29" ht="30" customHeight="1">
      <c r="A1243" s="189">
        <v>34</v>
      </c>
      <c r="B1243" s="188" t="s">
        <v>69</v>
      </c>
      <c r="C1243" s="307" t="s">
        <v>89</v>
      </c>
      <c r="D1243" s="308"/>
      <c r="E1243" s="179"/>
      <c r="F1243" s="191" t="s">
        <v>71</v>
      </c>
      <c r="G1243" s="202" t="s">
        <v>156</v>
      </c>
      <c r="H1243" s="202" t="s">
        <v>156</v>
      </c>
      <c r="I1243" s="202" t="s">
        <v>156</v>
      </c>
      <c r="J1243" s="202" t="s">
        <v>156</v>
      </c>
      <c r="K1243" s="202" t="s">
        <v>156</v>
      </c>
      <c r="L1243" s="202" t="s">
        <v>156</v>
      </c>
      <c r="M1243" s="89"/>
      <c r="N1243" s="219"/>
      <c r="O1243" s="199"/>
      <c r="P1243" s="200"/>
      <c r="Q1243" s="309"/>
      <c r="R1243" s="309"/>
      <c r="S1243" s="86"/>
      <c r="T1243" s="86"/>
      <c r="U1243" s="86"/>
      <c r="V1243" s="86"/>
      <c r="W1243" s="86"/>
      <c r="X1243" s="86"/>
      <c r="Y1243" s="86"/>
      <c r="Z1243" s="86"/>
      <c r="AA1243" s="86"/>
      <c r="AB1243" s="86"/>
      <c r="AC1243" s="86"/>
    </row>
    <row r="1244" spans="1:29" ht="30" customHeight="1">
      <c r="A1244" s="189">
        <v>35</v>
      </c>
      <c r="B1244" s="188" t="s">
        <v>69</v>
      </c>
      <c r="C1244" s="307" t="s">
        <v>140</v>
      </c>
      <c r="D1244" s="308"/>
      <c r="E1244" s="179"/>
      <c r="F1244" s="191" t="s">
        <v>71</v>
      </c>
      <c r="G1244" s="202" t="s">
        <v>156</v>
      </c>
      <c r="H1244" s="202" t="s">
        <v>156</v>
      </c>
      <c r="I1244" s="201">
        <v>3</v>
      </c>
      <c r="J1244" s="202" t="s">
        <v>156</v>
      </c>
      <c r="K1244" s="202" t="s">
        <v>156</v>
      </c>
      <c r="L1244" s="201">
        <v>3</v>
      </c>
      <c r="M1244" s="89"/>
      <c r="N1244" s="220"/>
      <c r="O1244" s="199"/>
      <c r="P1244" s="200"/>
      <c r="Q1244" s="309"/>
      <c r="R1244" s="309"/>
      <c r="S1244" s="86"/>
      <c r="T1244" s="86"/>
      <c r="U1244" s="86"/>
      <c r="V1244" s="86"/>
      <c r="W1244" s="86"/>
      <c r="X1244" s="86"/>
      <c r="Y1244" s="86"/>
      <c r="Z1244" s="86"/>
      <c r="AA1244" s="86"/>
      <c r="AB1244" s="86"/>
      <c r="AC1244" s="86"/>
    </row>
    <row r="1245" spans="1:29" ht="30" customHeight="1">
      <c r="A1245" s="189">
        <v>36</v>
      </c>
      <c r="B1245" s="188" t="s">
        <v>69</v>
      </c>
      <c r="C1245" s="307" t="s">
        <v>134</v>
      </c>
      <c r="D1245" s="308"/>
      <c r="E1245" s="179"/>
      <c r="F1245" s="191" t="s">
        <v>71</v>
      </c>
      <c r="G1245" s="202" t="s">
        <v>156</v>
      </c>
      <c r="H1245" s="202" t="s">
        <v>156</v>
      </c>
      <c r="I1245" s="202" t="s">
        <v>156</v>
      </c>
      <c r="J1245" s="202" t="s">
        <v>156</v>
      </c>
      <c r="K1245" s="202" t="s">
        <v>156</v>
      </c>
      <c r="L1245" s="202" t="s">
        <v>156</v>
      </c>
      <c r="M1245" s="89"/>
      <c r="N1245" s="220"/>
      <c r="O1245" s="199"/>
      <c r="P1245" s="200"/>
      <c r="Q1245" s="309"/>
      <c r="R1245" s="309"/>
      <c r="S1245" s="86"/>
      <c r="T1245" s="86"/>
      <c r="U1245" s="86"/>
      <c r="V1245" s="86"/>
      <c r="W1245" s="86"/>
      <c r="X1245" s="86"/>
      <c r="Y1245" s="86"/>
      <c r="Z1245" s="86"/>
      <c r="AA1245" s="86"/>
      <c r="AB1245" s="86"/>
      <c r="AC1245" s="86"/>
    </row>
    <row r="1246" spans="1:29" ht="30" customHeight="1">
      <c r="A1246" s="189">
        <v>37</v>
      </c>
      <c r="B1246" s="188" t="s">
        <v>69</v>
      </c>
      <c r="C1246" s="307" t="s">
        <v>90</v>
      </c>
      <c r="D1246" s="308"/>
      <c r="E1246" s="179"/>
      <c r="F1246" s="191" t="s">
        <v>71</v>
      </c>
      <c r="G1246" s="202" t="s">
        <v>156</v>
      </c>
      <c r="H1246" s="202" t="s">
        <v>156</v>
      </c>
      <c r="I1246" s="202" t="s">
        <v>156</v>
      </c>
      <c r="J1246" s="202" t="s">
        <v>156</v>
      </c>
      <c r="K1246" s="202" t="s">
        <v>156</v>
      </c>
      <c r="L1246" s="202" t="s">
        <v>156</v>
      </c>
      <c r="M1246" s="89"/>
      <c r="N1246" s="220"/>
      <c r="O1246" s="199"/>
      <c r="P1246" s="200"/>
      <c r="Q1246" s="309"/>
      <c r="R1246" s="309"/>
      <c r="S1246" s="86"/>
      <c r="T1246" s="86"/>
      <c r="U1246" s="86"/>
      <c r="V1246" s="86"/>
      <c r="W1246" s="86"/>
      <c r="X1246" s="86"/>
      <c r="Y1246" s="86"/>
      <c r="Z1246" s="86"/>
      <c r="AA1246" s="86"/>
      <c r="AB1246" s="86"/>
      <c r="AC1246" s="86"/>
    </row>
    <row r="1247" spans="1:29" ht="30" customHeight="1">
      <c r="A1247" s="189">
        <v>38</v>
      </c>
      <c r="B1247" s="188" t="s">
        <v>69</v>
      </c>
      <c r="C1247" s="307" t="s">
        <v>106</v>
      </c>
      <c r="D1247" s="308"/>
      <c r="E1247" s="150"/>
      <c r="F1247" s="191" t="s">
        <v>71</v>
      </c>
      <c r="G1247" s="202" t="s">
        <v>156</v>
      </c>
      <c r="H1247" s="202" t="s">
        <v>156</v>
      </c>
      <c r="I1247" s="202" t="s">
        <v>156</v>
      </c>
      <c r="J1247" s="202" t="s">
        <v>156</v>
      </c>
      <c r="K1247" s="202" t="s">
        <v>156</v>
      </c>
      <c r="L1247" s="202" t="s">
        <v>156</v>
      </c>
      <c r="M1247" s="89"/>
      <c r="N1247" s="220"/>
      <c r="O1247" s="199"/>
      <c r="P1247" s="200"/>
      <c r="Q1247" s="309"/>
      <c r="R1247" s="309"/>
      <c r="S1247" s="86"/>
      <c r="T1247" s="86"/>
      <c r="U1247" s="86"/>
      <c r="V1247" s="86"/>
      <c r="W1247" s="86"/>
      <c r="X1247" s="86"/>
      <c r="Y1247" s="86"/>
      <c r="Z1247" s="86"/>
      <c r="AA1247" s="86"/>
      <c r="AB1247" s="86"/>
      <c r="AC1247" s="86"/>
    </row>
    <row r="1248" spans="1:29" ht="25.5" customHeight="1">
      <c r="A1248" s="310" t="s">
        <v>92</v>
      </c>
      <c r="B1248" s="310"/>
      <c r="C1248" s="310"/>
      <c r="D1248" s="310"/>
      <c r="E1248" s="310"/>
      <c r="F1248" s="310"/>
      <c r="G1248" s="310"/>
      <c r="H1248" s="310"/>
      <c r="I1248" s="310"/>
      <c r="J1248" s="310"/>
      <c r="K1248" s="310"/>
      <c r="L1248" s="310"/>
      <c r="M1248" s="92"/>
    </row>
    <row r="1249" spans="1:16" ht="19.5" customHeight="1">
      <c r="A1249" s="139"/>
      <c r="B1249" s="139"/>
      <c r="C1249" s="140"/>
      <c r="D1249" s="140" t="s">
        <v>145</v>
      </c>
      <c r="E1249" s="140"/>
      <c r="F1249" s="152" t="s">
        <v>54</v>
      </c>
      <c r="G1249" s="152"/>
      <c r="H1249" s="152"/>
      <c r="I1249" s="152"/>
      <c r="J1249" s="152" t="s">
        <v>144</v>
      </c>
      <c r="K1249" s="152"/>
      <c r="L1249" s="140"/>
      <c r="M1249" s="94"/>
    </row>
    <row r="1250" spans="1:16" ht="28.5" customHeight="1">
      <c r="A1250" s="310" t="s">
        <v>93</v>
      </c>
      <c r="B1250" s="310"/>
      <c r="C1250" s="310"/>
      <c r="D1250" s="310"/>
      <c r="E1250" s="310"/>
      <c r="F1250" s="310"/>
      <c r="G1250" s="310"/>
      <c r="H1250" s="310"/>
      <c r="I1250" s="310"/>
      <c r="J1250" s="310"/>
      <c r="K1250" s="310"/>
      <c r="L1250" s="310"/>
      <c r="M1250" s="92"/>
      <c r="N1250" s="311"/>
      <c r="O1250" s="311"/>
      <c r="P1250" s="311"/>
    </row>
    <row r="1251" spans="1:16" ht="20.25" customHeight="1">
      <c r="A1251" s="139"/>
      <c r="B1251" s="139"/>
      <c r="C1251" s="139"/>
      <c r="D1251" s="140" t="s">
        <v>145</v>
      </c>
      <c r="E1251" s="140"/>
      <c r="F1251" s="152" t="s">
        <v>54</v>
      </c>
      <c r="G1251" s="152"/>
      <c r="H1251" s="152"/>
      <c r="I1251" s="152"/>
      <c r="J1251" s="152" t="s">
        <v>144</v>
      </c>
      <c r="K1251" s="152"/>
      <c r="L1251" s="139"/>
      <c r="M1251" s="94"/>
      <c r="N1251" s="221"/>
      <c r="O1251" s="95"/>
      <c r="P1251" s="95"/>
    </row>
    <row r="1252" spans="1:16" ht="26.25" customHeight="1">
      <c r="A1252" s="312" t="s">
        <v>94</v>
      </c>
      <c r="B1252" s="312"/>
      <c r="C1252" s="312"/>
      <c r="D1252" s="312"/>
      <c r="E1252" s="312"/>
      <c r="F1252" s="312"/>
      <c r="G1252" s="312"/>
      <c r="H1252" s="312"/>
      <c r="I1252" s="312"/>
      <c r="J1252" s="312"/>
      <c r="K1252" s="312"/>
      <c r="L1252" s="312"/>
      <c r="M1252" s="92"/>
    </row>
    <row r="1253" spans="1:16" ht="22.5" customHeight="1">
      <c r="A1253" s="120"/>
      <c r="B1253" s="120"/>
      <c r="C1253" s="120"/>
      <c r="D1253" s="120"/>
      <c r="E1253" s="120"/>
      <c r="F1253" s="120"/>
      <c r="G1253" s="120"/>
      <c r="H1253" s="120"/>
      <c r="I1253" s="120"/>
      <c r="J1253" s="120"/>
      <c r="K1253" s="120"/>
      <c r="L1253" s="120"/>
      <c r="M1253" s="94"/>
    </row>
    <row r="1254" spans="1:16" ht="22.5" customHeight="1">
      <c r="A1254" s="313" t="s">
        <v>95</v>
      </c>
      <c r="B1254" s="313"/>
      <c r="C1254" s="313"/>
      <c r="D1254" s="313"/>
      <c r="E1254" s="313"/>
      <c r="F1254" s="313"/>
      <c r="G1254" s="313"/>
      <c r="H1254" s="313"/>
      <c r="I1254" s="313"/>
      <c r="J1254" s="313"/>
      <c r="K1254" s="313"/>
      <c r="L1254" s="313"/>
      <c r="M1254" s="92"/>
    </row>
    <row r="1255" spans="1:16" ht="19.5" customHeight="1">
      <c r="A1255" s="97"/>
      <c r="B1255" s="97"/>
      <c r="C1255" s="145"/>
      <c r="D1255" s="97"/>
      <c r="E1255" s="97"/>
      <c r="F1255" s="97"/>
      <c r="G1255" s="97"/>
      <c r="H1255" s="97"/>
      <c r="I1255" s="97"/>
      <c r="J1255" s="97"/>
      <c r="K1255" s="97"/>
      <c r="L1255" s="97"/>
      <c r="M1255" s="94"/>
    </row>
    <row r="1256" spans="1:16" ht="15.75">
      <c r="A1256" s="94"/>
      <c r="B1256" s="94"/>
      <c r="C1256" s="146"/>
      <c r="D1256" s="94"/>
      <c r="E1256" s="94"/>
      <c r="F1256" s="94"/>
      <c r="G1256" s="94"/>
      <c r="H1256" s="94"/>
      <c r="I1256" s="94"/>
      <c r="J1256" s="94"/>
      <c r="K1256" s="94"/>
      <c r="L1256" s="94"/>
      <c r="M1256" s="94"/>
    </row>
    <row r="1257" spans="1:16" ht="31.5" customHeight="1">
      <c r="A1257" s="314" t="s">
        <v>96</v>
      </c>
      <c r="B1257" s="314"/>
      <c r="C1257" s="314"/>
      <c r="D1257" s="314"/>
      <c r="E1257" s="98"/>
      <c r="F1257" s="98"/>
      <c r="G1257" s="98"/>
      <c r="H1257" s="315" t="s">
        <v>97</v>
      </c>
      <c r="I1257" s="315"/>
      <c r="J1257" s="315"/>
      <c r="K1257" s="315"/>
      <c r="L1257" s="315"/>
      <c r="M1257" s="94"/>
    </row>
    <row r="1258" spans="1:16" ht="95.1" customHeight="1">
      <c r="A1258" s="99"/>
      <c r="B1258" s="101" t="str">
        <f>B1188</f>
        <v>Ông Huỳnh Phước Hải        ….............</v>
      </c>
      <c r="C1258" s="147"/>
      <c r="D1258" s="99"/>
      <c r="E1258" s="81"/>
      <c r="F1258" s="100"/>
      <c r="G1258" s="100"/>
      <c r="H1258" s="306" t="str">
        <f>H1188</f>
        <v>Ông Phạm Tấn Việt          …..................</v>
      </c>
      <c r="I1258" s="306"/>
      <c r="J1258" s="306"/>
      <c r="K1258" s="306"/>
      <c r="L1258" s="306"/>
      <c r="M1258" s="94"/>
    </row>
    <row r="1259" spans="1:16" ht="21.75" customHeight="1">
      <c r="A1259" s="99"/>
      <c r="B1259" s="101"/>
      <c r="C1259" s="147"/>
      <c r="D1259" s="99"/>
      <c r="E1259" s="81"/>
      <c r="F1259" s="100"/>
      <c r="G1259" s="100"/>
      <c r="H1259" s="204"/>
      <c r="I1259" s="204"/>
      <c r="J1259" s="204"/>
      <c r="K1259" s="204"/>
      <c r="L1259" s="204"/>
      <c r="M1259" s="94"/>
    </row>
    <row r="1260" spans="1:16" ht="21.75" customHeight="1">
      <c r="A1260" s="348" t="s">
        <v>165</v>
      </c>
      <c r="B1260" s="348"/>
      <c r="C1260" s="348"/>
      <c r="D1260" s="348"/>
      <c r="E1260" s="348"/>
      <c r="F1260" s="348"/>
      <c r="G1260" s="348"/>
      <c r="H1260" s="348"/>
      <c r="I1260" s="348"/>
      <c r="J1260" s="348"/>
      <c r="K1260" s="348"/>
      <c r="L1260" s="348"/>
      <c r="M1260" s="82"/>
    </row>
    <row r="1261" spans="1:16" ht="19.5">
      <c r="A1261" s="84" t="str">
        <f>"Ngày "&amp;N1262&amp;" tháng "&amp;O3&amp;" năm "&amp;P3&amp;""</f>
        <v>Ngày 19 tháng 07 năm 2026</v>
      </c>
      <c r="B1261" s="84"/>
      <c r="C1261" s="85"/>
      <c r="N1261" s="216"/>
      <c r="O1261" s="20"/>
      <c r="P1261" s="20"/>
    </row>
    <row r="1262" spans="1:16" ht="16.5">
      <c r="A1262" s="337" t="s">
        <v>57</v>
      </c>
      <c r="B1262" s="337"/>
      <c r="C1262" s="337"/>
      <c r="D1262" s="311"/>
      <c r="E1262" s="311"/>
      <c r="F1262" s="311"/>
      <c r="G1262" s="95"/>
      <c r="H1262" s="95"/>
      <c r="I1262" s="95"/>
      <c r="J1262" s="95"/>
      <c r="K1262" s="95"/>
      <c r="L1262" s="95"/>
      <c r="N1262" s="217" t="s">
        <v>181</v>
      </c>
      <c r="O1262" s="214"/>
      <c r="P1262" s="17"/>
    </row>
    <row r="1263" spans="1:16" ht="15.75" customHeight="1">
      <c r="A1263" s="338"/>
      <c r="B1263" s="338"/>
      <c r="C1263" s="338"/>
      <c r="D1263" s="339" t="s">
        <v>58</v>
      </c>
      <c r="E1263" s="340"/>
      <c r="F1263" s="340"/>
      <c r="G1263" s="340"/>
      <c r="H1263" s="341"/>
      <c r="I1263" s="339" t="s">
        <v>59</v>
      </c>
      <c r="J1263" s="340"/>
      <c r="K1263" s="340"/>
      <c r="L1263" s="341"/>
    </row>
    <row r="1264" spans="1:16" ht="19.5" customHeight="1">
      <c r="A1264" s="342" t="s">
        <v>60</v>
      </c>
      <c r="B1264" s="342"/>
      <c r="C1264" s="342"/>
      <c r="D1264" s="343" t="s">
        <v>54</v>
      </c>
      <c r="E1264" s="344"/>
      <c r="F1264" s="344"/>
      <c r="G1264" s="344"/>
      <c r="H1264" s="345"/>
      <c r="I1264" s="343" t="s">
        <v>54</v>
      </c>
      <c r="J1264" s="344"/>
      <c r="K1264" s="344"/>
      <c r="L1264" s="345"/>
    </row>
    <row r="1265" spans="1:29" ht="22.5" customHeight="1">
      <c r="A1265" s="342" t="s">
        <v>61</v>
      </c>
      <c r="B1265" s="342"/>
      <c r="C1265" s="342"/>
      <c r="D1265" s="343" t="s">
        <v>163</v>
      </c>
      <c r="E1265" s="344"/>
      <c r="F1265" s="344"/>
      <c r="G1265" s="344"/>
      <c r="H1265" s="345"/>
      <c r="I1265" s="343" t="str">
        <f>D1265</f>
        <v>31° - 34°</v>
      </c>
      <c r="J1265" s="344"/>
      <c r="K1265" s="344"/>
      <c r="L1265" s="345"/>
    </row>
    <row r="1266" spans="1:29" s="87" customFormat="1" ht="19.5" customHeight="1">
      <c r="A1266" s="310" t="s">
        <v>62</v>
      </c>
      <c r="B1266" s="310"/>
      <c r="C1266" s="310"/>
      <c r="D1266" s="310"/>
      <c r="E1266" s="310"/>
      <c r="F1266" s="310"/>
      <c r="G1266" s="310"/>
      <c r="H1266" s="310"/>
      <c r="I1266" s="310"/>
      <c r="J1266" s="310"/>
      <c r="K1266" s="310"/>
      <c r="L1266" s="310"/>
      <c r="M1266" s="85"/>
      <c r="N1266" s="218"/>
    </row>
    <row r="1267" spans="1:29" s="87" customFormat="1" ht="15.75">
      <c r="A1267" s="332" t="s">
        <v>63</v>
      </c>
      <c r="B1267" s="332"/>
      <c r="C1267" s="332"/>
      <c r="D1267" s="332"/>
      <c r="E1267" s="332"/>
      <c r="F1267" s="332"/>
      <c r="G1267" s="332"/>
      <c r="H1267" s="332"/>
      <c r="I1267" s="332"/>
      <c r="J1267" s="332"/>
      <c r="K1267" s="332"/>
      <c r="L1267" s="332"/>
      <c r="M1267" s="85"/>
      <c r="N1267" s="218"/>
    </row>
    <row r="1268" spans="1:29" s="87" customFormat="1" ht="20.100000000000001" customHeight="1">
      <c r="A1268" s="88"/>
      <c r="B1268" s="88"/>
      <c r="C1268" s="333" t="s">
        <v>64</v>
      </c>
      <c r="D1268" s="334"/>
      <c r="E1268" s="334"/>
      <c r="F1268" s="334"/>
      <c r="G1268" s="334"/>
      <c r="H1268" s="334"/>
      <c r="I1268" s="334"/>
      <c r="J1268" s="334"/>
      <c r="K1268" s="334"/>
      <c r="L1268" s="334"/>
      <c r="M1268" s="85"/>
      <c r="N1268" s="218"/>
    </row>
    <row r="1269" spans="1:29" s="87" customFormat="1" ht="20.100000000000001" customHeight="1">
      <c r="A1269" s="88"/>
      <c r="B1269" s="88"/>
      <c r="C1269" s="333" t="s">
        <v>65</v>
      </c>
      <c r="D1269" s="334"/>
      <c r="E1269" s="334"/>
      <c r="F1269" s="334"/>
      <c r="G1269" s="334"/>
      <c r="H1269" s="334"/>
      <c r="I1269" s="334"/>
      <c r="J1269" s="334"/>
      <c r="K1269" s="334"/>
      <c r="L1269" s="334"/>
      <c r="M1269" s="85"/>
      <c r="N1269" s="218"/>
    </row>
    <row r="1270" spans="1:29" s="87" customFormat="1" ht="17.25" customHeight="1">
      <c r="A1270" s="335" t="s">
        <v>66</v>
      </c>
      <c r="B1270" s="335"/>
      <c r="C1270" s="335"/>
      <c r="D1270" s="335"/>
      <c r="E1270" s="335"/>
      <c r="F1270" s="335"/>
      <c r="G1270" s="335"/>
      <c r="H1270" s="335"/>
      <c r="I1270" s="335"/>
      <c r="J1270" s="335"/>
      <c r="K1270" s="335"/>
      <c r="L1270" s="335"/>
      <c r="M1270" s="85"/>
      <c r="N1270" s="218"/>
    </row>
    <row r="1271" spans="1:29" s="87" customFormat="1" ht="7.5" customHeight="1">
      <c r="A1271" s="119"/>
      <c r="B1271" s="119"/>
      <c r="C1271" s="119"/>
      <c r="D1271" s="119"/>
      <c r="E1271" s="119"/>
      <c r="F1271" s="119"/>
      <c r="G1271" s="119"/>
      <c r="H1271" s="119"/>
      <c r="I1271" s="119"/>
      <c r="J1271" s="119"/>
      <c r="K1271" s="119"/>
      <c r="L1271" s="119"/>
      <c r="M1271" s="85"/>
      <c r="N1271" s="218"/>
    </row>
    <row r="1272" spans="1:29" ht="15.75">
      <c r="A1272" s="336" t="s">
        <v>67</v>
      </c>
      <c r="B1272" s="336"/>
      <c r="C1272" s="336"/>
      <c r="D1272" s="336"/>
      <c r="E1272" s="336"/>
      <c r="F1272" s="336"/>
      <c r="G1272" s="336"/>
      <c r="H1272" s="336"/>
      <c r="I1272" s="336"/>
      <c r="J1272" s="336"/>
      <c r="K1272" s="336"/>
      <c r="L1272" s="336"/>
    </row>
    <row r="1273" spans="1:29" ht="2.25" customHeight="1">
      <c r="A1273" s="141"/>
      <c r="B1273" s="141"/>
      <c r="C1273" s="141"/>
      <c r="D1273" s="141"/>
      <c r="E1273" s="141"/>
      <c r="F1273" s="141"/>
      <c r="G1273" s="155"/>
      <c r="H1273" s="155"/>
      <c r="I1273" s="155"/>
      <c r="J1273" s="155"/>
      <c r="K1273" s="155"/>
      <c r="L1273" s="155"/>
    </row>
    <row r="1274" spans="1:29" ht="27.75" customHeight="1">
      <c r="A1274" s="317" t="s">
        <v>135</v>
      </c>
      <c r="B1274" s="318"/>
      <c r="C1274" s="317" t="s">
        <v>68</v>
      </c>
      <c r="D1274" s="318"/>
      <c r="E1274" s="183"/>
      <c r="F1274" s="321" t="s">
        <v>136</v>
      </c>
      <c r="G1274" s="322" t="s">
        <v>155</v>
      </c>
      <c r="H1274" s="323"/>
      <c r="I1274" s="323"/>
      <c r="J1274" s="322" t="s">
        <v>154</v>
      </c>
      <c r="K1274" s="323"/>
      <c r="L1274" s="324"/>
      <c r="M1274" s="92"/>
      <c r="O1274" s="325"/>
      <c r="P1274" s="325"/>
      <c r="Q1274" s="325"/>
      <c r="R1274" s="325"/>
      <c r="S1274" s="316"/>
      <c r="T1274" s="316"/>
      <c r="U1274" s="316"/>
      <c r="V1274" s="316"/>
      <c r="W1274" s="316"/>
      <c r="X1274" s="316"/>
      <c r="Y1274" s="316"/>
      <c r="Z1274" s="316"/>
      <c r="AA1274" s="316"/>
      <c r="AB1274" s="316"/>
      <c r="AC1274" s="316"/>
    </row>
    <row r="1275" spans="1:29" ht="125.25" customHeight="1">
      <c r="A1275" s="319"/>
      <c r="B1275" s="320"/>
      <c r="C1275" s="319"/>
      <c r="D1275" s="320"/>
      <c r="E1275" s="184"/>
      <c r="F1275" s="321"/>
      <c r="G1275" s="153" t="s">
        <v>151</v>
      </c>
      <c r="H1275" s="153" t="s">
        <v>152</v>
      </c>
      <c r="I1275" s="153" t="s">
        <v>153</v>
      </c>
      <c r="J1275" s="153" t="s">
        <v>151</v>
      </c>
      <c r="K1275" s="153" t="s">
        <v>152</v>
      </c>
      <c r="L1275" s="153" t="s">
        <v>153</v>
      </c>
      <c r="O1275" s="325"/>
      <c r="P1275" s="325"/>
      <c r="Q1275" s="325"/>
      <c r="R1275" s="325"/>
      <c r="S1275" s="193"/>
      <c r="T1275" s="193"/>
      <c r="U1275" s="193"/>
      <c r="V1275" s="193"/>
      <c r="W1275" s="193"/>
      <c r="X1275" s="193"/>
      <c r="Y1275" s="193"/>
      <c r="Z1275" s="193"/>
      <c r="AA1275" s="193"/>
      <c r="AB1275" s="193"/>
      <c r="AC1275" s="193"/>
    </row>
    <row r="1276" spans="1:29" ht="24.75" customHeight="1">
      <c r="A1276" s="190" t="s">
        <v>128</v>
      </c>
      <c r="B1276" s="142"/>
      <c r="C1276" s="330" t="s">
        <v>129</v>
      </c>
      <c r="D1276" s="330"/>
      <c r="E1276" s="330"/>
      <c r="F1276" s="330"/>
      <c r="G1276" s="330"/>
      <c r="H1276" s="330"/>
      <c r="I1276" s="330"/>
      <c r="J1276" s="330"/>
      <c r="K1276" s="330"/>
      <c r="L1276" s="330"/>
      <c r="M1276" s="93"/>
      <c r="O1276" s="156"/>
      <c r="P1276" s="142"/>
      <c r="Q1276" s="331"/>
      <c r="R1276" s="331"/>
      <c r="S1276" s="331"/>
      <c r="T1276" s="331"/>
      <c r="U1276" s="331"/>
      <c r="V1276" s="331"/>
      <c r="W1276" s="331"/>
      <c r="X1276" s="331"/>
      <c r="Y1276" s="331"/>
      <c r="Z1276" s="331"/>
      <c r="AA1276" s="331"/>
      <c r="AB1276" s="331"/>
      <c r="AC1276" s="331"/>
    </row>
    <row r="1277" spans="1:29" ht="20.100000000000001" customHeight="1">
      <c r="A1277" s="187">
        <v>1</v>
      </c>
      <c r="B1277" s="185" t="s">
        <v>69</v>
      </c>
      <c r="C1277" s="326" t="s">
        <v>70</v>
      </c>
      <c r="D1277" s="326"/>
      <c r="E1277" s="176"/>
      <c r="F1277" s="144" t="s">
        <v>71</v>
      </c>
      <c r="G1277" s="203" t="s">
        <v>156</v>
      </c>
      <c r="H1277" s="202" t="s">
        <v>156</v>
      </c>
      <c r="I1277" s="201">
        <v>1</v>
      </c>
      <c r="J1277" s="202" t="s">
        <v>156</v>
      </c>
      <c r="K1277" s="202" t="s">
        <v>156</v>
      </c>
      <c r="L1277" s="201">
        <v>1</v>
      </c>
      <c r="M1277" s="93"/>
      <c r="O1277" s="195"/>
      <c r="P1277" s="196"/>
      <c r="Q1277" s="327"/>
      <c r="R1277" s="327"/>
      <c r="S1277" s="86"/>
      <c r="T1277" s="86"/>
      <c r="U1277" s="86"/>
      <c r="V1277" s="86"/>
      <c r="W1277" s="194"/>
      <c r="X1277" s="194"/>
      <c r="Y1277" s="194"/>
      <c r="Z1277" s="194"/>
      <c r="AA1277" s="194"/>
      <c r="AB1277" s="194"/>
      <c r="AC1277" s="194"/>
    </row>
    <row r="1278" spans="1:29" ht="20.100000000000001" customHeight="1">
      <c r="A1278" s="187">
        <v>2</v>
      </c>
      <c r="B1278" s="185" t="s">
        <v>69</v>
      </c>
      <c r="C1278" s="326" t="s">
        <v>72</v>
      </c>
      <c r="D1278" s="326"/>
      <c r="E1278" s="176"/>
      <c r="F1278" s="144" t="s">
        <v>71</v>
      </c>
      <c r="G1278" s="203" t="s">
        <v>156</v>
      </c>
      <c r="H1278" s="202" t="s">
        <v>156</v>
      </c>
      <c r="I1278" s="202" t="s">
        <v>156</v>
      </c>
      <c r="J1278" s="202" t="s">
        <v>156</v>
      </c>
      <c r="K1278" s="202" t="s">
        <v>156</v>
      </c>
      <c r="L1278" s="202" t="s">
        <v>156</v>
      </c>
      <c r="M1278" s="93"/>
      <c r="O1278" s="195"/>
      <c r="P1278" s="196"/>
      <c r="Q1278" s="327"/>
      <c r="R1278" s="327"/>
      <c r="S1278" s="194"/>
      <c r="T1278" s="194"/>
      <c r="U1278" s="194"/>
      <c r="V1278" s="86"/>
      <c r="W1278" s="86"/>
      <c r="X1278" s="86"/>
      <c r="Y1278" s="86"/>
      <c r="Z1278" s="194"/>
      <c r="AA1278" s="194"/>
      <c r="AB1278" s="194"/>
      <c r="AC1278" s="194"/>
    </row>
    <row r="1279" spans="1:29" ht="20.100000000000001" customHeight="1">
      <c r="A1279" s="187">
        <v>3</v>
      </c>
      <c r="B1279" s="185" t="s">
        <v>69</v>
      </c>
      <c r="C1279" s="326" t="s">
        <v>73</v>
      </c>
      <c r="D1279" s="326"/>
      <c r="E1279" s="176"/>
      <c r="F1279" s="144" t="s">
        <v>71</v>
      </c>
      <c r="G1279" s="203" t="s">
        <v>156</v>
      </c>
      <c r="H1279" s="202" t="s">
        <v>156</v>
      </c>
      <c r="I1279" s="202" t="s">
        <v>156</v>
      </c>
      <c r="J1279" s="202" t="s">
        <v>156</v>
      </c>
      <c r="K1279" s="202" t="s">
        <v>156</v>
      </c>
      <c r="L1279" s="202" t="s">
        <v>156</v>
      </c>
      <c r="M1279" s="93"/>
      <c r="O1279" s="195"/>
      <c r="P1279" s="196"/>
      <c r="Q1279" s="327"/>
      <c r="R1279" s="327"/>
      <c r="S1279" s="194"/>
      <c r="T1279" s="86"/>
      <c r="U1279" s="86"/>
      <c r="V1279" s="86"/>
      <c r="W1279" s="86"/>
      <c r="X1279" s="194"/>
      <c r="Y1279" s="194"/>
      <c r="Z1279" s="194"/>
      <c r="AA1279" s="194"/>
      <c r="AB1279" s="194"/>
      <c r="AC1279" s="194"/>
    </row>
    <row r="1280" spans="1:29" ht="20.100000000000001" customHeight="1">
      <c r="A1280" s="187">
        <v>4</v>
      </c>
      <c r="B1280" s="185" t="s">
        <v>69</v>
      </c>
      <c r="C1280" s="326" t="s">
        <v>98</v>
      </c>
      <c r="D1280" s="326"/>
      <c r="E1280" s="176"/>
      <c r="F1280" s="144" t="s">
        <v>71</v>
      </c>
      <c r="G1280" s="203" t="s">
        <v>156</v>
      </c>
      <c r="H1280" s="202" t="s">
        <v>156</v>
      </c>
      <c r="I1280" s="202" t="s">
        <v>156</v>
      </c>
      <c r="J1280" s="202" t="s">
        <v>156</v>
      </c>
      <c r="K1280" s="202" t="s">
        <v>156</v>
      </c>
      <c r="L1280" s="202" t="s">
        <v>156</v>
      </c>
      <c r="M1280" s="93"/>
      <c r="O1280" s="195"/>
      <c r="P1280" s="196"/>
      <c r="Q1280" s="327"/>
      <c r="R1280" s="327"/>
      <c r="S1280" s="194"/>
      <c r="T1280" s="194"/>
      <c r="U1280" s="194"/>
      <c r="V1280" s="194"/>
      <c r="W1280" s="194"/>
      <c r="X1280" s="194"/>
      <c r="Y1280" s="194"/>
      <c r="Z1280" s="86"/>
      <c r="AA1280" s="86"/>
      <c r="AB1280" s="86"/>
      <c r="AC1280" s="86"/>
    </row>
    <row r="1281" spans="1:29" ht="20.100000000000001" customHeight="1">
      <c r="A1281" s="187">
        <v>5</v>
      </c>
      <c r="B1281" s="185" t="s">
        <v>69</v>
      </c>
      <c r="C1281" s="326" t="s">
        <v>74</v>
      </c>
      <c r="D1281" s="326"/>
      <c r="E1281" s="176"/>
      <c r="F1281" s="144" t="s">
        <v>71</v>
      </c>
      <c r="G1281" s="203" t="s">
        <v>156</v>
      </c>
      <c r="H1281" s="202" t="s">
        <v>156</v>
      </c>
      <c r="I1281" s="202" t="s">
        <v>156</v>
      </c>
      <c r="J1281" s="202" t="s">
        <v>156</v>
      </c>
      <c r="K1281" s="202" t="s">
        <v>156</v>
      </c>
      <c r="L1281" s="202" t="s">
        <v>156</v>
      </c>
      <c r="M1281" s="93"/>
      <c r="O1281" s="195"/>
      <c r="P1281" s="196"/>
      <c r="Q1281" s="327"/>
      <c r="R1281" s="327"/>
      <c r="S1281" s="194"/>
      <c r="T1281" s="194"/>
      <c r="U1281" s="194"/>
      <c r="V1281" s="194"/>
      <c r="W1281" s="194"/>
      <c r="X1281" s="194"/>
      <c r="Y1281" s="194"/>
      <c r="Z1281" s="194"/>
      <c r="AA1281" s="194"/>
      <c r="AB1281" s="194"/>
      <c r="AC1281" s="194"/>
    </row>
    <row r="1282" spans="1:29" ht="20.100000000000001" customHeight="1">
      <c r="A1282" s="187">
        <v>6</v>
      </c>
      <c r="B1282" s="185" t="s">
        <v>69</v>
      </c>
      <c r="C1282" s="326" t="s">
        <v>75</v>
      </c>
      <c r="D1282" s="326"/>
      <c r="E1282" s="176"/>
      <c r="F1282" s="144" t="s">
        <v>71</v>
      </c>
      <c r="G1282" s="203" t="s">
        <v>156</v>
      </c>
      <c r="H1282" s="202" t="s">
        <v>156</v>
      </c>
      <c r="I1282" s="202" t="s">
        <v>156</v>
      </c>
      <c r="J1282" s="202" t="s">
        <v>156</v>
      </c>
      <c r="K1282" s="202" t="s">
        <v>156</v>
      </c>
      <c r="L1282" s="202" t="s">
        <v>156</v>
      </c>
      <c r="M1282" s="93"/>
      <c r="O1282" s="195"/>
      <c r="P1282" s="196"/>
      <c r="Q1282" s="327"/>
      <c r="R1282" s="327"/>
      <c r="S1282" s="194"/>
      <c r="T1282" s="194"/>
      <c r="U1282" s="194"/>
      <c r="V1282" s="194"/>
      <c r="W1282" s="194"/>
      <c r="X1282" s="194"/>
      <c r="Y1282" s="194"/>
      <c r="Z1282" s="194"/>
      <c r="AA1282" s="194"/>
      <c r="AB1282" s="194"/>
      <c r="AC1282" s="194"/>
    </row>
    <row r="1283" spans="1:29" ht="20.100000000000001" customHeight="1">
      <c r="A1283" s="187">
        <v>7</v>
      </c>
      <c r="B1283" s="185" t="s">
        <v>69</v>
      </c>
      <c r="C1283" s="326" t="s">
        <v>76</v>
      </c>
      <c r="D1283" s="326"/>
      <c r="E1283" s="176"/>
      <c r="F1283" s="144" t="s">
        <v>71</v>
      </c>
      <c r="G1283" s="203" t="s">
        <v>156</v>
      </c>
      <c r="H1283" s="202" t="s">
        <v>156</v>
      </c>
      <c r="I1283" s="202" t="s">
        <v>156</v>
      </c>
      <c r="J1283" s="202" t="s">
        <v>156</v>
      </c>
      <c r="K1283" s="202" t="s">
        <v>156</v>
      </c>
      <c r="L1283" s="202" t="s">
        <v>156</v>
      </c>
      <c r="M1283" s="93"/>
      <c r="O1283" s="195"/>
      <c r="P1283" s="196"/>
      <c r="Q1283" s="327"/>
      <c r="R1283" s="327"/>
      <c r="S1283" s="194"/>
      <c r="T1283" s="194"/>
      <c r="U1283" s="194"/>
      <c r="V1283" s="194"/>
      <c r="W1283" s="194"/>
      <c r="X1283" s="194"/>
      <c r="Y1283" s="194"/>
      <c r="Z1283" s="194"/>
      <c r="AA1283" s="194"/>
      <c r="AB1283" s="194"/>
      <c r="AC1283" s="194"/>
    </row>
    <row r="1284" spans="1:29" ht="20.100000000000001" customHeight="1">
      <c r="A1284" s="187">
        <v>8</v>
      </c>
      <c r="B1284" s="185" t="s">
        <v>69</v>
      </c>
      <c r="C1284" s="326" t="s">
        <v>99</v>
      </c>
      <c r="D1284" s="326"/>
      <c r="E1284" s="176"/>
      <c r="F1284" s="144" t="s">
        <v>71</v>
      </c>
      <c r="G1284" s="203" t="s">
        <v>156</v>
      </c>
      <c r="H1284" s="202" t="s">
        <v>156</v>
      </c>
      <c r="I1284" s="202" t="s">
        <v>156</v>
      </c>
      <c r="J1284" s="202" t="s">
        <v>156</v>
      </c>
      <c r="K1284" s="202" t="s">
        <v>156</v>
      </c>
      <c r="L1284" s="202" t="s">
        <v>156</v>
      </c>
      <c r="M1284" s="93"/>
      <c r="O1284" s="195"/>
      <c r="P1284" s="196"/>
      <c r="Q1284" s="327"/>
      <c r="R1284" s="327"/>
      <c r="S1284" s="194"/>
      <c r="T1284" s="194"/>
      <c r="U1284" s="194"/>
      <c r="V1284" s="194"/>
      <c r="W1284" s="194"/>
      <c r="X1284" s="194"/>
      <c r="Y1284" s="194"/>
      <c r="Z1284" s="194"/>
      <c r="AA1284" s="194"/>
      <c r="AB1284" s="194"/>
      <c r="AC1284" s="194"/>
    </row>
    <row r="1285" spans="1:29" ht="20.100000000000001" customHeight="1">
      <c r="A1285" s="187">
        <v>9</v>
      </c>
      <c r="B1285" s="185" t="s">
        <v>69</v>
      </c>
      <c r="C1285" s="326" t="s">
        <v>77</v>
      </c>
      <c r="D1285" s="326"/>
      <c r="E1285" s="176"/>
      <c r="F1285" s="144" t="s">
        <v>71</v>
      </c>
      <c r="G1285" s="203" t="s">
        <v>156</v>
      </c>
      <c r="H1285" s="202" t="s">
        <v>156</v>
      </c>
      <c r="I1285" s="202" t="s">
        <v>156</v>
      </c>
      <c r="J1285" s="202" t="s">
        <v>156</v>
      </c>
      <c r="K1285" s="202" t="s">
        <v>156</v>
      </c>
      <c r="L1285" s="202" t="s">
        <v>156</v>
      </c>
      <c r="M1285" s="93"/>
      <c r="O1285" s="195"/>
      <c r="P1285" s="196"/>
      <c r="Q1285" s="327"/>
      <c r="R1285" s="327"/>
      <c r="S1285" s="194"/>
      <c r="T1285" s="194"/>
      <c r="U1285" s="194"/>
      <c r="V1285" s="194"/>
      <c r="W1285" s="194"/>
      <c r="X1285" s="194"/>
      <c r="Y1285" s="194"/>
      <c r="Z1285" s="194"/>
      <c r="AA1285" s="194"/>
      <c r="AB1285" s="194"/>
      <c r="AC1285" s="194"/>
    </row>
    <row r="1286" spans="1:29" ht="20.100000000000001" customHeight="1">
      <c r="A1286" s="187">
        <v>10</v>
      </c>
      <c r="B1286" s="185" t="s">
        <v>69</v>
      </c>
      <c r="C1286" s="326" t="s">
        <v>78</v>
      </c>
      <c r="D1286" s="326"/>
      <c r="E1286" s="176"/>
      <c r="F1286" s="144" t="s">
        <v>71</v>
      </c>
      <c r="G1286" s="203" t="s">
        <v>156</v>
      </c>
      <c r="H1286" s="202" t="s">
        <v>156</v>
      </c>
      <c r="I1286" s="202" t="s">
        <v>156</v>
      </c>
      <c r="J1286" s="202" t="s">
        <v>156</v>
      </c>
      <c r="K1286" s="202" t="s">
        <v>156</v>
      </c>
      <c r="L1286" s="202" t="s">
        <v>156</v>
      </c>
      <c r="M1286" s="93"/>
      <c r="O1286" s="195"/>
      <c r="P1286" s="196"/>
      <c r="Q1286" s="327"/>
      <c r="R1286" s="327"/>
      <c r="S1286" s="194"/>
      <c r="T1286" s="194"/>
      <c r="U1286" s="194"/>
      <c r="V1286" s="194"/>
      <c r="W1286" s="194"/>
      <c r="X1286" s="194"/>
      <c r="Y1286" s="194"/>
      <c r="Z1286" s="194"/>
      <c r="AA1286" s="194"/>
      <c r="AB1286" s="194"/>
      <c r="AC1286" s="194"/>
    </row>
    <row r="1287" spans="1:29" ht="20.100000000000001" customHeight="1">
      <c r="A1287" s="187">
        <v>11</v>
      </c>
      <c r="B1287" s="185" t="s">
        <v>69</v>
      </c>
      <c r="C1287" s="326" t="s">
        <v>79</v>
      </c>
      <c r="D1287" s="326"/>
      <c r="E1287" s="176"/>
      <c r="F1287" s="144" t="s">
        <v>71</v>
      </c>
      <c r="G1287" s="203" t="s">
        <v>156</v>
      </c>
      <c r="H1287" s="202" t="s">
        <v>156</v>
      </c>
      <c r="I1287" s="202" t="s">
        <v>156</v>
      </c>
      <c r="J1287" s="202" t="s">
        <v>156</v>
      </c>
      <c r="K1287" s="202" t="s">
        <v>156</v>
      </c>
      <c r="L1287" s="202" t="s">
        <v>156</v>
      </c>
      <c r="M1287" s="93"/>
      <c r="O1287" s="195"/>
      <c r="P1287" s="196"/>
      <c r="Q1287" s="327"/>
      <c r="R1287" s="327"/>
      <c r="S1287" s="194"/>
      <c r="T1287" s="194"/>
      <c r="U1287" s="194"/>
      <c r="V1287" s="194"/>
      <c r="W1287" s="194"/>
      <c r="X1287" s="194"/>
      <c r="Y1287" s="194"/>
      <c r="Z1287" s="194"/>
      <c r="AA1287" s="194"/>
      <c r="AB1287" s="194"/>
      <c r="AC1287" s="194"/>
    </row>
    <row r="1288" spans="1:29" ht="20.100000000000001" customHeight="1">
      <c r="A1288" s="187">
        <v>12</v>
      </c>
      <c r="B1288" s="185" t="s">
        <v>69</v>
      </c>
      <c r="C1288" s="326" t="s">
        <v>100</v>
      </c>
      <c r="D1288" s="326"/>
      <c r="E1288" s="176"/>
      <c r="F1288" s="144" t="s">
        <v>71</v>
      </c>
      <c r="G1288" s="203" t="s">
        <v>156</v>
      </c>
      <c r="H1288" s="202" t="s">
        <v>156</v>
      </c>
      <c r="I1288" s="202" t="s">
        <v>156</v>
      </c>
      <c r="J1288" s="202" t="s">
        <v>156</v>
      </c>
      <c r="K1288" s="202" t="s">
        <v>156</v>
      </c>
      <c r="L1288" s="202" t="s">
        <v>156</v>
      </c>
      <c r="M1288" s="93"/>
      <c r="O1288" s="195"/>
      <c r="P1288" s="196"/>
      <c r="Q1288" s="327"/>
      <c r="R1288" s="327"/>
      <c r="S1288" s="194"/>
      <c r="T1288" s="194"/>
      <c r="U1288" s="194"/>
      <c r="V1288" s="194"/>
      <c r="W1288" s="194"/>
      <c r="X1288" s="194"/>
      <c r="Y1288" s="194"/>
      <c r="Z1288" s="194"/>
      <c r="AA1288" s="194"/>
      <c r="AB1288" s="194"/>
      <c r="AC1288" s="194"/>
    </row>
    <row r="1289" spans="1:29" ht="20.100000000000001" customHeight="1">
      <c r="A1289" s="187">
        <v>13</v>
      </c>
      <c r="B1289" s="185" t="s">
        <v>69</v>
      </c>
      <c r="C1289" s="326" t="s">
        <v>80</v>
      </c>
      <c r="D1289" s="326"/>
      <c r="E1289" s="176"/>
      <c r="F1289" s="144" t="s">
        <v>71</v>
      </c>
      <c r="G1289" s="203" t="s">
        <v>156</v>
      </c>
      <c r="H1289" s="202" t="s">
        <v>156</v>
      </c>
      <c r="I1289" s="202" t="s">
        <v>156</v>
      </c>
      <c r="J1289" s="202" t="s">
        <v>156</v>
      </c>
      <c r="K1289" s="202" t="s">
        <v>156</v>
      </c>
      <c r="L1289" s="202" t="s">
        <v>156</v>
      </c>
      <c r="M1289" s="93"/>
      <c r="O1289" s="195"/>
      <c r="P1289" s="196"/>
      <c r="Q1289" s="327"/>
      <c r="R1289" s="327"/>
      <c r="S1289" s="194"/>
      <c r="T1289" s="194"/>
      <c r="U1289" s="194"/>
      <c r="V1289" s="194"/>
      <c r="W1289" s="194"/>
      <c r="X1289" s="194"/>
      <c r="Y1289" s="194"/>
      <c r="Z1289" s="194"/>
      <c r="AA1289" s="194"/>
      <c r="AB1289" s="194"/>
      <c r="AC1289" s="194"/>
    </row>
    <row r="1290" spans="1:29" ht="20.100000000000001" customHeight="1">
      <c r="A1290" s="187">
        <v>14</v>
      </c>
      <c r="B1290" s="185" t="s">
        <v>69</v>
      </c>
      <c r="C1290" s="326" t="s">
        <v>91</v>
      </c>
      <c r="D1290" s="326"/>
      <c r="E1290" s="176"/>
      <c r="F1290" s="144" t="s">
        <v>71</v>
      </c>
      <c r="G1290" s="203" t="s">
        <v>156</v>
      </c>
      <c r="H1290" s="202" t="s">
        <v>156</v>
      </c>
      <c r="I1290" s="202" t="s">
        <v>156</v>
      </c>
      <c r="J1290" s="202" t="s">
        <v>156</v>
      </c>
      <c r="K1290" s="202" t="s">
        <v>156</v>
      </c>
      <c r="L1290" s="202" t="s">
        <v>156</v>
      </c>
      <c r="M1290" s="93"/>
      <c r="O1290" s="195"/>
      <c r="P1290" s="196"/>
      <c r="Q1290" s="327"/>
      <c r="R1290" s="327"/>
      <c r="S1290" s="194"/>
      <c r="T1290" s="194"/>
      <c r="U1290" s="194"/>
      <c r="V1290" s="194"/>
      <c r="W1290" s="194"/>
      <c r="X1290" s="194"/>
      <c r="Y1290" s="194"/>
      <c r="Z1290" s="194"/>
      <c r="AA1290" s="194"/>
      <c r="AB1290" s="194"/>
      <c r="AC1290" s="194"/>
    </row>
    <row r="1291" spans="1:29" ht="20.100000000000001" customHeight="1">
      <c r="A1291" s="187">
        <v>15</v>
      </c>
      <c r="B1291" s="185" t="s">
        <v>69</v>
      </c>
      <c r="C1291" s="326" t="s">
        <v>81</v>
      </c>
      <c r="D1291" s="326"/>
      <c r="E1291" s="176"/>
      <c r="F1291" s="144" t="s">
        <v>71</v>
      </c>
      <c r="G1291" s="203" t="s">
        <v>156</v>
      </c>
      <c r="H1291" s="202" t="s">
        <v>156</v>
      </c>
      <c r="I1291" s="202" t="s">
        <v>156</v>
      </c>
      <c r="J1291" s="202" t="s">
        <v>156</v>
      </c>
      <c r="K1291" s="202" t="s">
        <v>156</v>
      </c>
      <c r="L1291" s="202" t="s">
        <v>156</v>
      </c>
      <c r="M1291" s="93"/>
      <c r="O1291" s="195"/>
      <c r="P1291" s="196"/>
      <c r="Q1291" s="327"/>
      <c r="R1291" s="327"/>
      <c r="S1291" s="194"/>
      <c r="T1291" s="194"/>
      <c r="U1291" s="194"/>
      <c r="V1291" s="194"/>
      <c r="W1291" s="194"/>
      <c r="X1291" s="194"/>
      <c r="Y1291" s="194"/>
      <c r="Z1291" s="194"/>
      <c r="AA1291" s="194"/>
      <c r="AB1291" s="194"/>
      <c r="AC1291" s="194"/>
    </row>
    <row r="1292" spans="1:29" ht="20.100000000000001" customHeight="1">
      <c r="A1292" s="187">
        <v>16</v>
      </c>
      <c r="B1292" s="185" t="s">
        <v>69</v>
      </c>
      <c r="C1292" s="326" t="s">
        <v>101</v>
      </c>
      <c r="D1292" s="326"/>
      <c r="E1292" s="151"/>
      <c r="F1292" s="144" t="s">
        <v>71</v>
      </c>
      <c r="G1292" s="203" t="s">
        <v>156</v>
      </c>
      <c r="H1292" s="202" t="s">
        <v>156</v>
      </c>
      <c r="I1292" s="202" t="s">
        <v>156</v>
      </c>
      <c r="J1292" s="202" t="s">
        <v>156</v>
      </c>
      <c r="K1292" s="202" t="s">
        <v>156</v>
      </c>
      <c r="L1292" s="202" t="s">
        <v>156</v>
      </c>
      <c r="M1292" s="93"/>
      <c r="N1292" s="219"/>
      <c r="O1292" s="195"/>
      <c r="P1292" s="196"/>
      <c r="Q1292" s="327"/>
      <c r="R1292" s="327"/>
      <c r="S1292" s="197"/>
      <c r="T1292" s="197"/>
      <c r="U1292" s="197"/>
      <c r="V1292" s="197"/>
      <c r="W1292" s="197"/>
      <c r="X1292" s="197"/>
      <c r="Y1292" s="197"/>
      <c r="Z1292" s="197"/>
      <c r="AA1292" s="197"/>
      <c r="AB1292" s="197"/>
      <c r="AC1292" s="197"/>
    </row>
    <row r="1293" spans="1:29" ht="20.100000000000001" customHeight="1">
      <c r="A1293" s="187">
        <v>17</v>
      </c>
      <c r="B1293" s="186" t="s">
        <v>69</v>
      </c>
      <c r="C1293" s="326" t="s">
        <v>141</v>
      </c>
      <c r="D1293" s="326"/>
      <c r="E1293" s="151"/>
      <c r="F1293" s="144" t="s">
        <v>71</v>
      </c>
      <c r="G1293" s="203" t="s">
        <v>156</v>
      </c>
      <c r="H1293" s="202" t="s">
        <v>156</v>
      </c>
      <c r="I1293" s="202" t="s">
        <v>156</v>
      </c>
      <c r="J1293" s="202" t="s">
        <v>156</v>
      </c>
      <c r="K1293" s="202" t="s">
        <v>156</v>
      </c>
      <c r="L1293" s="202" t="s">
        <v>156</v>
      </c>
      <c r="M1293" s="93"/>
      <c r="N1293" s="219"/>
      <c r="O1293" s="195"/>
      <c r="P1293" s="104"/>
      <c r="Q1293" s="327"/>
      <c r="R1293" s="327"/>
      <c r="S1293" s="197"/>
      <c r="T1293" s="197"/>
      <c r="U1293" s="197"/>
      <c r="V1293" s="197"/>
      <c r="W1293" s="197"/>
      <c r="X1293" s="197"/>
      <c r="Y1293" s="197"/>
      <c r="Z1293" s="197"/>
      <c r="AA1293" s="197"/>
      <c r="AB1293" s="197"/>
      <c r="AC1293" s="197"/>
    </row>
    <row r="1294" spans="1:29" ht="20.100000000000001" customHeight="1">
      <c r="A1294" s="187">
        <v>18</v>
      </c>
      <c r="B1294" s="186" t="s">
        <v>69</v>
      </c>
      <c r="C1294" s="326" t="s">
        <v>142</v>
      </c>
      <c r="D1294" s="326"/>
      <c r="E1294" s="151"/>
      <c r="F1294" s="144" t="s">
        <v>71</v>
      </c>
      <c r="G1294" s="203" t="s">
        <v>156</v>
      </c>
      <c r="H1294" s="202" t="s">
        <v>156</v>
      </c>
      <c r="I1294" s="202" t="s">
        <v>156</v>
      </c>
      <c r="J1294" s="202" t="s">
        <v>156</v>
      </c>
      <c r="K1294" s="202" t="s">
        <v>156</v>
      </c>
      <c r="L1294" s="202" t="s">
        <v>156</v>
      </c>
      <c r="M1294" s="93"/>
      <c r="N1294" s="219"/>
      <c r="O1294" s="195"/>
      <c r="P1294" s="104"/>
      <c r="Q1294" s="327"/>
      <c r="R1294" s="327"/>
      <c r="S1294" s="197"/>
      <c r="T1294" s="197"/>
      <c r="U1294" s="197"/>
      <c r="V1294" s="197"/>
      <c r="W1294" s="197"/>
      <c r="X1294" s="197"/>
      <c r="Y1294" s="197"/>
      <c r="Z1294" s="197"/>
      <c r="AA1294" s="197"/>
      <c r="AB1294" s="197"/>
      <c r="AC1294" s="197"/>
    </row>
    <row r="1295" spans="1:29" ht="20.100000000000001" customHeight="1">
      <c r="A1295" s="187">
        <v>19</v>
      </c>
      <c r="B1295" s="186" t="s">
        <v>69</v>
      </c>
      <c r="C1295" s="326" t="s">
        <v>143</v>
      </c>
      <c r="D1295" s="326"/>
      <c r="E1295" s="151"/>
      <c r="F1295" s="144" t="s">
        <v>71</v>
      </c>
      <c r="G1295" s="203" t="s">
        <v>156</v>
      </c>
      <c r="H1295" s="202" t="s">
        <v>156</v>
      </c>
      <c r="I1295" s="202" t="s">
        <v>156</v>
      </c>
      <c r="J1295" s="202" t="s">
        <v>156</v>
      </c>
      <c r="K1295" s="202" t="s">
        <v>156</v>
      </c>
      <c r="L1295" s="202" t="s">
        <v>156</v>
      </c>
      <c r="M1295" s="93"/>
      <c r="N1295" s="219"/>
      <c r="O1295" s="195"/>
      <c r="P1295" s="104"/>
      <c r="Q1295" s="327"/>
      <c r="R1295" s="327"/>
      <c r="S1295" s="197"/>
      <c r="T1295" s="197"/>
      <c r="U1295" s="197"/>
      <c r="V1295" s="197"/>
      <c r="W1295" s="197"/>
      <c r="X1295" s="197"/>
      <c r="Y1295" s="197"/>
      <c r="Z1295" s="197"/>
      <c r="AA1295" s="197"/>
      <c r="AB1295" s="197"/>
      <c r="AC1295" s="197"/>
    </row>
    <row r="1296" spans="1:29" ht="20.100000000000001" customHeight="1">
      <c r="A1296" s="187">
        <v>20</v>
      </c>
      <c r="B1296" s="186" t="s">
        <v>69</v>
      </c>
      <c r="C1296" s="326" t="s">
        <v>102</v>
      </c>
      <c r="D1296" s="326"/>
      <c r="E1296" s="150"/>
      <c r="F1296" s="154" t="s">
        <v>71</v>
      </c>
      <c r="G1296" s="203" t="s">
        <v>156</v>
      </c>
      <c r="H1296" s="202" t="s">
        <v>156</v>
      </c>
      <c r="I1296" s="202" t="s">
        <v>156</v>
      </c>
      <c r="J1296" s="202" t="s">
        <v>156</v>
      </c>
      <c r="K1296" s="202" t="s">
        <v>156</v>
      </c>
      <c r="L1296" s="202" t="s">
        <v>156</v>
      </c>
      <c r="M1296" s="93"/>
      <c r="N1296" s="219"/>
      <c r="O1296" s="195"/>
      <c r="P1296" s="104"/>
      <c r="Q1296" s="327"/>
      <c r="R1296" s="327"/>
      <c r="S1296" s="197"/>
      <c r="T1296" s="197"/>
      <c r="U1296" s="197"/>
      <c r="V1296" s="197"/>
      <c r="W1296" s="197"/>
      <c r="X1296" s="197"/>
      <c r="Y1296" s="197"/>
      <c r="Z1296" s="197"/>
      <c r="AA1296" s="197"/>
      <c r="AB1296" s="197"/>
      <c r="AC1296" s="197"/>
    </row>
    <row r="1297" spans="1:29" ht="24.75" customHeight="1">
      <c r="A1297" s="190" t="s">
        <v>128</v>
      </c>
      <c r="B1297" s="142"/>
      <c r="C1297" s="330" t="s">
        <v>130</v>
      </c>
      <c r="D1297" s="330"/>
      <c r="E1297" s="330"/>
      <c r="F1297" s="330"/>
      <c r="G1297" s="330"/>
      <c r="H1297" s="330"/>
      <c r="I1297" s="330"/>
      <c r="J1297" s="330"/>
      <c r="K1297" s="330"/>
      <c r="L1297" s="330"/>
      <c r="M1297" s="93"/>
      <c r="O1297" s="156"/>
      <c r="P1297" s="142"/>
      <c r="Q1297" s="331"/>
      <c r="R1297" s="331"/>
      <c r="S1297" s="331"/>
      <c r="T1297" s="331"/>
      <c r="U1297" s="331"/>
      <c r="V1297" s="331"/>
      <c r="W1297" s="331"/>
      <c r="X1297" s="331"/>
      <c r="Y1297" s="331"/>
      <c r="Z1297" s="331"/>
      <c r="AA1297" s="331"/>
      <c r="AB1297" s="331"/>
      <c r="AC1297" s="331"/>
    </row>
    <row r="1298" spans="1:29" ht="33" customHeight="1">
      <c r="A1298" s="189">
        <v>21</v>
      </c>
      <c r="B1298" s="188" t="s">
        <v>69</v>
      </c>
      <c r="C1298" s="307" t="s">
        <v>82</v>
      </c>
      <c r="D1298" s="308"/>
      <c r="E1298" s="182"/>
      <c r="F1298" s="191" t="s">
        <v>71</v>
      </c>
      <c r="G1298" s="201">
        <v>58</v>
      </c>
      <c r="H1298" s="201">
        <v>40</v>
      </c>
      <c r="I1298" s="201">
        <v>21</v>
      </c>
      <c r="J1298" s="201">
        <v>58</v>
      </c>
      <c r="K1298" s="201">
        <v>40</v>
      </c>
      <c r="L1298" s="201">
        <v>21</v>
      </c>
      <c r="M1298" s="89"/>
      <c r="N1298" s="219"/>
      <c r="O1298" s="199"/>
      <c r="P1298" s="200"/>
      <c r="Q1298" s="309"/>
      <c r="R1298" s="309"/>
      <c r="S1298" s="86"/>
      <c r="T1298" s="86"/>
      <c r="U1298" s="86"/>
      <c r="V1298" s="86"/>
      <c r="W1298" s="86"/>
      <c r="X1298" s="86"/>
      <c r="Y1298" s="86"/>
      <c r="Z1298" s="86"/>
      <c r="AA1298" s="86"/>
      <c r="AB1298" s="86"/>
      <c r="AC1298" s="86"/>
    </row>
    <row r="1299" spans="1:29" ht="33" customHeight="1">
      <c r="A1299" s="189">
        <v>22</v>
      </c>
      <c r="B1299" s="188" t="s">
        <v>69</v>
      </c>
      <c r="C1299" s="307" t="s">
        <v>103</v>
      </c>
      <c r="D1299" s="308"/>
      <c r="E1299" s="179"/>
      <c r="F1299" s="191" t="s">
        <v>71</v>
      </c>
      <c r="G1299" s="201">
        <v>9</v>
      </c>
      <c r="H1299" s="201">
        <v>9</v>
      </c>
      <c r="I1299" s="201">
        <v>7</v>
      </c>
      <c r="J1299" s="201">
        <v>9</v>
      </c>
      <c r="K1299" s="201">
        <v>9</v>
      </c>
      <c r="L1299" s="201">
        <v>7</v>
      </c>
      <c r="M1299" s="89"/>
      <c r="N1299" s="219"/>
      <c r="O1299" s="199"/>
      <c r="P1299" s="200"/>
      <c r="Q1299" s="309"/>
      <c r="R1299" s="309"/>
      <c r="S1299" s="86"/>
      <c r="T1299" s="86"/>
      <c r="U1299" s="86"/>
      <c r="V1299" s="86"/>
      <c r="W1299" s="86"/>
      <c r="X1299" s="86"/>
      <c r="Y1299" s="86"/>
      <c r="Z1299" s="86"/>
      <c r="AA1299" s="86"/>
      <c r="AB1299" s="86"/>
      <c r="AC1299" s="86"/>
    </row>
    <row r="1300" spans="1:29" ht="33" customHeight="1">
      <c r="A1300" s="189">
        <v>23</v>
      </c>
      <c r="B1300" s="188" t="s">
        <v>69</v>
      </c>
      <c r="C1300" s="307" t="s">
        <v>104</v>
      </c>
      <c r="D1300" s="308"/>
      <c r="E1300" s="179"/>
      <c r="F1300" s="191" t="s">
        <v>71</v>
      </c>
      <c r="G1300" s="201">
        <v>5</v>
      </c>
      <c r="H1300" s="201">
        <v>1</v>
      </c>
      <c r="I1300" s="201">
        <v>1</v>
      </c>
      <c r="J1300" s="201">
        <v>5</v>
      </c>
      <c r="K1300" s="201">
        <v>1</v>
      </c>
      <c r="L1300" s="201">
        <v>1</v>
      </c>
      <c r="M1300" s="89"/>
      <c r="N1300" s="219"/>
      <c r="O1300" s="199"/>
      <c r="P1300" s="200"/>
      <c r="Q1300" s="309"/>
      <c r="R1300" s="309"/>
      <c r="S1300" s="86"/>
      <c r="T1300" s="86"/>
      <c r="U1300" s="86"/>
      <c r="V1300" s="86"/>
      <c r="W1300" s="86"/>
      <c r="X1300" s="86"/>
      <c r="Y1300" s="86"/>
      <c r="Z1300" s="86"/>
      <c r="AA1300" s="86"/>
      <c r="AB1300" s="86"/>
      <c r="AC1300" s="86"/>
    </row>
    <row r="1301" spans="1:29" ht="27.75" customHeight="1">
      <c r="A1301" s="317" t="s">
        <v>135</v>
      </c>
      <c r="B1301" s="318"/>
      <c r="C1301" s="317" t="s">
        <v>68</v>
      </c>
      <c r="D1301" s="318"/>
      <c r="E1301" s="183"/>
      <c r="F1301" s="321" t="s">
        <v>136</v>
      </c>
      <c r="G1301" s="322" t="s">
        <v>155</v>
      </c>
      <c r="H1301" s="323"/>
      <c r="I1301" s="323"/>
      <c r="J1301" s="322" t="s">
        <v>154</v>
      </c>
      <c r="K1301" s="323"/>
      <c r="L1301" s="324"/>
      <c r="M1301" s="92"/>
      <c r="O1301" s="325"/>
      <c r="P1301" s="325"/>
      <c r="Q1301" s="325"/>
      <c r="R1301" s="325"/>
      <c r="S1301" s="316"/>
      <c r="T1301" s="316"/>
      <c r="U1301" s="316"/>
      <c r="V1301" s="316"/>
      <c r="W1301" s="316"/>
      <c r="X1301" s="316"/>
      <c r="Y1301" s="316"/>
      <c r="Z1301" s="316"/>
      <c r="AA1301" s="316"/>
      <c r="AB1301" s="316"/>
      <c r="AC1301" s="316"/>
    </row>
    <row r="1302" spans="1:29" ht="125.25" customHeight="1">
      <c r="A1302" s="319"/>
      <c r="B1302" s="320"/>
      <c r="C1302" s="319"/>
      <c r="D1302" s="320"/>
      <c r="E1302" s="184"/>
      <c r="F1302" s="321"/>
      <c r="G1302" s="153" t="s">
        <v>151</v>
      </c>
      <c r="H1302" s="153" t="s">
        <v>152</v>
      </c>
      <c r="I1302" s="153" t="s">
        <v>153</v>
      </c>
      <c r="J1302" s="153" t="s">
        <v>151</v>
      </c>
      <c r="K1302" s="153" t="s">
        <v>152</v>
      </c>
      <c r="L1302" s="153" t="s">
        <v>153</v>
      </c>
      <c r="O1302" s="325"/>
      <c r="P1302" s="325"/>
      <c r="Q1302" s="325"/>
      <c r="R1302" s="325"/>
      <c r="S1302" s="193"/>
      <c r="T1302" s="193"/>
      <c r="U1302" s="193"/>
      <c r="V1302" s="193"/>
      <c r="W1302" s="193"/>
      <c r="X1302" s="193"/>
      <c r="Y1302" s="193"/>
      <c r="Z1302" s="193"/>
      <c r="AA1302" s="193"/>
      <c r="AB1302" s="193"/>
      <c r="AC1302" s="193"/>
    </row>
    <row r="1303" spans="1:29" ht="30" customHeight="1">
      <c r="A1303" s="189">
        <v>24</v>
      </c>
      <c r="B1303" s="188" t="s">
        <v>69</v>
      </c>
      <c r="C1303" s="307" t="s">
        <v>131</v>
      </c>
      <c r="D1303" s="308"/>
      <c r="E1303" s="179"/>
      <c r="F1303" s="191" t="s">
        <v>71</v>
      </c>
      <c r="G1303" s="202" t="s">
        <v>156</v>
      </c>
      <c r="H1303" s="202" t="s">
        <v>156</v>
      </c>
      <c r="I1303" s="202" t="s">
        <v>156</v>
      </c>
      <c r="J1303" s="202" t="s">
        <v>156</v>
      </c>
      <c r="K1303" s="202" t="s">
        <v>156</v>
      </c>
      <c r="L1303" s="202" t="s">
        <v>156</v>
      </c>
      <c r="M1303" s="89"/>
      <c r="N1303" s="219"/>
      <c r="O1303" s="199"/>
      <c r="P1303" s="200"/>
      <c r="Q1303" s="309"/>
      <c r="R1303" s="309"/>
      <c r="S1303" s="86"/>
      <c r="T1303" s="86"/>
      <c r="U1303" s="86"/>
      <c r="V1303" s="86"/>
      <c r="W1303" s="86"/>
      <c r="X1303" s="86"/>
      <c r="Y1303" s="86"/>
      <c r="Z1303" s="86"/>
      <c r="AA1303" s="86"/>
      <c r="AB1303" s="86"/>
      <c r="AC1303" s="86"/>
    </row>
    <row r="1304" spans="1:29" ht="30" customHeight="1">
      <c r="A1304" s="189">
        <v>25</v>
      </c>
      <c r="B1304" s="188" t="s">
        <v>69</v>
      </c>
      <c r="C1304" s="307" t="s">
        <v>83</v>
      </c>
      <c r="D1304" s="308"/>
      <c r="E1304" s="179"/>
      <c r="F1304" s="191" t="s">
        <v>71</v>
      </c>
      <c r="G1304" s="201">
        <v>25</v>
      </c>
      <c r="H1304" s="201">
        <v>40</v>
      </c>
      <c r="I1304" s="201">
        <v>22</v>
      </c>
      <c r="J1304" s="201">
        <v>25</v>
      </c>
      <c r="K1304" s="201">
        <v>40</v>
      </c>
      <c r="L1304" s="201">
        <v>22</v>
      </c>
      <c r="M1304" s="89"/>
      <c r="N1304" s="219"/>
      <c r="O1304" s="199"/>
      <c r="P1304" s="200"/>
      <c r="Q1304" s="309"/>
      <c r="R1304" s="309"/>
      <c r="S1304" s="86"/>
      <c r="T1304" s="86"/>
      <c r="U1304" s="86"/>
      <c r="V1304" s="86"/>
      <c r="W1304" s="86"/>
      <c r="X1304" s="86"/>
      <c r="Y1304" s="86"/>
      <c r="Z1304" s="86"/>
      <c r="AA1304" s="86"/>
      <c r="AB1304" s="86"/>
      <c r="AC1304" s="86"/>
    </row>
    <row r="1305" spans="1:29" ht="30" customHeight="1">
      <c r="A1305" s="189">
        <v>26</v>
      </c>
      <c r="B1305" s="188" t="s">
        <v>69</v>
      </c>
      <c r="C1305" s="307" t="s">
        <v>84</v>
      </c>
      <c r="D1305" s="308"/>
      <c r="E1305" s="179"/>
      <c r="F1305" s="191" t="s">
        <v>71</v>
      </c>
      <c r="G1305" s="201">
        <v>5</v>
      </c>
      <c r="H1305" s="202" t="s">
        <v>156</v>
      </c>
      <c r="I1305" s="202" t="s">
        <v>156</v>
      </c>
      <c r="J1305" s="201">
        <v>5</v>
      </c>
      <c r="K1305" s="202" t="s">
        <v>156</v>
      </c>
      <c r="L1305" s="202" t="s">
        <v>156</v>
      </c>
      <c r="M1305" s="89"/>
      <c r="N1305" s="219"/>
      <c r="O1305" s="199"/>
      <c r="P1305" s="200"/>
      <c r="Q1305" s="309"/>
      <c r="R1305" s="309"/>
      <c r="S1305" s="86"/>
      <c r="T1305" s="86"/>
      <c r="U1305" s="86"/>
      <c r="V1305" s="86"/>
      <c r="W1305" s="86"/>
      <c r="X1305" s="86"/>
      <c r="Y1305" s="86"/>
      <c r="Z1305" s="86"/>
      <c r="AA1305" s="86"/>
      <c r="AB1305" s="86"/>
      <c r="AC1305" s="86"/>
    </row>
    <row r="1306" spans="1:29" ht="30" customHeight="1">
      <c r="A1306" s="189">
        <v>27</v>
      </c>
      <c r="B1306" s="188" t="s">
        <v>69</v>
      </c>
      <c r="C1306" s="307" t="s">
        <v>85</v>
      </c>
      <c r="D1306" s="308"/>
      <c r="E1306" s="179"/>
      <c r="F1306" s="191" t="s">
        <v>71</v>
      </c>
      <c r="G1306" s="201">
        <v>3</v>
      </c>
      <c r="H1306" s="201">
        <v>1</v>
      </c>
      <c r="I1306" s="201">
        <v>8</v>
      </c>
      <c r="J1306" s="201">
        <v>3</v>
      </c>
      <c r="K1306" s="201">
        <v>1</v>
      </c>
      <c r="L1306" s="201">
        <v>8</v>
      </c>
      <c r="M1306" s="89"/>
      <c r="N1306" s="219"/>
      <c r="O1306" s="199"/>
      <c r="P1306" s="200"/>
      <c r="Q1306" s="309"/>
      <c r="R1306" s="309"/>
      <c r="S1306" s="86"/>
      <c r="T1306" s="86"/>
      <c r="U1306" s="86"/>
      <c r="V1306" s="86"/>
      <c r="W1306" s="86"/>
      <c r="X1306" s="86"/>
      <c r="Y1306" s="86"/>
      <c r="Z1306" s="86"/>
      <c r="AA1306" s="86"/>
      <c r="AB1306" s="86"/>
      <c r="AC1306" s="86"/>
    </row>
    <row r="1307" spans="1:29" ht="30" customHeight="1">
      <c r="A1307" s="189">
        <v>28</v>
      </c>
      <c r="B1307" s="188" t="s">
        <v>69</v>
      </c>
      <c r="C1307" s="307" t="s">
        <v>132</v>
      </c>
      <c r="D1307" s="308"/>
      <c r="E1307" s="179"/>
      <c r="F1307" s="191" t="s">
        <v>71</v>
      </c>
      <c r="G1307" s="202" t="s">
        <v>156</v>
      </c>
      <c r="H1307" s="202" t="s">
        <v>156</v>
      </c>
      <c r="I1307" s="202" t="s">
        <v>156</v>
      </c>
      <c r="J1307" s="202" t="s">
        <v>156</v>
      </c>
      <c r="K1307" s="202" t="s">
        <v>156</v>
      </c>
      <c r="L1307" s="202" t="s">
        <v>156</v>
      </c>
      <c r="M1307" s="89"/>
      <c r="N1307" s="219"/>
      <c r="O1307" s="199"/>
      <c r="P1307" s="200"/>
      <c r="Q1307" s="309"/>
      <c r="R1307" s="309"/>
      <c r="S1307" s="86"/>
      <c r="T1307" s="86"/>
      <c r="U1307" s="86"/>
      <c r="V1307" s="86"/>
      <c r="W1307" s="86"/>
      <c r="X1307" s="86"/>
      <c r="Y1307" s="86"/>
      <c r="Z1307" s="86"/>
      <c r="AA1307" s="86"/>
      <c r="AB1307" s="86"/>
      <c r="AC1307" s="86"/>
    </row>
    <row r="1308" spans="1:29" ht="30" customHeight="1">
      <c r="A1308" s="189">
        <v>29</v>
      </c>
      <c r="B1308" s="188" t="s">
        <v>69</v>
      </c>
      <c r="C1308" s="307" t="s">
        <v>86</v>
      </c>
      <c r="D1308" s="308"/>
      <c r="E1308" s="179"/>
      <c r="F1308" s="191" t="s">
        <v>71</v>
      </c>
      <c r="G1308" s="201">
        <v>10</v>
      </c>
      <c r="H1308" s="201">
        <v>12</v>
      </c>
      <c r="I1308" s="201">
        <v>9</v>
      </c>
      <c r="J1308" s="201">
        <v>10</v>
      </c>
      <c r="K1308" s="201">
        <v>12</v>
      </c>
      <c r="L1308" s="201">
        <v>9</v>
      </c>
      <c r="M1308" s="89"/>
      <c r="N1308" s="219"/>
      <c r="O1308" s="199"/>
      <c r="P1308" s="200"/>
      <c r="Q1308" s="309"/>
      <c r="R1308" s="309"/>
      <c r="S1308" s="86"/>
      <c r="T1308" s="86"/>
      <c r="U1308" s="86"/>
      <c r="V1308" s="86"/>
      <c r="W1308" s="86"/>
      <c r="X1308" s="86"/>
      <c r="Y1308" s="86"/>
      <c r="Z1308" s="86"/>
      <c r="AA1308" s="86"/>
      <c r="AB1308" s="86"/>
      <c r="AC1308" s="86"/>
    </row>
    <row r="1309" spans="1:29" ht="30" customHeight="1">
      <c r="A1309" s="189">
        <v>30</v>
      </c>
      <c r="B1309" s="188" t="s">
        <v>69</v>
      </c>
      <c r="C1309" s="307" t="s">
        <v>87</v>
      </c>
      <c r="D1309" s="308"/>
      <c r="E1309" s="179"/>
      <c r="F1309" s="191" t="s">
        <v>71</v>
      </c>
      <c r="G1309" s="202" t="s">
        <v>156</v>
      </c>
      <c r="H1309" s="202" t="s">
        <v>156</v>
      </c>
      <c r="I1309" s="202" t="s">
        <v>156</v>
      </c>
      <c r="J1309" s="202" t="s">
        <v>156</v>
      </c>
      <c r="K1309" s="202" t="s">
        <v>156</v>
      </c>
      <c r="L1309" s="202" t="s">
        <v>156</v>
      </c>
      <c r="M1309" s="89"/>
      <c r="N1309" s="219"/>
      <c r="O1309" s="199"/>
      <c r="P1309" s="200"/>
      <c r="Q1309" s="309"/>
      <c r="R1309" s="309"/>
      <c r="S1309" s="86"/>
      <c r="T1309" s="86"/>
      <c r="U1309" s="86"/>
      <c r="V1309" s="86"/>
      <c r="W1309" s="86"/>
      <c r="X1309" s="86"/>
      <c r="Y1309" s="86"/>
      <c r="Z1309" s="86"/>
      <c r="AA1309" s="86"/>
      <c r="AB1309" s="86"/>
      <c r="AC1309" s="86"/>
    </row>
    <row r="1310" spans="1:29" ht="30" customHeight="1">
      <c r="A1310" s="189">
        <v>31</v>
      </c>
      <c r="B1310" s="188" t="s">
        <v>69</v>
      </c>
      <c r="C1310" s="307" t="s">
        <v>105</v>
      </c>
      <c r="D1310" s="308"/>
      <c r="E1310" s="179"/>
      <c r="F1310" s="191" t="s">
        <v>71</v>
      </c>
      <c r="G1310" s="201">
        <v>2</v>
      </c>
      <c r="H1310" s="203" t="s">
        <v>156</v>
      </c>
      <c r="I1310" s="201">
        <v>8</v>
      </c>
      <c r="J1310" s="201">
        <v>2</v>
      </c>
      <c r="K1310" s="203" t="s">
        <v>156</v>
      </c>
      <c r="L1310" s="201">
        <v>8</v>
      </c>
      <c r="M1310" s="89"/>
      <c r="N1310" s="219"/>
      <c r="O1310" s="199"/>
      <c r="P1310" s="200"/>
      <c r="Q1310" s="309"/>
      <c r="R1310" s="309"/>
      <c r="S1310" s="86"/>
      <c r="T1310" s="86"/>
      <c r="U1310" s="86"/>
      <c r="V1310" s="86"/>
      <c r="W1310" s="86"/>
      <c r="X1310" s="86"/>
      <c r="Y1310" s="86"/>
      <c r="Z1310" s="86"/>
      <c r="AA1310" s="86"/>
      <c r="AB1310" s="86"/>
      <c r="AC1310" s="86"/>
    </row>
    <row r="1311" spans="1:29" ht="30" customHeight="1">
      <c r="A1311" s="189">
        <v>32</v>
      </c>
      <c r="B1311" s="188" t="s">
        <v>69</v>
      </c>
      <c r="C1311" s="307" t="s">
        <v>133</v>
      </c>
      <c r="D1311" s="308"/>
      <c r="E1311" s="179"/>
      <c r="F1311" s="191" t="s">
        <v>71</v>
      </c>
      <c r="G1311" s="202" t="s">
        <v>156</v>
      </c>
      <c r="H1311" s="202" t="s">
        <v>156</v>
      </c>
      <c r="I1311" s="202" t="s">
        <v>156</v>
      </c>
      <c r="J1311" s="202" t="s">
        <v>156</v>
      </c>
      <c r="K1311" s="202" t="s">
        <v>156</v>
      </c>
      <c r="L1311" s="202" t="s">
        <v>156</v>
      </c>
      <c r="M1311" s="89"/>
      <c r="N1311" s="219"/>
      <c r="O1311" s="199"/>
      <c r="P1311" s="200"/>
      <c r="Q1311" s="309"/>
      <c r="R1311" s="309"/>
      <c r="S1311" s="86"/>
      <c r="T1311" s="86"/>
      <c r="U1311" s="86"/>
      <c r="V1311" s="86"/>
      <c r="W1311" s="86"/>
      <c r="X1311" s="86"/>
      <c r="Y1311" s="86"/>
      <c r="Z1311" s="86"/>
      <c r="AA1311" s="86"/>
      <c r="AB1311" s="86"/>
      <c r="AC1311" s="86"/>
    </row>
    <row r="1312" spans="1:29" ht="30" customHeight="1">
      <c r="A1312" s="189">
        <v>33</v>
      </c>
      <c r="B1312" s="188" t="s">
        <v>69</v>
      </c>
      <c r="C1312" s="307" t="s">
        <v>88</v>
      </c>
      <c r="D1312" s="308"/>
      <c r="E1312" s="179"/>
      <c r="F1312" s="191" t="s">
        <v>71</v>
      </c>
      <c r="G1312" s="201">
        <v>3</v>
      </c>
      <c r="H1312" s="201">
        <v>7</v>
      </c>
      <c r="I1312" s="201">
        <v>7</v>
      </c>
      <c r="J1312" s="201">
        <v>3</v>
      </c>
      <c r="K1312" s="201">
        <v>7</v>
      </c>
      <c r="L1312" s="201">
        <v>7</v>
      </c>
      <c r="M1312" s="89"/>
      <c r="N1312" s="219"/>
      <c r="O1312" s="199"/>
      <c r="P1312" s="200"/>
      <c r="Q1312" s="309"/>
      <c r="R1312" s="309"/>
      <c r="S1312" s="86"/>
      <c r="T1312" s="86"/>
      <c r="U1312" s="86"/>
      <c r="V1312" s="86"/>
      <c r="W1312" s="86"/>
      <c r="X1312" s="86"/>
      <c r="Y1312" s="86"/>
      <c r="Z1312" s="86"/>
      <c r="AA1312" s="86"/>
      <c r="AB1312" s="86"/>
      <c r="AC1312" s="86"/>
    </row>
    <row r="1313" spans="1:29" ht="30" customHeight="1">
      <c r="A1313" s="189">
        <v>34</v>
      </c>
      <c r="B1313" s="188" t="s">
        <v>69</v>
      </c>
      <c r="C1313" s="307" t="s">
        <v>89</v>
      </c>
      <c r="D1313" s="308"/>
      <c r="E1313" s="179"/>
      <c r="F1313" s="191" t="s">
        <v>71</v>
      </c>
      <c r="G1313" s="202" t="s">
        <v>156</v>
      </c>
      <c r="H1313" s="202" t="s">
        <v>156</v>
      </c>
      <c r="I1313" s="202" t="s">
        <v>156</v>
      </c>
      <c r="J1313" s="202" t="s">
        <v>156</v>
      </c>
      <c r="K1313" s="202" t="s">
        <v>156</v>
      </c>
      <c r="L1313" s="202" t="s">
        <v>156</v>
      </c>
      <c r="M1313" s="89"/>
      <c r="N1313" s="219"/>
      <c r="O1313" s="199"/>
      <c r="P1313" s="200"/>
      <c r="Q1313" s="309"/>
      <c r="R1313" s="309"/>
      <c r="S1313" s="86"/>
      <c r="T1313" s="86"/>
      <c r="U1313" s="86"/>
      <c r="V1313" s="86"/>
      <c r="W1313" s="86"/>
      <c r="X1313" s="86"/>
      <c r="Y1313" s="86"/>
      <c r="Z1313" s="86"/>
      <c r="AA1313" s="86"/>
      <c r="AB1313" s="86"/>
      <c r="AC1313" s="86"/>
    </row>
    <row r="1314" spans="1:29" ht="30" customHeight="1">
      <c r="A1314" s="189">
        <v>35</v>
      </c>
      <c r="B1314" s="188" t="s">
        <v>69</v>
      </c>
      <c r="C1314" s="307" t="s">
        <v>140</v>
      </c>
      <c r="D1314" s="308"/>
      <c r="E1314" s="179"/>
      <c r="F1314" s="191" t="s">
        <v>71</v>
      </c>
      <c r="G1314" s="202" t="s">
        <v>156</v>
      </c>
      <c r="H1314" s="202" t="s">
        <v>156</v>
      </c>
      <c r="I1314" s="201">
        <v>3</v>
      </c>
      <c r="J1314" s="202" t="s">
        <v>156</v>
      </c>
      <c r="K1314" s="202" t="s">
        <v>156</v>
      </c>
      <c r="L1314" s="201">
        <v>3</v>
      </c>
      <c r="M1314" s="89"/>
      <c r="N1314" s="220"/>
      <c r="O1314" s="199"/>
      <c r="P1314" s="200"/>
      <c r="Q1314" s="309"/>
      <c r="R1314" s="309"/>
      <c r="S1314" s="86"/>
      <c r="T1314" s="86"/>
      <c r="U1314" s="86"/>
      <c r="V1314" s="86"/>
      <c r="W1314" s="86"/>
      <c r="X1314" s="86"/>
      <c r="Y1314" s="86"/>
      <c r="Z1314" s="86"/>
      <c r="AA1314" s="86"/>
      <c r="AB1314" s="86"/>
      <c r="AC1314" s="86"/>
    </row>
    <row r="1315" spans="1:29" ht="30" customHeight="1">
      <c r="A1315" s="189">
        <v>36</v>
      </c>
      <c r="B1315" s="188" t="s">
        <v>69</v>
      </c>
      <c r="C1315" s="307" t="s">
        <v>134</v>
      </c>
      <c r="D1315" s="308"/>
      <c r="E1315" s="179"/>
      <c r="F1315" s="191" t="s">
        <v>71</v>
      </c>
      <c r="G1315" s="202" t="s">
        <v>156</v>
      </c>
      <c r="H1315" s="202" t="s">
        <v>156</v>
      </c>
      <c r="I1315" s="202" t="s">
        <v>156</v>
      </c>
      <c r="J1315" s="202" t="s">
        <v>156</v>
      </c>
      <c r="K1315" s="202" t="s">
        <v>156</v>
      </c>
      <c r="L1315" s="202" t="s">
        <v>156</v>
      </c>
      <c r="M1315" s="89"/>
      <c r="N1315" s="220"/>
      <c r="O1315" s="199"/>
      <c r="P1315" s="200"/>
      <c r="Q1315" s="309"/>
      <c r="R1315" s="309"/>
      <c r="S1315" s="86"/>
      <c r="T1315" s="86"/>
      <c r="U1315" s="86"/>
      <c r="V1315" s="86"/>
      <c r="W1315" s="86"/>
      <c r="X1315" s="86"/>
      <c r="Y1315" s="86"/>
      <c r="Z1315" s="86"/>
      <c r="AA1315" s="86"/>
      <c r="AB1315" s="86"/>
      <c r="AC1315" s="86"/>
    </row>
    <row r="1316" spans="1:29" ht="30" customHeight="1">
      <c r="A1316" s="189">
        <v>37</v>
      </c>
      <c r="B1316" s="188" t="s">
        <v>69</v>
      </c>
      <c r="C1316" s="307" t="s">
        <v>90</v>
      </c>
      <c r="D1316" s="308"/>
      <c r="E1316" s="179"/>
      <c r="F1316" s="191" t="s">
        <v>71</v>
      </c>
      <c r="G1316" s="202" t="s">
        <v>156</v>
      </c>
      <c r="H1316" s="202" t="s">
        <v>156</v>
      </c>
      <c r="I1316" s="202" t="s">
        <v>156</v>
      </c>
      <c r="J1316" s="202" t="s">
        <v>156</v>
      </c>
      <c r="K1316" s="202" t="s">
        <v>156</v>
      </c>
      <c r="L1316" s="202" t="s">
        <v>156</v>
      </c>
      <c r="M1316" s="89"/>
      <c r="N1316" s="220"/>
      <c r="O1316" s="199"/>
      <c r="P1316" s="200"/>
      <c r="Q1316" s="309"/>
      <c r="R1316" s="309"/>
      <c r="S1316" s="86"/>
      <c r="T1316" s="86"/>
      <c r="U1316" s="86"/>
      <c r="V1316" s="86"/>
      <c r="W1316" s="86"/>
      <c r="X1316" s="86"/>
      <c r="Y1316" s="86"/>
      <c r="Z1316" s="86"/>
      <c r="AA1316" s="86"/>
      <c r="AB1316" s="86"/>
      <c r="AC1316" s="86"/>
    </row>
    <row r="1317" spans="1:29" ht="30" customHeight="1">
      <c r="A1317" s="189">
        <v>38</v>
      </c>
      <c r="B1317" s="188" t="s">
        <v>69</v>
      </c>
      <c r="C1317" s="307" t="s">
        <v>106</v>
      </c>
      <c r="D1317" s="308"/>
      <c r="E1317" s="150"/>
      <c r="F1317" s="191" t="s">
        <v>71</v>
      </c>
      <c r="G1317" s="202" t="s">
        <v>156</v>
      </c>
      <c r="H1317" s="202" t="s">
        <v>156</v>
      </c>
      <c r="I1317" s="202" t="s">
        <v>156</v>
      </c>
      <c r="J1317" s="202" t="s">
        <v>156</v>
      </c>
      <c r="K1317" s="202" t="s">
        <v>156</v>
      </c>
      <c r="L1317" s="202" t="s">
        <v>156</v>
      </c>
      <c r="M1317" s="89"/>
      <c r="N1317" s="220"/>
      <c r="O1317" s="199"/>
      <c r="P1317" s="200"/>
      <c r="Q1317" s="309"/>
      <c r="R1317" s="309"/>
      <c r="S1317" s="86"/>
      <c r="T1317" s="86"/>
      <c r="U1317" s="86"/>
      <c r="V1317" s="86"/>
      <c r="W1317" s="86"/>
      <c r="X1317" s="86"/>
      <c r="Y1317" s="86"/>
      <c r="Z1317" s="86"/>
      <c r="AA1317" s="86"/>
      <c r="AB1317" s="86"/>
      <c r="AC1317" s="86"/>
    </row>
    <row r="1318" spans="1:29" ht="25.5" customHeight="1">
      <c r="A1318" s="310" t="s">
        <v>92</v>
      </c>
      <c r="B1318" s="310"/>
      <c r="C1318" s="310"/>
      <c r="D1318" s="310"/>
      <c r="E1318" s="310"/>
      <c r="F1318" s="310"/>
      <c r="G1318" s="310"/>
      <c r="H1318" s="310"/>
      <c r="I1318" s="310"/>
      <c r="J1318" s="310"/>
      <c r="K1318" s="310"/>
      <c r="L1318" s="310"/>
      <c r="M1318" s="92"/>
    </row>
    <row r="1319" spans="1:29" ht="19.5" customHeight="1">
      <c r="A1319" s="139"/>
      <c r="B1319" s="139"/>
      <c r="C1319" s="140"/>
      <c r="D1319" s="140" t="s">
        <v>145</v>
      </c>
      <c r="E1319" s="140"/>
      <c r="F1319" s="152" t="s">
        <v>54</v>
      </c>
      <c r="G1319" s="152"/>
      <c r="H1319" s="152"/>
      <c r="I1319" s="152"/>
      <c r="J1319" s="152" t="s">
        <v>144</v>
      </c>
      <c r="K1319" s="152"/>
      <c r="L1319" s="140"/>
      <c r="M1319" s="94"/>
    </row>
    <row r="1320" spans="1:29" ht="28.5" customHeight="1">
      <c r="A1320" s="310" t="s">
        <v>93</v>
      </c>
      <c r="B1320" s="310"/>
      <c r="C1320" s="310"/>
      <c r="D1320" s="310"/>
      <c r="E1320" s="310"/>
      <c r="F1320" s="310"/>
      <c r="G1320" s="310"/>
      <c r="H1320" s="310"/>
      <c r="I1320" s="310"/>
      <c r="J1320" s="310"/>
      <c r="K1320" s="310"/>
      <c r="L1320" s="310"/>
      <c r="M1320" s="92"/>
      <c r="N1320" s="311"/>
      <c r="O1320" s="311"/>
      <c r="P1320" s="311"/>
    </row>
    <row r="1321" spans="1:29" ht="20.25" customHeight="1">
      <c r="A1321" s="139"/>
      <c r="B1321" s="139"/>
      <c r="C1321" s="139"/>
      <c r="D1321" s="140" t="s">
        <v>145</v>
      </c>
      <c r="E1321" s="140"/>
      <c r="F1321" s="152" t="s">
        <v>54</v>
      </c>
      <c r="G1321" s="152"/>
      <c r="H1321" s="152"/>
      <c r="I1321" s="152"/>
      <c r="J1321" s="152" t="s">
        <v>144</v>
      </c>
      <c r="K1321" s="152"/>
      <c r="L1321" s="139"/>
      <c r="M1321" s="94"/>
      <c r="N1321" s="221"/>
      <c r="O1321" s="95"/>
      <c r="P1321" s="95"/>
    </row>
    <row r="1322" spans="1:29" ht="26.25" customHeight="1">
      <c r="A1322" s="312" t="s">
        <v>94</v>
      </c>
      <c r="B1322" s="312"/>
      <c r="C1322" s="312"/>
      <c r="D1322" s="312"/>
      <c r="E1322" s="312"/>
      <c r="F1322" s="312"/>
      <c r="G1322" s="312"/>
      <c r="H1322" s="312"/>
      <c r="I1322" s="312"/>
      <c r="J1322" s="312"/>
      <c r="K1322" s="312"/>
      <c r="L1322" s="312"/>
      <c r="M1322" s="92"/>
    </row>
    <row r="1323" spans="1:29" ht="22.5" customHeight="1">
      <c r="A1323" s="120"/>
      <c r="B1323" s="120"/>
      <c r="C1323" s="120"/>
      <c r="D1323" s="120"/>
      <c r="E1323" s="120"/>
      <c r="F1323" s="120"/>
      <c r="G1323" s="120"/>
      <c r="H1323" s="120"/>
      <c r="I1323" s="120"/>
      <c r="J1323" s="120"/>
      <c r="K1323" s="120"/>
      <c r="L1323" s="120"/>
      <c r="M1323" s="94"/>
    </row>
    <row r="1324" spans="1:29" ht="22.5" customHeight="1">
      <c r="A1324" s="313" t="s">
        <v>95</v>
      </c>
      <c r="B1324" s="313"/>
      <c r="C1324" s="313"/>
      <c r="D1324" s="313"/>
      <c r="E1324" s="313"/>
      <c r="F1324" s="313"/>
      <c r="G1324" s="313"/>
      <c r="H1324" s="313"/>
      <c r="I1324" s="313"/>
      <c r="J1324" s="313"/>
      <c r="K1324" s="313"/>
      <c r="L1324" s="313"/>
      <c r="M1324" s="92"/>
    </row>
    <row r="1325" spans="1:29" ht="19.5" customHeight="1">
      <c r="A1325" s="97"/>
      <c r="B1325" s="97"/>
      <c r="C1325" s="145"/>
      <c r="D1325" s="97"/>
      <c r="E1325" s="97"/>
      <c r="F1325" s="97"/>
      <c r="G1325" s="97"/>
      <c r="H1325" s="97"/>
      <c r="I1325" s="97"/>
      <c r="J1325" s="97"/>
      <c r="K1325" s="97"/>
      <c r="L1325" s="97"/>
      <c r="M1325" s="94"/>
    </row>
    <row r="1326" spans="1:29" ht="5.25" customHeight="1">
      <c r="A1326" s="94"/>
      <c r="B1326" s="94"/>
      <c r="C1326" s="146"/>
      <c r="D1326" s="94"/>
      <c r="E1326" s="94"/>
      <c r="F1326" s="94"/>
      <c r="G1326" s="94"/>
      <c r="H1326" s="94"/>
      <c r="I1326" s="94"/>
      <c r="J1326" s="94"/>
      <c r="K1326" s="94"/>
      <c r="L1326" s="94"/>
      <c r="M1326" s="94"/>
    </row>
    <row r="1327" spans="1:29" ht="16.5" customHeight="1">
      <c r="A1327" s="314" t="s">
        <v>96</v>
      </c>
      <c r="B1327" s="314"/>
      <c r="C1327" s="314"/>
      <c r="D1327" s="314"/>
      <c r="E1327" s="98"/>
      <c r="F1327" s="98"/>
      <c r="G1327" s="98"/>
      <c r="H1327" s="315" t="s">
        <v>97</v>
      </c>
      <c r="I1327" s="315"/>
      <c r="J1327" s="315"/>
      <c r="K1327" s="315"/>
      <c r="L1327" s="315"/>
      <c r="M1327" s="94"/>
    </row>
    <row r="1328" spans="1:29" ht="95.1" customHeight="1">
      <c r="A1328" s="99"/>
      <c r="B1328" s="101" t="str">
        <f>B1258</f>
        <v>Ông Huỳnh Phước Hải        ….............</v>
      </c>
      <c r="C1328" s="147"/>
      <c r="D1328" s="99"/>
      <c r="E1328" s="81"/>
      <c r="F1328" s="100"/>
      <c r="G1328" s="100"/>
      <c r="H1328" s="306" t="str">
        <f>H1258</f>
        <v>Ông Phạm Tấn Việt          …..................</v>
      </c>
      <c r="I1328" s="306"/>
      <c r="J1328" s="306"/>
      <c r="K1328" s="306"/>
      <c r="L1328" s="306"/>
      <c r="M1328" s="94"/>
    </row>
    <row r="1329" spans="1:29" ht="51.75" customHeight="1">
      <c r="A1329" s="99"/>
      <c r="B1329" s="99"/>
      <c r="C1329" s="147"/>
      <c r="D1329" s="99"/>
      <c r="E1329" s="81"/>
      <c r="F1329" s="100"/>
      <c r="G1329" s="100"/>
      <c r="H1329" s="100"/>
      <c r="I1329" s="100"/>
      <c r="J1329" s="99"/>
      <c r="K1329" s="99"/>
      <c r="L1329" s="99"/>
      <c r="M1329" s="94"/>
    </row>
    <row r="1330" spans="1:29" ht="21.75" customHeight="1">
      <c r="A1330" s="348" t="s">
        <v>165</v>
      </c>
      <c r="B1330" s="348"/>
      <c r="C1330" s="348"/>
      <c r="D1330" s="348"/>
      <c r="E1330" s="348"/>
      <c r="F1330" s="348"/>
      <c r="G1330" s="348"/>
      <c r="H1330" s="348"/>
      <c r="I1330" s="348"/>
      <c r="J1330" s="348"/>
      <c r="K1330" s="348"/>
      <c r="L1330" s="348"/>
      <c r="M1330" s="82"/>
    </row>
    <row r="1331" spans="1:29" ht="19.5">
      <c r="A1331" s="84" t="str">
        <f>"Ngày "&amp;N1332&amp;" tháng "&amp;O3&amp;" năm "&amp;P3&amp;""</f>
        <v>Ngày 20 tháng 07 năm 2026</v>
      </c>
      <c r="B1331" s="84"/>
      <c r="C1331" s="85"/>
      <c r="N1331" s="216"/>
      <c r="O1331" s="20"/>
      <c r="P1331" s="20"/>
    </row>
    <row r="1332" spans="1:29" ht="16.5">
      <c r="A1332" s="337" t="s">
        <v>57</v>
      </c>
      <c r="B1332" s="337"/>
      <c r="C1332" s="337"/>
      <c r="D1332" s="311"/>
      <c r="E1332" s="311"/>
      <c r="F1332" s="311"/>
      <c r="G1332" s="95"/>
      <c r="H1332" s="95"/>
      <c r="I1332" s="95"/>
      <c r="J1332" s="95"/>
      <c r="K1332" s="95"/>
      <c r="L1332" s="95"/>
      <c r="N1332" s="217" t="s">
        <v>182</v>
      </c>
      <c r="O1332" s="214"/>
      <c r="P1332" s="17"/>
    </row>
    <row r="1333" spans="1:29" ht="15.75" customHeight="1">
      <c r="A1333" s="338"/>
      <c r="B1333" s="338"/>
      <c r="C1333" s="338"/>
      <c r="D1333" s="339" t="s">
        <v>58</v>
      </c>
      <c r="E1333" s="340"/>
      <c r="F1333" s="340"/>
      <c r="G1333" s="340"/>
      <c r="H1333" s="341"/>
      <c r="I1333" s="339" t="s">
        <v>59</v>
      </c>
      <c r="J1333" s="340"/>
      <c r="K1333" s="340"/>
      <c r="L1333" s="341"/>
    </row>
    <row r="1334" spans="1:29" ht="19.5" customHeight="1">
      <c r="A1334" s="342" t="s">
        <v>60</v>
      </c>
      <c r="B1334" s="342"/>
      <c r="C1334" s="342"/>
      <c r="D1334" s="343" t="s">
        <v>54</v>
      </c>
      <c r="E1334" s="344"/>
      <c r="F1334" s="344"/>
      <c r="G1334" s="344"/>
      <c r="H1334" s="345"/>
      <c r="I1334" s="343" t="s">
        <v>54</v>
      </c>
      <c r="J1334" s="344"/>
      <c r="K1334" s="344"/>
      <c r="L1334" s="345"/>
    </row>
    <row r="1335" spans="1:29" ht="22.5" customHeight="1">
      <c r="A1335" s="342" t="s">
        <v>61</v>
      </c>
      <c r="B1335" s="342"/>
      <c r="C1335" s="342"/>
      <c r="D1335" s="343" t="s">
        <v>163</v>
      </c>
      <c r="E1335" s="344"/>
      <c r="F1335" s="344"/>
      <c r="G1335" s="344"/>
      <c r="H1335" s="345"/>
      <c r="I1335" s="343" t="str">
        <f>D1335</f>
        <v>31° - 34°</v>
      </c>
      <c r="J1335" s="344"/>
      <c r="K1335" s="344"/>
      <c r="L1335" s="345"/>
    </row>
    <row r="1336" spans="1:29" s="87" customFormat="1" ht="19.5" customHeight="1">
      <c r="A1336" s="310" t="s">
        <v>62</v>
      </c>
      <c r="B1336" s="310"/>
      <c r="C1336" s="310"/>
      <c r="D1336" s="310"/>
      <c r="E1336" s="310"/>
      <c r="F1336" s="310"/>
      <c r="G1336" s="310"/>
      <c r="H1336" s="310"/>
      <c r="I1336" s="310"/>
      <c r="J1336" s="310"/>
      <c r="K1336" s="310"/>
      <c r="L1336" s="310"/>
      <c r="M1336" s="85"/>
      <c r="N1336" s="218"/>
    </row>
    <row r="1337" spans="1:29" s="87" customFormat="1" ht="15.75">
      <c r="A1337" s="332" t="s">
        <v>63</v>
      </c>
      <c r="B1337" s="332"/>
      <c r="C1337" s="332"/>
      <c r="D1337" s="332"/>
      <c r="E1337" s="332"/>
      <c r="F1337" s="332"/>
      <c r="G1337" s="332"/>
      <c r="H1337" s="332"/>
      <c r="I1337" s="332"/>
      <c r="J1337" s="332"/>
      <c r="K1337" s="332"/>
      <c r="L1337" s="332"/>
      <c r="M1337" s="85"/>
      <c r="N1337" s="218"/>
    </row>
    <row r="1338" spans="1:29" s="87" customFormat="1" ht="20.100000000000001" customHeight="1">
      <c r="A1338" s="88"/>
      <c r="B1338" s="88"/>
      <c r="C1338" s="333" t="s">
        <v>64</v>
      </c>
      <c r="D1338" s="334"/>
      <c r="E1338" s="334"/>
      <c r="F1338" s="334"/>
      <c r="G1338" s="334"/>
      <c r="H1338" s="334"/>
      <c r="I1338" s="334"/>
      <c r="J1338" s="334"/>
      <c r="K1338" s="334"/>
      <c r="L1338" s="334"/>
      <c r="M1338" s="85"/>
      <c r="N1338" s="218"/>
    </row>
    <row r="1339" spans="1:29" s="87" customFormat="1" ht="20.100000000000001" customHeight="1">
      <c r="A1339" s="88"/>
      <c r="B1339" s="88"/>
      <c r="C1339" s="333" t="s">
        <v>65</v>
      </c>
      <c r="D1339" s="334"/>
      <c r="E1339" s="334"/>
      <c r="F1339" s="334"/>
      <c r="G1339" s="334"/>
      <c r="H1339" s="334"/>
      <c r="I1339" s="334"/>
      <c r="J1339" s="334"/>
      <c r="K1339" s="334"/>
      <c r="L1339" s="334"/>
      <c r="M1339" s="85"/>
      <c r="N1339" s="218"/>
    </row>
    <row r="1340" spans="1:29" s="87" customFormat="1" ht="17.25" customHeight="1">
      <c r="A1340" s="335" t="s">
        <v>66</v>
      </c>
      <c r="B1340" s="335"/>
      <c r="C1340" s="335"/>
      <c r="D1340" s="335"/>
      <c r="E1340" s="335"/>
      <c r="F1340" s="335"/>
      <c r="G1340" s="335"/>
      <c r="H1340" s="335"/>
      <c r="I1340" s="335"/>
      <c r="J1340" s="335"/>
      <c r="K1340" s="335"/>
      <c r="L1340" s="335"/>
      <c r="M1340" s="85"/>
      <c r="N1340" s="218"/>
    </row>
    <row r="1341" spans="1:29" s="87" customFormat="1" ht="7.5" customHeight="1">
      <c r="A1341" s="119"/>
      <c r="B1341" s="119"/>
      <c r="C1341" s="119"/>
      <c r="D1341" s="119"/>
      <c r="E1341" s="119"/>
      <c r="F1341" s="119"/>
      <c r="G1341" s="119"/>
      <c r="H1341" s="119"/>
      <c r="I1341" s="119"/>
      <c r="J1341" s="119"/>
      <c r="K1341" s="119"/>
      <c r="L1341" s="119"/>
      <c r="M1341" s="85"/>
      <c r="N1341" s="218"/>
    </row>
    <row r="1342" spans="1:29" ht="15.75">
      <c r="A1342" s="336" t="s">
        <v>67</v>
      </c>
      <c r="B1342" s="336"/>
      <c r="C1342" s="336"/>
      <c r="D1342" s="336"/>
      <c r="E1342" s="336"/>
      <c r="F1342" s="336"/>
      <c r="G1342" s="336"/>
      <c r="H1342" s="336"/>
      <c r="I1342" s="336"/>
      <c r="J1342" s="336"/>
      <c r="K1342" s="336"/>
      <c r="L1342" s="336"/>
    </row>
    <row r="1343" spans="1:29" ht="2.25" customHeight="1">
      <c r="A1343" s="141"/>
      <c r="B1343" s="141"/>
      <c r="C1343" s="141"/>
      <c r="D1343" s="141"/>
      <c r="E1343" s="141"/>
      <c r="F1343" s="141"/>
      <c r="G1343" s="155"/>
      <c r="H1343" s="155"/>
      <c r="I1343" s="155"/>
      <c r="J1343" s="155"/>
      <c r="K1343" s="155"/>
      <c r="L1343" s="155"/>
    </row>
    <row r="1344" spans="1:29" ht="27.75" customHeight="1">
      <c r="A1344" s="317" t="s">
        <v>135</v>
      </c>
      <c r="B1344" s="318"/>
      <c r="C1344" s="317" t="s">
        <v>68</v>
      </c>
      <c r="D1344" s="318"/>
      <c r="E1344" s="183"/>
      <c r="F1344" s="321" t="s">
        <v>136</v>
      </c>
      <c r="G1344" s="322" t="s">
        <v>155</v>
      </c>
      <c r="H1344" s="323"/>
      <c r="I1344" s="323"/>
      <c r="J1344" s="322" t="s">
        <v>154</v>
      </c>
      <c r="K1344" s="323"/>
      <c r="L1344" s="324"/>
      <c r="M1344" s="92"/>
      <c r="O1344" s="325"/>
      <c r="P1344" s="325"/>
      <c r="Q1344" s="325"/>
      <c r="R1344" s="325"/>
      <c r="S1344" s="316"/>
      <c r="T1344" s="316"/>
      <c r="U1344" s="316"/>
      <c r="V1344" s="316"/>
      <c r="W1344" s="316"/>
      <c r="X1344" s="316"/>
      <c r="Y1344" s="316"/>
      <c r="Z1344" s="316"/>
      <c r="AA1344" s="316"/>
      <c r="AB1344" s="316"/>
      <c r="AC1344" s="316"/>
    </row>
    <row r="1345" spans="1:29" ht="125.25" customHeight="1">
      <c r="A1345" s="319"/>
      <c r="B1345" s="320"/>
      <c r="C1345" s="319"/>
      <c r="D1345" s="320"/>
      <c r="E1345" s="184"/>
      <c r="F1345" s="321"/>
      <c r="G1345" s="153" t="s">
        <v>151</v>
      </c>
      <c r="H1345" s="153" t="s">
        <v>152</v>
      </c>
      <c r="I1345" s="153" t="s">
        <v>153</v>
      </c>
      <c r="J1345" s="153" t="s">
        <v>151</v>
      </c>
      <c r="K1345" s="153" t="s">
        <v>152</v>
      </c>
      <c r="L1345" s="153" t="s">
        <v>153</v>
      </c>
      <c r="O1345" s="325"/>
      <c r="P1345" s="325"/>
      <c r="Q1345" s="325"/>
      <c r="R1345" s="325"/>
      <c r="S1345" s="193"/>
      <c r="T1345" s="193"/>
      <c r="U1345" s="193"/>
      <c r="V1345" s="193"/>
      <c r="W1345" s="193"/>
      <c r="X1345" s="193"/>
      <c r="Y1345" s="193"/>
      <c r="Z1345" s="193"/>
      <c r="AA1345" s="193"/>
      <c r="AB1345" s="193"/>
      <c r="AC1345" s="193"/>
    </row>
    <row r="1346" spans="1:29" ht="24.75" customHeight="1">
      <c r="A1346" s="190" t="s">
        <v>128</v>
      </c>
      <c r="B1346" s="142"/>
      <c r="C1346" s="330" t="s">
        <v>129</v>
      </c>
      <c r="D1346" s="330"/>
      <c r="E1346" s="330"/>
      <c r="F1346" s="330"/>
      <c r="G1346" s="330"/>
      <c r="H1346" s="330"/>
      <c r="I1346" s="330"/>
      <c r="J1346" s="330"/>
      <c r="K1346" s="330"/>
      <c r="L1346" s="330"/>
      <c r="M1346" s="93"/>
      <c r="O1346" s="156"/>
      <c r="P1346" s="142"/>
      <c r="Q1346" s="331"/>
      <c r="R1346" s="331"/>
      <c r="S1346" s="331"/>
      <c r="T1346" s="331"/>
      <c r="U1346" s="331"/>
      <c r="V1346" s="331"/>
      <c r="W1346" s="331"/>
      <c r="X1346" s="331"/>
      <c r="Y1346" s="331"/>
      <c r="Z1346" s="331"/>
      <c r="AA1346" s="331"/>
      <c r="AB1346" s="331"/>
      <c r="AC1346" s="331"/>
    </row>
    <row r="1347" spans="1:29" ht="20.100000000000001" customHeight="1">
      <c r="A1347" s="187">
        <v>1</v>
      </c>
      <c r="B1347" s="185" t="s">
        <v>69</v>
      </c>
      <c r="C1347" s="326" t="s">
        <v>70</v>
      </c>
      <c r="D1347" s="326"/>
      <c r="E1347" s="176"/>
      <c r="F1347" s="144" t="s">
        <v>71</v>
      </c>
      <c r="G1347" s="203" t="s">
        <v>156</v>
      </c>
      <c r="H1347" s="202" t="s">
        <v>156</v>
      </c>
      <c r="I1347" s="201">
        <v>1</v>
      </c>
      <c r="J1347" s="202" t="s">
        <v>156</v>
      </c>
      <c r="K1347" s="202" t="s">
        <v>156</v>
      </c>
      <c r="L1347" s="201">
        <v>1</v>
      </c>
      <c r="M1347" s="93"/>
      <c r="O1347" s="195"/>
      <c r="P1347" s="196"/>
      <c r="Q1347" s="327"/>
      <c r="R1347" s="327"/>
      <c r="S1347" s="86"/>
      <c r="T1347" s="86"/>
      <c r="U1347" s="86"/>
      <c r="V1347" s="86"/>
      <c r="W1347" s="194"/>
      <c r="X1347" s="194"/>
      <c r="Y1347" s="194"/>
      <c r="Z1347" s="194"/>
      <c r="AA1347" s="194"/>
      <c r="AB1347" s="194"/>
      <c r="AC1347" s="194"/>
    </row>
    <row r="1348" spans="1:29" ht="20.100000000000001" customHeight="1">
      <c r="A1348" s="187">
        <v>2</v>
      </c>
      <c r="B1348" s="185" t="s">
        <v>69</v>
      </c>
      <c r="C1348" s="326" t="s">
        <v>72</v>
      </c>
      <c r="D1348" s="326"/>
      <c r="E1348" s="176"/>
      <c r="F1348" s="144" t="s">
        <v>71</v>
      </c>
      <c r="G1348" s="203" t="s">
        <v>156</v>
      </c>
      <c r="H1348" s="202" t="s">
        <v>156</v>
      </c>
      <c r="I1348" s="202" t="s">
        <v>156</v>
      </c>
      <c r="J1348" s="202" t="s">
        <v>156</v>
      </c>
      <c r="K1348" s="202" t="s">
        <v>156</v>
      </c>
      <c r="L1348" s="202" t="s">
        <v>156</v>
      </c>
      <c r="M1348" s="93"/>
      <c r="O1348" s="195"/>
      <c r="P1348" s="196"/>
      <c r="Q1348" s="327"/>
      <c r="R1348" s="327"/>
      <c r="S1348" s="194"/>
      <c r="T1348" s="194"/>
      <c r="U1348" s="194"/>
      <c r="V1348" s="86"/>
      <c r="W1348" s="86"/>
      <c r="X1348" s="86"/>
      <c r="Y1348" s="86"/>
      <c r="Z1348" s="194"/>
      <c r="AA1348" s="194"/>
      <c r="AB1348" s="194"/>
      <c r="AC1348" s="194"/>
    </row>
    <row r="1349" spans="1:29" ht="20.100000000000001" customHeight="1">
      <c r="A1349" s="187">
        <v>3</v>
      </c>
      <c r="B1349" s="185" t="s">
        <v>69</v>
      </c>
      <c r="C1349" s="326" t="s">
        <v>73</v>
      </c>
      <c r="D1349" s="326"/>
      <c r="E1349" s="176"/>
      <c r="F1349" s="144" t="s">
        <v>71</v>
      </c>
      <c r="G1349" s="203" t="s">
        <v>156</v>
      </c>
      <c r="H1349" s="202" t="s">
        <v>156</v>
      </c>
      <c r="I1349" s="202" t="s">
        <v>156</v>
      </c>
      <c r="J1349" s="202" t="s">
        <v>156</v>
      </c>
      <c r="K1349" s="202" t="s">
        <v>156</v>
      </c>
      <c r="L1349" s="202" t="s">
        <v>156</v>
      </c>
      <c r="M1349" s="93"/>
      <c r="O1349" s="195"/>
      <c r="P1349" s="196"/>
      <c r="Q1349" s="327"/>
      <c r="R1349" s="327"/>
      <c r="S1349" s="194"/>
      <c r="T1349" s="86"/>
      <c r="U1349" s="86"/>
      <c r="V1349" s="86"/>
      <c r="W1349" s="86"/>
      <c r="X1349" s="194"/>
      <c r="Y1349" s="194"/>
      <c r="Z1349" s="194"/>
      <c r="AA1349" s="194"/>
      <c r="AB1349" s="194"/>
      <c r="AC1349" s="194"/>
    </row>
    <row r="1350" spans="1:29" ht="20.100000000000001" customHeight="1">
      <c r="A1350" s="187">
        <v>4</v>
      </c>
      <c r="B1350" s="185" t="s">
        <v>69</v>
      </c>
      <c r="C1350" s="326" t="s">
        <v>98</v>
      </c>
      <c r="D1350" s="326"/>
      <c r="E1350" s="176"/>
      <c r="F1350" s="144" t="s">
        <v>71</v>
      </c>
      <c r="G1350" s="203" t="s">
        <v>156</v>
      </c>
      <c r="H1350" s="202" t="s">
        <v>156</v>
      </c>
      <c r="I1350" s="202" t="s">
        <v>156</v>
      </c>
      <c r="J1350" s="202" t="s">
        <v>156</v>
      </c>
      <c r="K1350" s="202" t="s">
        <v>156</v>
      </c>
      <c r="L1350" s="202" t="s">
        <v>156</v>
      </c>
      <c r="M1350" s="93"/>
      <c r="O1350" s="195"/>
      <c r="P1350" s="196"/>
      <c r="Q1350" s="327"/>
      <c r="R1350" s="327"/>
      <c r="S1350" s="194"/>
      <c r="T1350" s="194"/>
      <c r="U1350" s="194"/>
      <c r="V1350" s="194"/>
      <c r="W1350" s="194"/>
      <c r="X1350" s="194"/>
      <c r="Y1350" s="194"/>
      <c r="Z1350" s="86"/>
      <c r="AA1350" s="86"/>
      <c r="AB1350" s="86"/>
      <c r="AC1350" s="86"/>
    </row>
    <row r="1351" spans="1:29" ht="20.100000000000001" customHeight="1">
      <c r="A1351" s="187">
        <v>5</v>
      </c>
      <c r="B1351" s="185" t="s">
        <v>69</v>
      </c>
      <c r="C1351" s="326" t="s">
        <v>74</v>
      </c>
      <c r="D1351" s="326"/>
      <c r="E1351" s="176"/>
      <c r="F1351" s="144" t="s">
        <v>71</v>
      </c>
      <c r="G1351" s="203" t="s">
        <v>156</v>
      </c>
      <c r="H1351" s="202" t="s">
        <v>156</v>
      </c>
      <c r="I1351" s="202" t="s">
        <v>156</v>
      </c>
      <c r="J1351" s="202" t="s">
        <v>156</v>
      </c>
      <c r="K1351" s="202" t="s">
        <v>156</v>
      </c>
      <c r="L1351" s="202" t="s">
        <v>156</v>
      </c>
      <c r="M1351" s="93"/>
      <c r="O1351" s="195"/>
      <c r="P1351" s="196"/>
      <c r="Q1351" s="327"/>
      <c r="R1351" s="327"/>
      <c r="S1351" s="194"/>
      <c r="T1351" s="194"/>
      <c r="U1351" s="194"/>
      <c r="V1351" s="194"/>
      <c r="W1351" s="194"/>
      <c r="X1351" s="194"/>
      <c r="Y1351" s="194"/>
      <c r="Z1351" s="194"/>
      <c r="AA1351" s="194"/>
      <c r="AB1351" s="194"/>
      <c r="AC1351" s="194"/>
    </row>
    <row r="1352" spans="1:29" ht="20.100000000000001" customHeight="1">
      <c r="A1352" s="187">
        <v>6</v>
      </c>
      <c r="B1352" s="185" t="s">
        <v>69</v>
      </c>
      <c r="C1352" s="326" t="s">
        <v>75</v>
      </c>
      <c r="D1352" s="326"/>
      <c r="E1352" s="176"/>
      <c r="F1352" s="144" t="s">
        <v>71</v>
      </c>
      <c r="G1352" s="203" t="s">
        <v>156</v>
      </c>
      <c r="H1352" s="202" t="s">
        <v>156</v>
      </c>
      <c r="I1352" s="202" t="s">
        <v>156</v>
      </c>
      <c r="J1352" s="202" t="s">
        <v>156</v>
      </c>
      <c r="K1352" s="202" t="s">
        <v>156</v>
      </c>
      <c r="L1352" s="202" t="s">
        <v>156</v>
      </c>
      <c r="M1352" s="93"/>
      <c r="O1352" s="195"/>
      <c r="P1352" s="196"/>
      <c r="Q1352" s="327"/>
      <c r="R1352" s="327"/>
      <c r="S1352" s="194"/>
      <c r="T1352" s="194"/>
      <c r="U1352" s="194"/>
      <c r="V1352" s="194"/>
      <c r="W1352" s="194"/>
      <c r="X1352" s="194"/>
      <c r="Y1352" s="194"/>
      <c r="Z1352" s="194"/>
      <c r="AA1352" s="194"/>
      <c r="AB1352" s="194"/>
      <c r="AC1352" s="194"/>
    </row>
    <row r="1353" spans="1:29" ht="20.100000000000001" customHeight="1">
      <c r="A1353" s="187">
        <v>7</v>
      </c>
      <c r="B1353" s="185" t="s">
        <v>69</v>
      </c>
      <c r="C1353" s="326" t="s">
        <v>76</v>
      </c>
      <c r="D1353" s="326"/>
      <c r="E1353" s="176"/>
      <c r="F1353" s="144" t="s">
        <v>71</v>
      </c>
      <c r="G1353" s="203" t="s">
        <v>156</v>
      </c>
      <c r="H1353" s="202" t="s">
        <v>156</v>
      </c>
      <c r="I1353" s="202" t="s">
        <v>156</v>
      </c>
      <c r="J1353" s="202" t="s">
        <v>156</v>
      </c>
      <c r="K1353" s="202" t="s">
        <v>156</v>
      </c>
      <c r="L1353" s="202" t="s">
        <v>156</v>
      </c>
      <c r="M1353" s="93"/>
      <c r="O1353" s="195"/>
      <c r="P1353" s="196"/>
      <c r="Q1353" s="327"/>
      <c r="R1353" s="327"/>
      <c r="S1353" s="194"/>
      <c r="T1353" s="194"/>
      <c r="U1353" s="194"/>
      <c r="V1353" s="194"/>
      <c r="W1353" s="194"/>
      <c r="X1353" s="194"/>
      <c r="Y1353" s="194"/>
      <c r="Z1353" s="194"/>
      <c r="AA1353" s="194"/>
      <c r="AB1353" s="194"/>
      <c r="AC1353" s="194"/>
    </row>
    <row r="1354" spans="1:29" ht="20.100000000000001" customHeight="1">
      <c r="A1354" s="187">
        <v>8</v>
      </c>
      <c r="B1354" s="185" t="s">
        <v>69</v>
      </c>
      <c r="C1354" s="326" t="s">
        <v>99</v>
      </c>
      <c r="D1354" s="326"/>
      <c r="E1354" s="176"/>
      <c r="F1354" s="144" t="s">
        <v>71</v>
      </c>
      <c r="G1354" s="203" t="s">
        <v>156</v>
      </c>
      <c r="H1354" s="202" t="s">
        <v>156</v>
      </c>
      <c r="I1354" s="202" t="s">
        <v>156</v>
      </c>
      <c r="J1354" s="202" t="s">
        <v>156</v>
      </c>
      <c r="K1354" s="202" t="s">
        <v>156</v>
      </c>
      <c r="L1354" s="202" t="s">
        <v>156</v>
      </c>
      <c r="M1354" s="93"/>
      <c r="O1354" s="195"/>
      <c r="P1354" s="196"/>
      <c r="Q1354" s="327"/>
      <c r="R1354" s="327"/>
      <c r="S1354" s="194"/>
      <c r="T1354" s="194"/>
      <c r="U1354" s="194"/>
      <c r="V1354" s="194"/>
      <c r="W1354" s="194"/>
      <c r="X1354" s="194"/>
      <c r="Y1354" s="194"/>
      <c r="Z1354" s="194"/>
      <c r="AA1354" s="194"/>
      <c r="AB1354" s="194"/>
      <c r="AC1354" s="194"/>
    </row>
    <row r="1355" spans="1:29" ht="20.100000000000001" customHeight="1">
      <c r="A1355" s="187">
        <v>9</v>
      </c>
      <c r="B1355" s="185" t="s">
        <v>69</v>
      </c>
      <c r="C1355" s="326" t="s">
        <v>77</v>
      </c>
      <c r="D1355" s="326"/>
      <c r="E1355" s="176"/>
      <c r="F1355" s="144" t="s">
        <v>71</v>
      </c>
      <c r="G1355" s="203" t="s">
        <v>156</v>
      </c>
      <c r="H1355" s="202" t="s">
        <v>156</v>
      </c>
      <c r="I1355" s="202" t="s">
        <v>156</v>
      </c>
      <c r="J1355" s="202" t="s">
        <v>156</v>
      </c>
      <c r="K1355" s="202" t="s">
        <v>156</v>
      </c>
      <c r="L1355" s="202" t="s">
        <v>156</v>
      </c>
      <c r="M1355" s="93"/>
      <c r="O1355" s="195"/>
      <c r="P1355" s="196"/>
      <c r="Q1355" s="327"/>
      <c r="R1355" s="327"/>
      <c r="S1355" s="194"/>
      <c r="T1355" s="194"/>
      <c r="U1355" s="194"/>
      <c r="V1355" s="194"/>
      <c r="W1355" s="194"/>
      <c r="X1355" s="194"/>
      <c r="Y1355" s="194"/>
      <c r="Z1355" s="194"/>
      <c r="AA1355" s="194"/>
      <c r="AB1355" s="194"/>
      <c r="AC1355" s="194"/>
    </row>
    <row r="1356" spans="1:29" ht="20.100000000000001" customHeight="1">
      <c r="A1356" s="187">
        <v>10</v>
      </c>
      <c r="B1356" s="185" t="s">
        <v>69</v>
      </c>
      <c r="C1356" s="326" t="s">
        <v>78</v>
      </c>
      <c r="D1356" s="326"/>
      <c r="E1356" s="176"/>
      <c r="F1356" s="144" t="s">
        <v>71</v>
      </c>
      <c r="G1356" s="203" t="s">
        <v>156</v>
      </c>
      <c r="H1356" s="202" t="s">
        <v>156</v>
      </c>
      <c r="I1356" s="202" t="s">
        <v>156</v>
      </c>
      <c r="J1356" s="202" t="s">
        <v>156</v>
      </c>
      <c r="K1356" s="202" t="s">
        <v>156</v>
      </c>
      <c r="L1356" s="202" t="s">
        <v>156</v>
      </c>
      <c r="M1356" s="93"/>
      <c r="O1356" s="195"/>
      <c r="P1356" s="196"/>
      <c r="Q1356" s="327"/>
      <c r="R1356" s="327"/>
      <c r="S1356" s="194"/>
      <c r="T1356" s="194"/>
      <c r="U1356" s="194"/>
      <c r="V1356" s="194"/>
      <c r="W1356" s="194"/>
      <c r="X1356" s="194"/>
      <c r="Y1356" s="194"/>
      <c r="Z1356" s="194"/>
      <c r="AA1356" s="194"/>
      <c r="AB1356" s="194"/>
      <c r="AC1356" s="194"/>
    </row>
    <row r="1357" spans="1:29" ht="20.100000000000001" customHeight="1">
      <c r="A1357" s="187">
        <v>11</v>
      </c>
      <c r="B1357" s="185" t="s">
        <v>69</v>
      </c>
      <c r="C1357" s="326" t="s">
        <v>79</v>
      </c>
      <c r="D1357" s="326"/>
      <c r="E1357" s="176"/>
      <c r="F1357" s="144" t="s">
        <v>71</v>
      </c>
      <c r="G1357" s="203" t="s">
        <v>156</v>
      </c>
      <c r="H1357" s="202" t="s">
        <v>156</v>
      </c>
      <c r="I1357" s="202" t="s">
        <v>156</v>
      </c>
      <c r="J1357" s="202" t="s">
        <v>156</v>
      </c>
      <c r="K1357" s="202" t="s">
        <v>156</v>
      </c>
      <c r="L1357" s="202" t="s">
        <v>156</v>
      </c>
      <c r="M1357" s="93"/>
      <c r="O1357" s="195"/>
      <c r="P1357" s="196"/>
      <c r="Q1357" s="327"/>
      <c r="R1357" s="327"/>
      <c r="S1357" s="194"/>
      <c r="T1357" s="194"/>
      <c r="U1357" s="194"/>
      <c r="V1357" s="194"/>
      <c r="W1357" s="194"/>
      <c r="X1357" s="194"/>
      <c r="Y1357" s="194"/>
      <c r="Z1357" s="194"/>
      <c r="AA1357" s="194"/>
      <c r="AB1357" s="194"/>
      <c r="AC1357" s="194"/>
    </row>
    <row r="1358" spans="1:29" ht="20.100000000000001" customHeight="1">
      <c r="A1358" s="187">
        <v>12</v>
      </c>
      <c r="B1358" s="185" t="s">
        <v>69</v>
      </c>
      <c r="C1358" s="326" t="s">
        <v>100</v>
      </c>
      <c r="D1358" s="326"/>
      <c r="E1358" s="176"/>
      <c r="F1358" s="144" t="s">
        <v>71</v>
      </c>
      <c r="G1358" s="203" t="s">
        <v>156</v>
      </c>
      <c r="H1358" s="202" t="s">
        <v>156</v>
      </c>
      <c r="I1358" s="202" t="s">
        <v>156</v>
      </c>
      <c r="J1358" s="202" t="s">
        <v>156</v>
      </c>
      <c r="K1358" s="202" t="s">
        <v>156</v>
      </c>
      <c r="L1358" s="202" t="s">
        <v>156</v>
      </c>
      <c r="M1358" s="93"/>
      <c r="O1358" s="195"/>
      <c r="P1358" s="196"/>
      <c r="Q1358" s="327"/>
      <c r="R1358" s="327"/>
      <c r="S1358" s="194"/>
      <c r="T1358" s="194"/>
      <c r="U1358" s="194"/>
      <c r="V1358" s="194"/>
      <c r="W1358" s="194"/>
      <c r="X1358" s="194"/>
      <c r="Y1358" s="194"/>
      <c r="Z1358" s="194"/>
      <c r="AA1358" s="194"/>
      <c r="AB1358" s="194"/>
      <c r="AC1358" s="194"/>
    </row>
    <row r="1359" spans="1:29" ht="20.100000000000001" customHeight="1">
      <c r="A1359" s="187">
        <v>13</v>
      </c>
      <c r="B1359" s="185" t="s">
        <v>69</v>
      </c>
      <c r="C1359" s="326" t="s">
        <v>80</v>
      </c>
      <c r="D1359" s="326"/>
      <c r="E1359" s="176"/>
      <c r="F1359" s="144" t="s">
        <v>71</v>
      </c>
      <c r="G1359" s="203" t="s">
        <v>156</v>
      </c>
      <c r="H1359" s="202" t="s">
        <v>156</v>
      </c>
      <c r="I1359" s="202" t="s">
        <v>156</v>
      </c>
      <c r="J1359" s="202" t="s">
        <v>156</v>
      </c>
      <c r="K1359" s="202" t="s">
        <v>156</v>
      </c>
      <c r="L1359" s="202" t="s">
        <v>156</v>
      </c>
      <c r="M1359" s="93"/>
      <c r="O1359" s="195"/>
      <c r="P1359" s="196"/>
      <c r="Q1359" s="327"/>
      <c r="R1359" s="327"/>
      <c r="S1359" s="194"/>
      <c r="T1359" s="194"/>
      <c r="U1359" s="194"/>
      <c r="V1359" s="194"/>
      <c r="W1359" s="194"/>
      <c r="X1359" s="194"/>
      <c r="Y1359" s="194"/>
      <c r="Z1359" s="194"/>
      <c r="AA1359" s="194"/>
      <c r="AB1359" s="194"/>
      <c r="AC1359" s="194"/>
    </row>
    <row r="1360" spans="1:29" ht="20.100000000000001" customHeight="1">
      <c r="A1360" s="187">
        <v>14</v>
      </c>
      <c r="B1360" s="185" t="s">
        <v>69</v>
      </c>
      <c r="C1360" s="326" t="s">
        <v>91</v>
      </c>
      <c r="D1360" s="326"/>
      <c r="E1360" s="176"/>
      <c r="F1360" s="144" t="s">
        <v>71</v>
      </c>
      <c r="G1360" s="203" t="s">
        <v>156</v>
      </c>
      <c r="H1360" s="202" t="s">
        <v>156</v>
      </c>
      <c r="I1360" s="202" t="s">
        <v>156</v>
      </c>
      <c r="J1360" s="202" t="s">
        <v>156</v>
      </c>
      <c r="K1360" s="202" t="s">
        <v>156</v>
      </c>
      <c r="L1360" s="202" t="s">
        <v>156</v>
      </c>
      <c r="M1360" s="93"/>
      <c r="O1360" s="195"/>
      <c r="P1360" s="196"/>
      <c r="Q1360" s="327"/>
      <c r="R1360" s="327"/>
      <c r="S1360" s="194"/>
      <c r="T1360" s="194"/>
      <c r="U1360" s="194"/>
      <c r="V1360" s="194"/>
      <c r="W1360" s="194"/>
      <c r="X1360" s="194"/>
      <c r="Y1360" s="194"/>
      <c r="Z1360" s="194"/>
      <c r="AA1360" s="194"/>
      <c r="AB1360" s="194"/>
      <c r="AC1360" s="194"/>
    </row>
    <row r="1361" spans="1:29" ht="20.100000000000001" customHeight="1">
      <c r="A1361" s="187">
        <v>15</v>
      </c>
      <c r="B1361" s="185" t="s">
        <v>69</v>
      </c>
      <c r="C1361" s="326" t="s">
        <v>81</v>
      </c>
      <c r="D1361" s="326"/>
      <c r="E1361" s="176"/>
      <c r="F1361" s="144" t="s">
        <v>71</v>
      </c>
      <c r="G1361" s="203" t="s">
        <v>156</v>
      </c>
      <c r="H1361" s="202" t="s">
        <v>156</v>
      </c>
      <c r="I1361" s="202" t="s">
        <v>156</v>
      </c>
      <c r="J1361" s="202" t="s">
        <v>156</v>
      </c>
      <c r="K1361" s="202" t="s">
        <v>156</v>
      </c>
      <c r="L1361" s="202" t="s">
        <v>156</v>
      </c>
      <c r="M1361" s="93"/>
      <c r="O1361" s="195"/>
      <c r="P1361" s="196"/>
      <c r="Q1361" s="327"/>
      <c r="R1361" s="327"/>
      <c r="S1361" s="194"/>
      <c r="T1361" s="194"/>
      <c r="U1361" s="194"/>
      <c r="V1361" s="194"/>
      <c r="W1361" s="194"/>
      <c r="X1361" s="194"/>
      <c r="Y1361" s="194"/>
      <c r="Z1361" s="194"/>
      <c r="AA1361" s="194"/>
      <c r="AB1361" s="194"/>
      <c r="AC1361" s="194"/>
    </row>
    <row r="1362" spans="1:29" ht="20.100000000000001" customHeight="1">
      <c r="A1362" s="187">
        <v>16</v>
      </c>
      <c r="B1362" s="185" t="s">
        <v>69</v>
      </c>
      <c r="C1362" s="326" t="s">
        <v>101</v>
      </c>
      <c r="D1362" s="326"/>
      <c r="E1362" s="151"/>
      <c r="F1362" s="144" t="s">
        <v>71</v>
      </c>
      <c r="G1362" s="203" t="s">
        <v>156</v>
      </c>
      <c r="H1362" s="202" t="s">
        <v>156</v>
      </c>
      <c r="I1362" s="202" t="s">
        <v>156</v>
      </c>
      <c r="J1362" s="202" t="s">
        <v>156</v>
      </c>
      <c r="K1362" s="202" t="s">
        <v>156</v>
      </c>
      <c r="L1362" s="202" t="s">
        <v>156</v>
      </c>
      <c r="M1362" s="93"/>
      <c r="N1362" s="219"/>
      <c r="O1362" s="195"/>
      <c r="P1362" s="196"/>
      <c r="Q1362" s="327"/>
      <c r="R1362" s="327"/>
      <c r="S1362" s="197"/>
      <c r="T1362" s="197"/>
      <c r="U1362" s="197"/>
      <c r="V1362" s="197"/>
      <c r="W1362" s="197"/>
      <c r="X1362" s="197"/>
      <c r="Y1362" s="197"/>
      <c r="Z1362" s="197"/>
      <c r="AA1362" s="197"/>
      <c r="AB1362" s="197"/>
      <c r="AC1362" s="197"/>
    </row>
    <row r="1363" spans="1:29" ht="20.100000000000001" customHeight="1">
      <c r="A1363" s="187">
        <v>17</v>
      </c>
      <c r="B1363" s="186" t="s">
        <v>69</v>
      </c>
      <c r="C1363" s="326" t="s">
        <v>141</v>
      </c>
      <c r="D1363" s="326"/>
      <c r="E1363" s="151"/>
      <c r="F1363" s="144" t="s">
        <v>71</v>
      </c>
      <c r="G1363" s="203" t="s">
        <v>156</v>
      </c>
      <c r="H1363" s="202" t="s">
        <v>156</v>
      </c>
      <c r="I1363" s="202" t="s">
        <v>156</v>
      </c>
      <c r="J1363" s="202" t="s">
        <v>156</v>
      </c>
      <c r="K1363" s="202" t="s">
        <v>156</v>
      </c>
      <c r="L1363" s="202" t="s">
        <v>156</v>
      </c>
      <c r="M1363" s="93"/>
      <c r="N1363" s="219"/>
      <c r="O1363" s="195"/>
      <c r="P1363" s="104"/>
      <c r="Q1363" s="327"/>
      <c r="R1363" s="327"/>
      <c r="S1363" s="197"/>
      <c r="T1363" s="197"/>
      <c r="U1363" s="197"/>
      <c r="V1363" s="197"/>
      <c r="W1363" s="197"/>
      <c r="X1363" s="197"/>
      <c r="Y1363" s="197"/>
      <c r="Z1363" s="197"/>
      <c r="AA1363" s="197"/>
      <c r="AB1363" s="197"/>
      <c r="AC1363" s="197"/>
    </row>
    <row r="1364" spans="1:29" ht="20.100000000000001" customHeight="1">
      <c r="A1364" s="187">
        <v>18</v>
      </c>
      <c r="B1364" s="186" t="s">
        <v>69</v>
      </c>
      <c r="C1364" s="326" t="s">
        <v>142</v>
      </c>
      <c r="D1364" s="326"/>
      <c r="E1364" s="151"/>
      <c r="F1364" s="144" t="s">
        <v>71</v>
      </c>
      <c r="G1364" s="203" t="s">
        <v>156</v>
      </c>
      <c r="H1364" s="202" t="s">
        <v>156</v>
      </c>
      <c r="I1364" s="202" t="s">
        <v>156</v>
      </c>
      <c r="J1364" s="202" t="s">
        <v>156</v>
      </c>
      <c r="K1364" s="202" t="s">
        <v>156</v>
      </c>
      <c r="L1364" s="202" t="s">
        <v>156</v>
      </c>
      <c r="M1364" s="93"/>
      <c r="N1364" s="219"/>
      <c r="O1364" s="195"/>
      <c r="P1364" s="104"/>
      <c r="Q1364" s="327"/>
      <c r="R1364" s="327"/>
      <c r="S1364" s="197"/>
      <c r="T1364" s="197"/>
      <c r="U1364" s="197"/>
      <c r="V1364" s="197"/>
      <c r="W1364" s="197"/>
      <c r="X1364" s="197"/>
      <c r="Y1364" s="197"/>
      <c r="Z1364" s="197"/>
      <c r="AA1364" s="197"/>
      <c r="AB1364" s="197"/>
      <c r="AC1364" s="197"/>
    </row>
    <row r="1365" spans="1:29" ht="20.100000000000001" customHeight="1">
      <c r="A1365" s="187">
        <v>19</v>
      </c>
      <c r="B1365" s="186" t="s">
        <v>69</v>
      </c>
      <c r="C1365" s="326" t="s">
        <v>143</v>
      </c>
      <c r="D1365" s="326"/>
      <c r="E1365" s="151"/>
      <c r="F1365" s="144" t="s">
        <v>71</v>
      </c>
      <c r="G1365" s="203" t="s">
        <v>156</v>
      </c>
      <c r="H1365" s="202" t="s">
        <v>156</v>
      </c>
      <c r="I1365" s="202" t="s">
        <v>156</v>
      </c>
      <c r="J1365" s="202" t="s">
        <v>156</v>
      </c>
      <c r="K1365" s="202" t="s">
        <v>156</v>
      </c>
      <c r="L1365" s="202" t="s">
        <v>156</v>
      </c>
      <c r="M1365" s="93"/>
      <c r="N1365" s="219"/>
      <c r="O1365" s="195"/>
      <c r="P1365" s="104"/>
      <c r="Q1365" s="327"/>
      <c r="R1365" s="327"/>
      <c r="S1365" s="197"/>
      <c r="T1365" s="197"/>
      <c r="U1365" s="197"/>
      <c r="V1365" s="197"/>
      <c r="W1365" s="197"/>
      <c r="X1365" s="197"/>
      <c r="Y1365" s="197"/>
      <c r="Z1365" s="197"/>
      <c r="AA1365" s="197"/>
      <c r="AB1365" s="197"/>
      <c r="AC1365" s="197"/>
    </row>
    <row r="1366" spans="1:29" ht="20.100000000000001" customHeight="1">
      <c r="A1366" s="187">
        <v>20</v>
      </c>
      <c r="B1366" s="186" t="s">
        <v>69</v>
      </c>
      <c r="C1366" s="326" t="s">
        <v>102</v>
      </c>
      <c r="D1366" s="326"/>
      <c r="E1366" s="150"/>
      <c r="F1366" s="154" t="s">
        <v>71</v>
      </c>
      <c r="G1366" s="203" t="s">
        <v>156</v>
      </c>
      <c r="H1366" s="202" t="s">
        <v>156</v>
      </c>
      <c r="I1366" s="202" t="s">
        <v>156</v>
      </c>
      <c r="J1366" s="202" t="s">
        <v>156</v>
      </c>
      <c r="K1366" s="202" t="s">
        <v>156</v>
      </c>
      <c r="L1366" s="202" t="s">
        <v>156</v>
      </c>
      <c r="M1366" s="93"/>
      <c r="N1366" s="219"/>
      <c r="O1366" s="195"/>
      <c r="P1366" s="104"/>
      <c r="Q1366" s="327"/>
      <c r="R1366" s="327"/>
      <c r="S1366" s="197"/>
      <c r="T1366" s="197"/>
      <c r="U1366" s="197"/>
      <c r="V1366" s="197"/>
      <c r="W1366" s="197"/>
      <c r="X1366" s="197"/>
      <c r="Y1366" s="197"/>
      <c r="Z1366" s="197"/>
      <c r="AA1366" s="197"/>
      <c r="AB1366" s="197"/>
      <c r="AC1366" s="197"/>
    </row>
    <row r="1367" spans="1:29" ht="37.5" customHeight="1">
      <c r="A1367" s="192" t="s">
        <v>128</v>
      </c>
      <c r="B1367" s="104"/>
      <c r="C1367" s="328" t="s">
        <v>130</v>
      </c>
      <c r="D1367" s="328"/>
      <c r="E1367" s="328"/>
      <c r="F1367" s="328"/>
      <c r="G1367" s="328"/>
      <c r="H1367" s="328"/>
      <c r="I1367" s="328"/>
      <c r="J1367" s="328"/>
      <c r="K1367" s="328"/>
      <c r="L1367" s="328"/>
      <c r="M1367" s="89"/>
      <c r="N1367" s="219"/>
      <c r="O1367" s="198"/>
      <c r="P1367" s="104"/>
      <c r="Q1367" s="329"/>
      <c r="R1367" s="329"/>
      <c r="S1367" s="329"/>
      <c r="T1367" s="329"/>
      <c r="U1367" s="329"/>
      <c r="V1367" s="329"/>
      <c r="W1367" s="329"/>
      <c r="X1367" s="329"/>
      <c r="Y1367" s="329"/>
      <c r="Z1367" s="329"/>
      <c r="AA1367" s="329"/>
      <c r="AB1367" s="329"/>
      <c r="AC1367" s="329"/>
    </row>
    <row r="1368" spans="1:29" ht="33" customHeight="1">
      <c r="A1368" s="189">
        <v>21</v>
      </c>
      <c r="B1368" s="188" t="s">
        <v>69</v>
      </c>
      <c r="C1368" s="307" t="s">
        <v>82</v>
      </c>
      <c r="D1368" s="308"/>
      <c r="E1368" s="182"/>
      <c r="F1368" s="191" t="s">
        <v>71</v>
      </c>
      <c r="G1368" s="201">
        <v>58</v>
      </c>
      <c r="H1368" s="201">
        <v>40</v>
      </c>
      <c r="I1368" s="201">
        <v>21</v>
      </c>
      <c r="J1368" s="201">
        <v>58</v>
      </c>
      <c r="K1368" s="201">
        <v>40</v>
      </c>
      <c r="L1368" s="201">
        <v>21</v>
      </c>
      <c r="M1368" s="89"/>
      <c r="N1368" s="219"/>
      <c r="O1368" s="199"/>
      <c r="P1368" s="200"/>
      <c r="Q1368" s="309"/>
      <c r="R1368" s="309"/>
      <c r="S1368" s="86"/>
      <c r="T1368" s="86"/>
      <c r="U1368" s="86"/>
      <c r="V1368" s="86"/>
      <c r="W1368" s="86"/>
      <c r="X1368" s="86"/>
      <c r="Y1368" s="86"/>
      <c r="Z1368" s="86"/>
      <c r="AA1368" s="86"/>
      <c r="AB1368" s="86"/>
      <c r="AC1368" s="86"/>
    </row>
    <row r="1369" spans="1:29" ht="33" customHeight="1">
      <c r="A1369" s="189">
        <v>22</v>
      </c>
      <c r="B1369" s="188" t="s">
        <v>69</v>
      </c>
      <c r="C1369" s="307" t="s">
        <v>103</v>
      </c>
      <c r="D1369" s="308"/>
      <c r="E1369" s="179"/>
      <c r="F1369" s="191" t="s">
        <v>71</v>
      </c>
      <c r="G1369" s="201">
        <v>9</v>
      </c>
      <c r="H1369" s="201">
        <v>9</v>
      </c>
      <c r="I1369" s="201">
        <v>7</v>
      </c>
      <c r="J1369" s="201">
        <v>9</v>
      </c>
      <c r="K1369" s="201">
        <v>9</v>
      </c>
      <c r="L1369" s="201">
        <v>7</v>
      </c>
      <c r="M1369" s="89"/>
      <c r="N1369" s="219"/>
      <c r="O1369" s="199"/>
      <c r="P1369" s="200"/>
      <c r="Q1369" s="309"/>
      <c r="R1369" s="309"/>
      <c r="S1369" s="86"/>
      <c r="T1369" s="86"/>
      <c r="U1369" s="86"/>
      <c r="V1369" s="86"/>
      <c r="W1369" s="86"/>
      <c r="X1369" s="86"/>
      <c r="Y1369" s="86"/>
      <c r="Z1369" s="86"/>
      <c r="AA1369" s="86"/>
      <c r="AB1369" s="86"/>
      <c r="AC1369" s="86"/>
    </row>
    <row r="1370" spans="1:29" ht="33" customHeight="1">
      <c r="A1370" s="189">
        <v>23</v>
      </c>
      <c r="B1370" s="188" t="s">
        <v>69</v>
      </c>
      <c r="C1370" s="307" t="s">
        <v>104</v>
      </c>
      <c r="D1370" s="308"/>
      <c r="E1370" s="179"/>
      <c r="F1370" s="191" t="s">
        <v>71</v>
      </c>
      <c r="G1370" s="201">
        <v>5</v>
      </c>
      <c r="H1370" s="201">
        <v>1</v>
      </c>
      <c r="I1370" s="201">
        <v>1</v>
      </c>
      <c r="J1370" s="201">
        <v>5</v>
      </c>
      <c r="K1370" s="201">
        <v>1</v>
      </c>
      <c r="L1370" s="201">
        <v>1</v>
      </c>
      <c r="M1370" s="89"/>
      <c r="N1370" s="219"/>
      <c r="O1370" s="199"/>
      <c r="P1370" s="200"/>
      <c r="Q1370" s="309"/>
      <c r="R1370" s="309"/>
      <c r="S1370" s="86"/>
      <c r="T1370" s="86"/>
      <c r="U1370" s="86"/>
      <c r="V1370" s="86"/>
      <c r="W1370" s="86"/>
      <c r="X1370" s="86"/>
      <c r="Y1370" s="86"/>
      <c r="Z1370" s="86"/>
      <c r="AA1370" s="86"/>
      <c r="AB1370" s="86"/>
      <c r="AC1370" s="86"/>
    </row>
    <row r="1371" spans="1:29" ht="27.75" customHeight="1">
      <c r="A1371" s="317" t="s">
        <v>135</v>
      </c>
      <c r="B1371" s="318"/>
      <c r="C1371" s="317" t="s">
        <v>68</v>
      </c>
      <c r="D1371" s="318"/>
      <c r="E1371" s="183"/>
      <c r="F1371" s="321" t="s">
        <v>136</v>
      </c>
      <c r="G1371" s="322" t="s">
        <v>155</v>
      </c>
      <c r="H1371" s="323"/>
      <c r="I1371" s="323"/>
      <c r="J1371" s="322" t="s">
        <v>154</v>
      </c>
      <c r="K1371" s="323"/>
      <c r="L1371" s="324"/>
      <c r="M1371" s="92"/>
      <c r="O1371" s="325"/>
      <c r="P1371" s="325"/>
      <c r="Q1371" s="325"/>
      <c r="R1371" s="325"/>
      <c r="S1371" s="316"/>
      <c r="T1371" s="316"/>
      <c r="U1371" s="316"/>
      <c r="V1371" s="316"/>
      <c r="W1371" s="316"/>
      <c r="X1371" s="316"/>
      <c r="Y1371" s="316"/>
      <c r="Z1371" s="316"/>
      <c r="AA1371" s="316"/>
      <c r="AB1371" s="316"/>
      <c r="AC1371" s="316"/>
    </row>
    <row r="1372" spans="1:29" ht="125.25" customHeight="1">
      <c r="A1372" s="319"/>
      <c r="B1372" s="320"/>
      <c r="C1372" s="319"/>
      <c r="D1372" s="320"/>
      <c r="E1372" s="184"/>
      <c r="F1372" s="321"/>
      <c r="G1372" s="153" t="s">
        <v>151</v>
      </c>
      <c r="H1372" s="153" t="s">
        <v>152</v>
      </c>
      <c r="I1372" s="153" t="s">
        <v>153</v>
      </c>
      <c r="J1372" s="153" t="s">
        <v>151</v>
      </c>
      <c r="K1372" s="153" t="s">
        <v>152</v>
      </c>
      <c r="L1372" s="153" t="s">
        <v>153</v>
      </c>
      <c r="O1372" s="325"/>
      <c r="P1372" s="325"/>
      <c r="Q1372" s="325"/>
      <c r="R1372" s="325"/>
      <c r="S1372" s="193"/>
      <c r="T1372" s="193"/>
      <c r="U1372" s="193"/>
      <c r="V1372" s="193"/>
      <c r="W1372" s="193"/>
      <c r="X1372" s="193"/>
      <c r="Y1372" s="193"/>
      <c r="Z1372" s="193"/>
      <c r="AA1372" s="193"/>
      <c r="AB1372" s="193"/>
      <c r="AC1372" s="193"/>
    </row>
    <row r="1373" spans="1:29" ht="30" customHeight="1">
      <c r="A1373" s="189">
        <v>24</v>
      </c>
      <c r="B1373" s="188" t="s">
        <v>69</v>
      </c>
      <c r="C1373" s="307" t="s">
        <v>131</v>
      </c>
      <c r="D1373" s="308"/>
      <c r="E1373" s="179"/>
      <c r="F1373" s="191" t="s">
        <v>71</v>
      </c>
      <c r="G1373" s="202" t="s">
        <v>156</v>
      </c>
      <c r="H1373" s="202" t="s">
        <v>156</v>
      </c>
      <c r="I1373" s="202" t="s">
        <v>156</v>
      </c>
      <c r="J1373" s="202" t="s">
        <v>156</v>
      </c>
      <c r="K1373" s="202" t="s">
        <v>156</v>
      </c>
      <c r="L1373" s="202" t="s">
        <v>156</v>
      </c>
      <c r="M1373" s="89"/>
      <c r="N1373" s="219"/>
      <c r="O1373" s="199"/>
      <c r="P1373" s="200"/>
      <c r="Q1373" s="309"/>
      <c r="R1373" s="309"/>
      <c r="S1373" s="86"/>
      <c r="T1373" s="86"/>
      <c r="U1373" s="86"/>
      <c r="V1373" s="86"/>
      <c r="W1373" s="86"/>
      <c r="X1373" s="86"/>
      <c r="Y1373" s="86"/>
      <c r="Z1373" s="86"/>
      <c r="AA1373" s="86"/>
      <c r="AB1373" s="86"/>
      <c r="AC1373" s="86"/>
    </row>
    <row r="1374" spans="1:29" ht="30" customHeight="1">
      <c r="A1374" s="189">
        <v>25</v>
      </c>
      <c r="B1374" s="188" t="s">
        <v>69</v>
      </c>
      <c r="C1374" s="307" t="s">
        <v>83</v>
      </c>
      <c r="D1374" s="308"/>
      <c r="E1374" s="179"/>
      <c r="F1374" s="191" t="s">
        <v>71</v>
      </c>
      <c r="G1374" s="201">
        <v>25</v>
      </c>
      <c r="H1374" s="201">
        <v>40</v>
      </c>
      <c r="I1374" s="201">
        <v>22</v>
      </c>
      <c r="J1374" s="201">
        <v>25</v>
      </c>
      <c r="K1374" s="201">
        <v>40</v>
      </c>
      <c r="L1374" s="201">
        <v>22</v>
      </c>
      <c r="M1374" s="89"/>
      <c r="N1374" s="219"/>
      <c r="O1374" s="199"/>
      <c r="P1374" s="200"/>
      <c r="Q1374" s="309"/>
      <c r="R1374" s="309"/>
      <c r="S1374" s="86"/>
      <c r="T1374" s="86"/>
      <c r="U1374" s="86"/>
      <c r="V1374" s="86"/>
      <c r="W1374" s="86"/>
      <c r="X1374" s="86"/>
      <c r="Y1374" s="86"/>
      <c r="Z1374" s="86"/>
      <c r="AA1374" s="86"/>
      <c r="AB1374" s="86"/>
      <c r="AC1374" s="86"/>
    </row>
    <row r="1375" spans="1:29" ht="30" customHeight="1">
      <c r="A1375" s="189">
        <v>26</v>
      </c>
      <c r="B1375" s="188" t="s">
        <v>69</v>
      </c>
      <c r="C1375" s="307" t="s">
        <v>84</v>
      </c>
      <c r="D1375" s="308"/>
      <c r="E1375" s="179"/>
      <c r="F1375" s="191" t="s">
        <v>71</v>
      </c>
      <c r="G1375" s="201">
        <v>5</v>
      </c>
      <c r="H1375" s="202" t="s">
        <v>156</v>
      </c>
      <c r="I1375" s="202" t="s">
        <v>156</v>
      </c>
      <c r="J1375" s="201">
        <v>5</v>
      </c>
      <c r="K1375" s="202" t="s">
        <v>156</v>
      </c>
      <c r="L1375" s="202" t="s">
        <v>156</v>
      </c>
      <c r="M1375" s="89"/>
      <c r="N1375" s="219"/>
      <c r="O1375" s="199"/>
      <c r="P1375" s="200"/>
      <c r="Q1375" s="309"/>
      <c r="R1375" s="309"/>
      <c r="S1375" s="86"/>
      <c r="T1375" s="86"/>
      <c r="U1375" s="86"/>
      <c r="V1375" s="86"/>
      <c r="W1375" s="86"/>
      <c r="X1375" s="86"/>
      <c r="Y1375" s="86"/>
      <c r="Z1375" s="86"/>
      <c r="AA1375" s="86"/>
      <c r="AB1375" s="86"/>
      <c r="AC1375" s="86"/>
    </row>
    <row r="1376" spans="1:29" ht="30" customHeight="1">
      <c r="A1376" s="189">
        <v>27</v>
      </c>
      <c r="B1376" s="188" t="s">
        <v>69</v>
      </c>
      <c r="C1376" s="307" t="s">
        <v>85</v>
      </c>
      <c r="D1376" s="308"/>
      <c r="E1376" s="179"/>
      <c r="F1376" s="191" t="s">
        <v>71</v>
      </c>
      <c r="G1376" s="201">
        <v>3</v>
      </c>
      <c r="H1376" s="201">
        <v>1</v>
      </c>
      <c r="I1376" s="201">
        <v>8</v>
      </c>
      <c r="J1376" s="201">
        <v>3</v>
      </c>
      <c r="K1376" s="201">
        <v>1</v>
      </c>
      <c r="L1376" s="201">
        <v>8</v>
      </c>
      <c r="M1376" s="89"/>
      <c r="N1376" s="219"/>
      <c r="O1376" s="199"/>
      <c r="P1376" s="200"/>
      <c r="Q1376" s="309"/>
      <c r="R1376" s="309"/>
      <c r="S1376" s="86"/>
      <c r="T1376" s="86"/>
      <c r="U1376" s="86"/>
      <c r="V1376" s="86"/>
      <c r="W1376" s="86"/>
      <c r="X1376" s="86"/>
      <c r="Y1376" s="86"/>
      <c r="Z1376" s="86"/>
      <c r="AA1376" s="86"/>
      <c r="AB1376" s="86"/>
      <c r="AC1376" s="86"/>
    </row>
    <row r="1377" spans="1:29" ht="30" customHeight="1">
      <c r="A1377" s="189">
        <v>28</v>
      </c>
      <c r="B1377" s="188" t="s">
        <v>69</v>
      </c>
      <c r="C1377" s="307" t="s">
        <v>132</v>
      </c>
      <c r="D1377" s="308"/>
      <c r="E1377" s="179"/>
      <c r="F1377" s="191" t="s">
        <v>71</v>
      </c>
      <c r="G1377" s="202" t="s">
        <v>156</v>
      </c>
      <c r="H1377" s="202" t="s">
        <v>156</v>
      </c>
      <c r="I1377" s="202" t="s">
        <v>156</v>
      </c>
      <c r="J1377" s="202" t="s">
        <v>156</v>
      </c>
      <c r="K1377" s="202" t="s">
        <v>156</v>
      </c>
      <c r="L1377" s="202" t="s">
        <v>156</v>
      </c>
      <c r="M1377" s="89"/>
      <c r="N1377" s="219"/>
      <c r="O1377" s="199"/>
      <c r="P1377" s="200"/>
      <c r="Q1377" s="309"/>
      <c r="R1377" s="309"/>
      <c r="S1377" s="86"/>
      <c r="T1377" s="86"/>
      <c r="U1377" s="86"/>
      <c r="V1377" s="86"/>
      <c r="W1377" s="86"/>
      <c r="X1377" s="86"/>
      <c r="Y1377" s="86"/>
      <c r="Z1377" s="86"/>
      <c r="AA1377" s="86"/>
      <c r="AB1377" s="86"/>
      <c r="AC1377" s="86"/>
    </row>
    <row r="1378" spans="1:29" ht="30" customHeight="1">
      <c r="A1378" s="189">
        <v>29</v>
      </c>
      <c r="B1378" s="188" t="s">
        <v>69</v>
      </c>
      <c r="C1378" s="307" t="s">
        <v>86</v>
      </c>
      <c r="D1378" s="308"/>
      <c r="E1378" s="179"/>
      <c r="F1378" s="191" t="s">
        <v>71</v>
      </c>
      <c r="G1378" s="201">
        <v>10</v>
      </c>
      <c r="H1378" s="201">
        <v>12</v>
      </c>
      <c r="I1378" s="201">
        <v>9</v>
      </c>
      <c r="J1378" s="201">
        <v>10</v>
      </c>
      <c r="K1378" s="201">
        <v>12</v>
      </c>
      <c r="L1378" s="201">
        <v>9</v>
      </c>
      <c r="M1378" s="89"/>
      <c r="N1378" s="219"/>
      <c r="O1378" s="199"/>
      <c r="P1378" s="200"/>
      <c r="Q1378" s="309"/>
      <c r="R1378" s="309"/>
      <c r="S1378" s="86"/>
      <c r="T1378" s="86"/>
      <c r="U1378" s="86"/>
      <c r="V1378" s="86"/>
      <c r="W1378" s="86"/>
      <c r="X1378" s="86"/>
      <c r="Y1378" s="86"/>
      <c r="Z1378" s="86"/>
      <c r="AA1378" s="86"/>
      <c r="AB1378" s="86"/>
      <c r="AC1378" s="86"/>
    </row>
    <row r="1379" spans="1:29" ht="30" customHeight="1">
      <c r="A1379" s="189">
        <v>30</v>
      </c>
      <c r="B1379" s="188" t="s">
        <v>69</v>
      </c>
      <c r="C1379" s="307" t="s">
        <v>87</v>
      </c>
      <c r="D1379" s="308"/>
      <c r="E1379" s="179"/>
      <c r="F1379" s="191" t="s">
        <v>71</v>
      </c>
      <c r="G1379" s="202" t="s">
        <v>156</v>
      </c>
      <c r="H1379" s="202" t="s">
        <v>156</v>
      </c>
      <c r="I1379" s="202" t="s">
        <v>156</v>
      </c>
      <c r="J1379" s="202" t="s">
        <v>156</v>
      </c>
      <c r="K1379" s="202" t="s">
        <v>156</v>
      </c>
      <c r="L1379" s="202" t="s">
        <v>156</v>
      </c>
      <c r="M1379" s="89"/>
      <c r="N1379" s="219"/>
      <c r="O1379" s="199"/>
      <c r="P1379" s="200"/>
      <c r="Q1379" s="309"/>
      <c r="R1379" s="309"/>
      <c r="S1379" s="86"/>
      <c r="T1379" s="86"/>
      <c r="U1379" s="86"/>
      <c r="V1379" s="86"/>
      <c r="W1379" s="86"/>
      <c r="X1379" s="86"/>
      <c r="Y1379" s="86"/>
      <c r="Z1379" s="86"/>
      <c r="AA1379" s="86"/>
      <c r="AB1379" s="86"/>
      <c r="AC1379" s="86"/>
    </row>
    <row r="1380" spans="1:29" ht="30" customHeight="1">
      <c r="A1380" s="189">
        <v>31</v>
      </c>
      <c r="B1380" s="188" t="s">
        <v>69</v>
      </c>
      <c r="C1380" s="307" t="s">
        <v>105</v>
      </c>
      <c r="D1380" s="308"/>
      <c r="E1380" s="179"/>
      <c r="F1380" s="191" t="s">
        <v>71</v>
      </c>
      <c r="G1380" s="201">
        <v>2</v>
      </c>
      <c r="H1380" s="203" t="s">
        <v>156</v>
      </c>
      <c r="I1380" s="201">
        <v>8</v>
      </c>
      <c r="J1380" s="201">
        <v>2</v>
      </c>
      <c r="K1380" s="203" t="s">
        <v>156</v>
      </c>
      <c r="L1380" s="201">
        <v>8</v>
      </c>
      <c r="M1380" s="89"/>
      <c r="N1380" s="219"/>
      <c r="O1380" s="199"/>
      <c r="P1380" s="200"/>
      <c r="Q1380" s="309"/>
      <c r="R1380" s="309"/>
      <c r="S1380" s="86"/>
      <c r="T1380" s="86"/>
      <c r="U1380" s="86"/>
      <c r="V1380" s="86"/>
      <c r="W1380" s="86"/>
      <c r="X1380" s="86"/>
      <c r="Y1380" s="86"/>
      <c r="Z1380" s="86"/>
      <c r="AA1380" s="86"/>
      <c r="AB1380" s="86"/>
      <c r="AC1380" s="86"/>
    </row>
    <row r="1381" spans="1:29" ht="30" customHeight="1">
      <c r="A1381" s="189">
        <v>32</v>
      </c>
      <c r="B1381" s="188" t="s">
        <v>69</v>
      </c>
      <c r="C1381" s="307" t="s">
        <v>133</v>
      </c>
      <c r="D1381" s="308"/>
      <c r="E1381" s="179"/>
      <c r="F1381" s="191" t="s">
        <v>71</v>
      </c>
      <c r="G1381" s="202" t="s">
        <v>156</v>
      </c>
      <c r="H1381" s="202" t="s">
        <v>156</v>
      </c>
      <c r="I1381" s="202" t="s">
        <v>156</v>
      </c>
      <c r="J1381" s="202" t="s">
        <v>156</v>
      </c>
      <c r="K1381" s="202" t="s">
        <v>156</v>
      </c>
      <c r="L1381" s="202" t="s">
        <v>156</v>
      </c>
      <c r="M1381" s="89"/>
      <c r="N1381" s="219"/>
      <c r="O1381" s="199"/>
      <c r="P1381" s="200"/>
      <c r="Q1381" s="309"/>
      <c r="R1381" s="309"/>
      <c r="S1381" s="86"/>
      <c r="T1381" s="86"/>
      <c r="U1381" s="86"/>
      <c r="V1381" s="86"/>
      <c r="W1381" s="86"/>
      <c r="X1381" s="86"/>
      <c r="Y1381" s="86"/>
      <c r="Z1381" s="86"/>
      <c r="AA1381" s="86"/>
      <c r="AB1381" s="86"/>
      <c r="AC1381" s="86"/>
    </row>
    <row r="1382" spans="1:29" ht="30" customHeight="1">
      <c r="A1382" s="189">
        <v>33</v>
      </c>
      <c r="B1382" s="188" t="s">
        <v>69</v>
      </c>
      <c r="C1382" s="307" t="s">
        <v>88</v>
      </c>
      <c r="D1382" s="308"/>
      <c r="E1382" s="179"/>
      <c r="F1382" s="191" t="s">
        <v>71</v>
      </c>
      <c r="G1382" s="201">
        <v>3</v>
      </c>
      <c r="H1382" s="201">
        <v>7</v>
      </c>
      <c r="I1382" s="201">
        <v>7</v>
      </c>
      <c r="J1382" s="201">
        <v>3</v>
      </c>
      <c r="K1382" s="201">
        <v>7</v>
      </c>
      <c r="L1382" s="201">
        <v>7</v>
      </c>
      <c r="M1382" s="89"/>
      <c r="N1382" s="219"/>
      <c r="O1382" s="199"/>
      <c r="P1382" s="200"/>
      <c r="Q1382" s="309"/>
      <c r="R1382" s="309"/>
      <c r="S1382" s="86"/>
      <c r="T1382" s="86"/>
      <c r="U1382" s="86"/>
      <c r="V1382" s="86"/>
      <c r="W1382" s="86"/>
      <c r="X1382" s="86"/>
      <c r="Y1382" s="86"/>
      <c r="Z1382" s="86"/>
      <c r="AA1382" s="86"/>
      <c r="AB1382" s="86"/>
      <c r="AC1382" s="86"/>
    </row>
    <row r="1383" spans="1:29" ht="30" customHeight="1">
      <c r="A1383" s="189">
        <v>34</v>
      </c>
      <c r="B1383" s="188" t="s">
        <v>69</v>
      </c>
      <c r="C1383" s="307" t="s">
        <v>89</v>
      </c>
      <c r="D1383" s="308"/>
      <c r="E1383" s="179"/>
      <c r="F1383" s="191" t="s">
        <v>71</v>
      </c>
      <c r="G1383" s="202" t="s">
        <v>156</v>
      </c>
      <c r="H1383" s="202" t="s">
        <v>156</v>
      </c>
      <c r="I1383" s="202" t="s">
        <v>156</v>
      </c>
      <c r="J1383" s="202" t="s">
        <v>156</v>
      </c>
      <c r="K1383" s="202" t="s">
        <v>156</v>
      </c>
      <c r="L1383" s="202" t="s">
        <v>156</v>
      </c>
      <c r="M1383" s="89"/>
      <c r="N1383" s="219"/>
      <c r="O1383" s="199"/>
      <c r="P1383" s="200"/>
      <c r="Q1383" s="309"/>
      <c r="R1383" s="309"/>
      <c r="S1383" s="86"/>
      <c r="T1383" s="86"/>
      <c r="U1383" s="86"/>
      <c r="V1383" s="86"/>
      <c r="W1383" s="86"/>
      <c r="X1383" s="86"/>
      <c r="Y1383" s="86"/>
      <c r="Z1383" s="86"/>
      <c r="AA1383" s="86"/>
      <c r="AB1383" s="86"/>
      <c r="AC1383" s="86"/>
    </row>
    <row r="1384" spans="1:29" ht="30" customHeight="1">
      <c r="A1384" s="189">
        <v>35</v>
      </c>
      <c r="B1384" s="188" t="s">
        <v>69</v>
      </c>
      <c r="C1384" s="307" t="s">
        <v>140</v>
      </c>
      <c r="D1384" s="308"/>
      <c r="E1384" s="179"/>
      <c r="F1384" s="191" t="s">
        <v>71</v>
      </c>
      <c r="G1384" s="202" t="s">
        <v>156</v>
      </c>
      <c r="H1384" s="202" t="s">
        <v>156</v>
      </c>
      <c r="I1384" s="201">
        <v>3</v>
      </c>
      <c r="J1384" s="202" t="s">
        <v>156</v>
      </c>
      <c r="K1384" s="202" t="s">
        <v>156</v>
      </c>
      <c r="L1384" s="201">
        <v>3</v>
      </c>
      <c r="M1384" s="89"/>
      <c r="N1384" s="220"/>
      <c r="O1384" s="199"/>
      <c r="P1384" s="200"/>
      <c r="Q1384" s="309"/>
      <c r="R1384" s="309"/>
      <c r="S1384" s="86"/>
      <c r="T1384" s="86"/>
      <c r="U1384" s="86"/>
      <c r="V1384" s="86"/>
      <c r="W1384" s="86"/>
      <c r="X1384" s="86"/>
      <c r="Y1384" s="86"/>
      <c r="Z1384" s="86"/>
      <c r="AA1384" s="86"/>
      <c r="AB1384" s="86"/>
      <c r="AC1384" s="86"/>
    </row>
    <row r="1385" spans="1:29" ht="30" customHeight="1">
      <c r="A1385" s="189">
        <v>36</v>
      </c>
      <c r="B1385" s="188" t="s">
        <v>69</v>
      </c>
      <c r="C1385" s="307" t="s">
        <v>134</v>
      </c>
      <c r="D1385" s="308"/>
      <c r="E1385" s="179"/>
      <c r="F1385" s="191" t="s">
        <v>71</v>
      </c>
      <c r="G1385" s="202" t="s">
        <v>156</v>
      </c>
      <c r="H1385" s="202" t="s">
        <v>156</v>
      </c>
      <c r="I1385" s="202" t="s">
        <v>156</v>
      </c>
      <c r="J1385" s="202" t="s">
        <v>156</v>
      </c>
      <c r="K1385" s="202" t="s">
        <v>156</v>
      </c>
      <c r="L1385" s="202" t="s">
        <v>156</v>
      </c>
      <c r="M1385" s="89"/>
      <c r="N1385" s="220"/>
      <c r="O1385" s="199"/>
      <c r="P1385" s="200"/>
      <c r="Q1385" s="309"/>
      <c r="R1385" s="309"/>
      <c r="S1385" s="86"/>
      <c r="T1385" s="86"/>
      <c r="U1385" s="86"/>
      <c r="V1385" s="86"/>
      <c r="W1385" s="86"/>
      <c r="X1385" s="86"/>
      <c r="Y1385" s="86"/>
      <c r="Z1385" s="86"/>
      <c r="AA1385" s="86"/>
      <c r="AB1385" s="86"/>
      <c r="AC1385" s="86"/>
    </row>
    <row r="1386" spans="1:29" ht="30" customHeight="1">
      <c r="A1386" s="189">
        <v>37</v>
      </c>
      <c r="B1386" s="188" t="s">
        <v>69</v>
      </c>
      <c r="C1386" s="307" t="s">
        <v>90</v>
      </c>
      <c r="D1386" s="308"/>
      <c r="E1386" s="179"/>
      <c r="F1386" s="191" t="s">
        <v>71</v>
      </c>
      <c r="G1386" s="202" t="s">
        <v>156</v>
      </c>
      <c r="H1386" s="202" t="s">
        <v>156</v>
      </c>
      <c r="I1386" s="202" t="s">
        <v>156</v>
      </c>
      <c r="J1386" s="202" t="s">
        <v>156</v>
      </c>
      <c r="K1386" s="202" t="s">
        <v>156</v>
      </c>
      <c r="L1386" s="202" t="s">
        <v>156</v>
      </c>
      <c r="M1386" s="89"/>
      <c r="N1386" s="220"/>
      <c r="O1386" s="199"/>
      <c r="P1386" s="200"/>
      <c r="Q1386" s="309"/>
      <c r="R1386" s="309"/>
      <c r="S1386" s="86"/>
      <c r="T1386" s="86"/>
      <c r="U1386" s="86"/>
      <c r="V1386" s="86"/>
      <c r="W1386" s="86"/>
      <c r="X1386" s="86"/>
      <c r="Y1386" s="86"/>
      <c r="Z1386" s="86"/>
      <c r="AA1386" s="86"/>
      <c r="AB1386" s="86"/>
      <c r="AC1386" s="86"/>
    </row>
    <row r="1387" spans="1:29" ht="30" customHeight="1">
      <c r="A1387" s="189">
        <v>38</v>
      </c>
      <c r="B1387" s="188" t="s">
        <v>69</v>
      </c>
      <c r="C1387" s="307" t="s">
        <v>106</v>
      </c>
      <c r="D1387" s="308"/>
      <c r="E1387" s="150"/>
      <c r="F1387" s="191" t="s">
        <v>71</v>
      </c>
      <c r="G1387" s="202" t="s">
        <v>156</v>
      </c>
      <c r="H1387" s="202" t="s">
        <v>156</v>
      </c>
      <c r="I1387" s="202" t="s">
        <v>156</v>
      </c>
      <c r="J1387" s="202" t="s">
        <v>156</v>
      </c>
      <c r="K1387" s="202" t="s">
        <v>156</v>
      </c>
      <c r="L1387" s="202" t="s">
        <v>156</v>
      </c>
      <c r="M1387" s="89"/>
      <c r="N1387" s="220"/>
      <c r="O1387" s="199"/>
      <c r="P1387" s="200"/>
      <c r="Q1387" s="309"/>
      <c r="R1387" s="309"/>
      <c r="S1387" s="86"/>
      <c r="T1387" s="86"/>
      <c r="U1387" s="86"/>
      <c r="V1387" s="86"/>
      <c r="W1387" s="86"/>
      <c r="X1387" s="86"/>
      <c r="Y1387" s="86"/>
      <c r="Z1387" s="86"/>
      <c r="AA1387" s="86"/>
      <c r="AB1387" s="86"/>
      <c r="AC1387" s="86"/>
    </row>
    <row r="1388" spans="1:29" ht="25.5" customHeight="1">
      <c r="A1388" s="310" t="s">
        <v>92</v>
      </c>
      <c r="B1388" s="310"/>
      <c r="C1388" s="310"/>
      <c r="D1388" s="310"/>
      <c r="E1388" s="310"/>
      <c r="F1388" s="310"/>
      <c r="G1388" s="310"/>
      <c r="H1388" s="310"/>
      <c r="I1388" s="310"/>
      <c r="J1388" s="310"/>
      <c r="K1388" s="310"/>
      <c r="L1388" s="310"/>
      <c r="M1388" s="92"/>
    </row>
    <row r="1389" spans="1:29" ht="19.5" customHeight="1">
      <c r="A1389" s="139"/>
      <c r="B1389" s="139"/>
      <c r="C1389" s="140"/>
      <c r="D1389" s="140" t="s">
        <v>145</v>
      </c>
      <c r="E1389" s="140"/>
      <c r="F1389" s="152" t="s">
        <v>54</v>
      </c>
      <c r="G1389" s="152"/>
      <c r="H1389" s="152"/>
      <c r="I1389" s="152"/>
      <c r="J1389" s="152" t="s">
        <v>144</v>
      </c>
      <c r="K1389" s="152"/>
      <c r="L1389" s="140"/>
      <c r="M1389" s="94"/>
    </row>
    <row r="1390" spans="1:29" ht="28.5" customHeight="1">
      <c r="A1390" s="310" t="s">
        <v>93</v>
      </c>
      <c r="B1390" s="310"/>
      <c r="C1390" s="310"/>
      <c r="D1390" s="310"/>
      <c r="E1390" s="310"/>
      <c r="F1390" s="310"/>
      <c r="G1390" s="310"/>
      <c r="H1390" s="310"/>
      <c r="I1390" s="310"/>
      <c r="J1390" s="310"/>
      <c r="K1390" s="310"/>
      <c r="L1390" s="310"/>
      <c r="M1390" s="92"/>
      <c r="N1390" s="311"/>
      <c r="O1390" s="311"/>
      <c r="P1390" s="311"/>
    </row>
    <row r="1391" spans="1:29" ht="20.25" customHeight="1">
      <c r="A1391" s="139"/>
      <c r="B1391" s="139"/>
      <c r="C1391" s="139"/>
      <c r="D1391" s="140" t="s">
        <v>145</v>
      </c>
      <c r="E1391" s="140"/>
      <c r="F1391" s="152" t="s">
        <v>54</v>
      </c>
      <c r="G1391" s="152"/>
      <c r="H1391" s="152"/>
      <c r="I1391" s="152"/>
      <c r="J1391" s="152" t="s">
        <v>144</v>
      </c>
      <c r="K1391" s="152"/>
      <c r="L1391" s="139"/>
      <c r="M1391" s="94"/>
      <c r="N1391" s="221"/>
      <c r="O1391" s="95"/>
      <c r="P1391" s="95"/>
    </row>
    <row r="1392" spans="1:29" ht="26.25" customHeight="1">
      <c r="A1392" s="312" t="s">
        <v>94</v>
      </c>
      <c r="B1392" s="312"/>
      <c r="C1392" s="312"/>
      <c r="D1392" s="312"/>
      <c r="E1392" s="312"/>
      <c r="F1392" s="312"/>
      <c r="G1392" s="312"/>
      <c r="H1392" s="312"/>
      <c r="I1392" s="312"/>
      <c r="J1392" s="312"/>
      <c r="K1392" s="312"/>
      <c r="L1392" s="312"/>
      <c r="M1392" s="92"/>
    </row>
    <row r="1393" spans="1:16" ht="22.5" customHeight="1">
      <c r="A1393" s="120"/>
      <c r="B1393" s="120"/>
      <c r="C1393" s="120"/>
      <c r="D1393" s="120"/>
      <c r="E1393" s="120"/>
      <c r="F1393" s="120"/>
      <c r="G1393" s="120"/>
      <c r="H1393" s="120"/>
      <c r="I1393" s="120"/>
      <c r="J1393" s="120"/>
      <c r="K1393" s="120"/>
      <c r="L1393" s="120"/>
      <c r="M1393" s="94"/>
    </row>
    <row r="1394" spans="1:16" ht="22.5" customHeight="1">
      <c r="A1394" s="313" t="s">
        <v>95</v>
      </c>
      <c r="B1394" s="313"/>
      <c r="C1394" s="313"/>
      <c r="D1394" s="313"/>
      <c r="E1394" s="313"/>
      <c r="F1394" s="313"/>
      <c r="G1394" s="313"/>
      <c r="H1394" s="313"/>
      <c r="I1394" s="313"/>
      <c r="J1394" s="313"/>
      <c r="K1394" s="313"/>
      <c r="L1394" s="313"/>
      <c r="M1394" s="92"/>
    </row>
    <row r="1395" spans="1:16" ht="19.5" customHeight="1">
      <c r="A1395" s="97"/>
      <c r="B1395" s="97"/>
      <c r="C1395" s="145"/>
      <c r="D1395" s="97"/>
      <c r="E1395" s="97"/>
      <c r="F1395" s="97"/>
      <c r="G1395" s="97"/>
      <c r="H1395" s="97"/>
      <c r="I1395" s="97"/>
      <c r="J1395" s="97"/>
      <c r="K1395" s="97"/>
      <c r="L1395" s="97"/>
      <c r="M1395" s="94"/>
    </row>
    <row r="1396" spans="1:16" ht="5.25" customHeight="1">
      <c r="A1396" s="94"/>
      <c r="B1396" s="94"/>
      <c r="C1396" s="146"/>
      <c r="D1396" s="94"/>
      <c r="E1396" s="94"/>
      <c r="F1396" s="94"/>
      <c r="G1396" s="94"/>
      <c r="H1396" s="94"/>
      <c r="I1396" s="94"/>
      <c r="J1396" s="94"/>
      <c r="K1396" s="94"/>
      <c r="L1396" s="94"/>
      <c r="M1396" s="94"/>
    </row>
    <row r="1397" spans="1:16" ht="16.5" customHeight="1">
      <c r="A1397" s="314" t="s">
        <v>96</v>
      </c>
      <c r="B1397" s="314"/>
      <c r="C1397" s="314"/>
      <c r="D1397" s="314"/>
      <c r="E1397" s="98"/>
      <c r="F1397" s="98"/>
      <c r="G1397" s="98"/>
      <c r="H1397" s="315" t="s">
        <v>97</v>
      </c>
      <c r="I1397" s="315"/>
      <c r="J1397" s="315"/>
      <c r="K1397" s="315"/>
      <c r="L1397" s="315"/>
      <c r="M1397" s="94"/>
    </row>
    <row r="1398" spans="1:16" ht="95.1" customHeight="1">
      <c r="A1398" s="99"/>
      <c r="B1398" s="101" t="str">
        <f>B1328</f>
        <v>Ông Huỳnh Phước Hải        ….............</v>
      </c>
      <c r="C1398" s="147"/>
      <c r="D1398" s="99"/>
      <c r="E1398" s="81"/>
      <c r="F1398" s="100"/>
      <c r="G1398" s="100"/>
      <c r="H1398" s="306" t="str">
        <f>H1328</f>
        <v>Ông Phạm Tấn Việt          …..................</v>
      </c>
      <c r="I1398" s="306"/>
      <c r="J1398" s="306"/>
      <c r="K1398" s="306"/>
      <c r="L1398" s="306"/>
      <c r="M1398" s="94"/>
    </row>
    <row r="1399" spans="1:16" ht="49.5" customHeight="1">
      <c r="A1399" s="99"/>
      <c r="B1399" s="99"/>
      <c r="C1399" s="147"/>
      <c r="D1399" s="99"/>
      <c r="E1399" s="81"/>
      <c r="F1399" s="100"/>
      <c r="G1399" s="100"/>
      <c r="H1399" s="100"/>
      <c r="I1399" s="100"/>
      <c r="J1399" s="99"/>
      <c r="K1399" s="99"/>
      <c r="L1399" s="99"/>
      <c r="M1399" s="94"/>
    </row>
    <row r="1400" spans="1:16" ht="21.75" customHeight="1">
      <c r="A1400" s="346" t="s">
        <v>165</v>
      </c>
      <c r="B1400" s="346"/>
      <c r="C1400" s="346"/>
      <c r="D1400" s="346"/>
      <c r="E1400" s="346"/>
      <c r="F1400" s="346"/>
      <c r="G1400" s="346"/>
      <c r="H1400" s="346"/>
      <c r="I1400" s="346"/>
      <c r="J1400" s="346"/>
      <c r="K1400" s="346"/>
      <c r="L1400" s="346"/>
      <c r="M1400" s="82"/>
    </row>
    <row r="1401" spans="1:16" ht="19.5">
      <c r="A1401" s="84" t="str">
        <f>"Ngày "&amp;N1402&amp;" tháng "&amp;O3&amp;" năm "&amp;P3&amp;""</f>
        <v>Ngày 21 tháng 07 năm 2026</v>
      </c>
      <c r="B1401" s="84"/>
      <c r="C1401" s="85"/>
      <c r="N1401" s="216"/>
      <c r="O1401" s="20"/>
      <c r="P1401" s="20"/>
    </row>
    <row r="1402" spans="1:16" ht="16.5">
      <c r="A1402" s="337" t="s">
        <v>57</v>
      </c>
      <c r="B1402" s="337"/>
      <c r="C1402" s="337"/>
      <c r="D1402" s="311"/>
      <c r="E1402" s="311"/>
      <c r="F1402" s="311"/>
      <c r="G1402" s="95"/>
      <c r="H1402" s="95"/>
      <c r="I1402" s="95"/>
      <c r="J1402" s="95"/>
      <c r="K1402" s="95"/>
      <c r="L1402" s="95"/>
      <c r="N1402" s="217" t="s">
        <v>183</v>
      </c>
      <c r="O1402" s="214"/>
      <c r="P1402" s="17"/>
    </row>
    <row r="1403" spans="1:16" ht="15.75" customHeight="1">
      <c r="A1403" s="338"/>
      <c r="B1403" s="338"/>
      <c r="C1403" s="338"/>
      <c r="D1403" s="339" t="s">
        <v>58</v>
      </c>
      <c r="E1403" s="340"/>
      <c r="F1403" s="340"/>
      <c r="G1403" s="340"/>
      <c r="H1403" s="341"/>
      <c r="I1403" s="339" t="s">
        <v>59</v>
      </c>
      <c r="J1403" s="340"/>
      <c r="K1403" s="340"/>
      <c r="L1403" s="341"/>
    </row>
    <row r="1404" spans="1:16" ht="19.5" customHeight="1">
      <c r="A1404" s="342" t="s">
        <v>60</v>
      </c>
      <c r="B1404" s="342"/>
      <c r="C1404" s="342"/>
      <c r="D1404" s="343" t="s">
        <v>54</v>
      </c>
      <c r="E1404" s="344"/>
      <c r="F1404" s="344"/>
      <c r="G1404" s="344"/>
      <c r="H1404" s="345"/>
      <c r="I1404" s="343" t="s">
        <v>54</v>
      </c>
      <c r="J1404" s="344"/>
      <c r="K1404" s="344"/>
      <c r="L1404" s="345"/>
    </row>
    <row r="1405" spans="1:16" ht="22.5" customHeight="1">
      <c r="A1405" s="342" t="s">
        <v>61</v>
      </c>
      <c r="B1405" s="342"/>
      <c r="C1405" s="342"/>
      <c r="D1405" s="343" t="s">
        <v>163</v>
      </c>
      <c r="E1405" s="344"/>
      <c r="F1405" s="344"/>
      <c r="G1405" s="344"/>
      <c r="H1405" s="345"/>
      <c r="I1405" s="343" t="str">
        <f>D1405</f>
        <v>31° - 34°</v>
      </c>
      <c r="J1405" s="344"/>
      <c r="K1405" s="344"/>
      <c r="L1405" s="345"/>
    </row>
    <row r="1406" spans="1:16" s="87" customFormat="1" ht="15.75">
      <c r="A1406" s="310" t="s">
        <v>62</v>
      </c>
      <c r="B1406" s="310"/>
      <c r="C1406" s="310"/>
      <c r="D1406" s="310"/>
      <c r="E1406" s="310"/>
      <c r="F1406" s="310"/>
      <c r="G1406" s="310"/>
      <c r="H1406" s="310"/>
      <c r="I1406" s="310"/>
      <c r="J1406" s="310"/>
      <c r="K1406" s="310"/>
      <c r="L1406" s="310"/>
      <c r="M1406" s="85"/>
      <c r="N1406" s="218"/>
    </row>
    <row r="1407" spans="1:16" s="87" customFormat="1" ht="15.75">
      <c r="A1407" s="332" t="s">
        <v>63</v>
      </c>
      <c r="B1407" s="332"/>
      <c r="C1407" s="332"/>
      <c r="D1407" s="332"/>
      <c r="E1407" s="332"/>
      <c r="F1407" s="332"/>
      <c r="G1407" s="332"/>
      <c r="H1407" s="332"/>
      <c r="I1407" s="332"/>
      <c r="J1407" s="332"/>
      <c r="K1407" s="332"/>
      <c r="L1407" s="332"/>
      <c r="M1407" s="85"/>
      <c r="N1407" s="218"/>
    </row>
    <row r="1408" spans="1:16" s="87" customFormat="1" ht="20.100000000000001" customHeight="1">
      <c r="A1408" s="88"/>
      <c r="B1408" s="88"/>
      <c r="C1408" s="333" t="s">
        <v>64</v>
      </c>
      <c r="D1408" s="334"/>
      <c r="E1408" s="334"/>
      <c r="F1408" s="334"/>
      <c r="G1408" s="334"/>
      <c r="H1408" s="334"/>
      <c r="I1408" s="334"/>
      <c r="J1408" s="334"/>
      <c r="K1408" s="334"/>
      <c r="L1408" s="334"/>
      <c r="M1408" s="85"/>
      <c r="N1408" s="218"/>
    </row>
    <row r="1409" spans="1:29" s="87" customFormat="1" ht="20.100000000000001" customHeight="1">
      <c r="A1409" s="88"/>
      <c r="B1409" s="88"/>
      <c r="C1409" s="333" t="s">
        <v>65</v>
      </c>
      <c r="D1409" s="334"/>
      <c r="E1409" s="334"/>
      <c r="F1409" s="334"/>
      <c r="G1409" s="334"/>
      <c r="H1409" s="334"/>
      <c r="I1409" s="334"/>
      <c r="J1409" s="334"/>
      <c r="K1409" s="334"/>
      <c r="L1409" s="334"/>
      <c r="M1409" s="85"/>
      <c r="N1409" s="218"/>
    </row>
    <row r="1410" spans="1:29" s="87" customFormat="1" ht="17.25" customHeight="1">
      <c r="A1410" s="335" t="s">
        <v>66</v>
      </c>
      <c r="B1410" s="335"/>
      <c r="C1410" s="335"/>
      <c r="D1410" s="335"/>
      <c r="E1410" s="335"/>
      <c r="F1410" s="335"/>
      <c r="G1410" s="335"/>
      <c r="H1410" s="335"/>
      <c r="I1410" s="335"/>
      <c r="J1410" s="335"/>
      <c r="K1410" s="335"/>
      <c r="L1410" s="335"/>
      <c r="M1410" s="85"/>
      <c r="N1410" s="218"/>
    </row>
    <row r="1411" spans="1:29" s="87" customFormat="1" ht="7.5" customHeight="1">
      <c r="A1411" s="119"/>
      <c r="B1411" s="119"/>
      <c r="C1411" s="119"/>
      <c r="D1411" s="119"/>
      <c r="E1411" s="119"/>
      <c r="F1411" s="119"/>
      <c r="G1411" s="119"/>
      <c r="H1411" s="119"/>
      <c r="I1411" s="119"/>
      <c r="J1411" s="119"/>
      <c r="K1411" s="119"/>
      <c r="L1411" s="119"/>
      <c r="M1411" s="85"/>
      <c r="N1411" s="218"/>
    </row>
    <row r="1412" spans="1:29" ht="15.75">
      <c r="A1412" s="336" t="s">
        <v>67</v>
      </c>
      <c r="B1412" s="336"/>
      <c r="C1412" s="336"/>
      <c r="D1412" s="336"/>
      <c r="E1412" s="336"/>
      <c r="F1412" s="336"/>
      <c r="G1412" s="336"/>
      <c r="H1412" s="336"/>
      <c r="I1412" s="336"/>
      <c r="J1412" s="336"/>
      <c r="K1412" s="336"/>
      <c r="L1412" s="336"/>
    </row>
    <row r="1413" spans="1:29" ht="2.25" customHeight="1">
      <c r="A1413" s="141"/>
      <c r="B1413" s="141"/>
      <c r="C1413" s="141"/>
      <c r="D1413" s="141"/>
      <c r="E1413" s="141"/>
      <c r="F1413" s="141"/>
      <c r="G1413" s="155"/>
      <c r="H1413" s="155"/>
      <c r="I1413" s="155"/>
      <c r="J1413" s="155"/>
      <c r="K1413" s="155"/>
      <c r="L1413" s="155"/>
    </row>
    <row r="1414" spans="1:29" ht="27.75" customHeight="1">
      <c r="A1414" s="317" t="s">
        <v>135</v>
      </c>
      <c r="B1414" s="318"/>
      <c r="C1414" s="317" t="s">
        <v>68</v>
      </c>
      <c r="D1414" s="318"/>
      <c r="E1414" s="183"/>
      <c r="F1414" s="321" t="s">
        <v>136</v>
      </c>
      <c r="G1414" s="322" t="s">
        <v>155</v>
      </c>
      <c r="H1414" s="323"/>
      <c r="I1414" s="323"/>
      <c r="J1414" s="322" t="s">
        <v>154</v>
      </c>
      <c r="K1414" s="323"/>
      <c r="L1414" s="324"/>
      <c r="M1414" s="92"/>
      <c r="O1414" s="325"/>
      <c r="P1414" s="325"/>
      <c r="Q1414" s="325"/>
      <c r="R1414" s="325"/>
      <c r="S1414" s="316"/>
      <c r="T1414" s="316"/>
      <c r="U1414" s="316"/>
      <c r="V1414" s="316"/>
      <c r="W1414" s="316"/>
      <c r="X1414" s="316"/>
      <c r="Y1414" s="316"/>
      <c r="Z1414" s="316"/>
      <c r="AA1414" s="316"/>
      <c r="AB1414" s="316"/>
      <c r="AC1414" s="316"/>
    </row>
    <row r="1415" spans="1:29" ht="125.25" customHeight="1">
      <c r="A1415" s="319"/>
      <c r="B1415" s="320"/>
      <c r="C1415" s="319"/>
      <c r="D1415" s="320"/>
      <c r="E1415" s="184"/>
      <c r="F1415" s="321"/>
      <c r="G1415" s="153" t="s">
        <v>151</v>
      </c>
      <c r="H1415" s="153" t="s">
        <v>152</v>
      </c>
      <c r="I1415" s="153" t="s">
        <v>153</v>
      </c>
      <c r="J1415" s="153" t="s">
        <v>151</v>
      </c>
      <c r="K1415" s="153" t="s">
        <v>152</v>
      </c>
      <c r="L1415" s="153" t="s">
        <v>153</v>
      </c>
      <c r="O1415" s="325"/>
      <c r="P1415" s="325"/>
      <c r="Q1415" s="325"/>
      <c r="R1415" s="325"/>
      <c r="S1415" s="193"/>
      <c r="T1415" s="193"/>
      <c r="U1415" s="193"/>
      <c r="V1415" s="193"/>
      <c r="W1415" s="193"/>
      <c r="X1415" s="193"/>
      <c r="Y1415" s="193"/>
      <c r="Z1415" s="193"/>
      <c r="AA1415" s="193"/>
      <c r="AB1415" s="193"/>
      <c r="AC1415" s="193"/>
    </row>
    <row r="1416" spans="1:29" ht="24.75" customHeight="1">
      <c r="A1416" s="190" t="s">
        <v>128</v>
      </c>
      <c r="B1416" s="142"/>
      <c r="C1416" s="330" t="s">
        <v>129</v>
      </c>
      <c r="D1416" s="330"/>
      <c r="E1416" s="330"/>
      <c r="F1416" s="330"/>
      <c r="G1416" s="330"/>
      <c r="H1416" s="330"/>
      <c r="I1416" s="330"/>
      <c r="J1416" s="330"/>
      <c r="K1416" s="330"/>
      <c r="L1416" s="330"/>
      <c r="M1416" s="93"/>
      <c r="O1416" s="156"/>
      <c r="P1416" s="142"/>
      <c r="Q1416" s="331"/>
      <c r="R1416" s="331"/>
      <c r="S1416" s="331"/>
      <c r="T1416" s="331"/>
      <c r="U1416" s="331"/>
      <c r="V1416" s="331"/>
      <c r="W1416" s="331"/>
      <c r="X1416" s="331"/>
      <c r="Y1416" s="331"/>
      <c r="Z1416" s="331"/>
      <c r="AA1416" s="331"/>
      <c r="AB1416" s="331"/>
      <c r="AC1416" s="331"/>
    </row>
    <row r="1417" spans="1:29" ht="21" customHeight="1">
      <c r="A1417" s="187">
        <v>1</v>
      </c>
      <c r="B1417" s="185" t="s">
        <v>69</v>
      </c>
      <c r="C1417" s="326" t="s">
        <v>70</v>
      </c>
      <c r="D1417" s="326"/>
      <c r="E1417" s="176"/>
      <c r="F1417" s="144" t="s">
        <v>71</v>
      </c>
      <c r="G1417" s="203" t="s">
        <v>156</v>
      </c>
      <c r="H1417" s="202" t="s">
        <v>156</v>
      </c>
      <c r="I1417" s="201">
        <v>1</v>
      </c>
      <c r="J1417" s="202" t="s">
        <v>156</v>
      </c>
      <c r="K1417" s="202" t="s">
        <v>156</v>
      </c>
      <c r="L1417" s="201">
        <v>1</v>
      </c>
      <c r="M1417" s="93"/>
      <c r="O1417" s="195"/>
      <c r="P1417" s="196"/>
      <c r="Q1417" s="327"/>
      <c r="R1417" s="327"/>
      <c r="S1417" s="86"/>
      <c r="T1417" s="86"/>
      <c r="U1417" s="86"/>
      <c r="V1417" s="86"/>
      <c r="W1417" s="194"/>
      <c r="X1417" s="194"/>
      <c r="Y1417" s="194"/>
      <c r="Z1417" s="194"/>
      <c r="AA1417" s="194"/>
      <c r="AB1417" s="194"/>
      <c r="AC1417" s="194"/>
    </row>
    <row r="1418" spans="1:29" ht="21" customHeight="1">
      <c r="A1418" s="187">
        <v>2</v>
      </c>
      <c r="B1418" s="185" t="s">
        <v>69</v>
      </c>
      <c r="C1418" s="326" t="s">
        <v>72</v>
      </c>
      <c r="D1418" s="326"/>
      <c r="E1418" s="176"/>
      <c r="F1418" s="144" t="s">
        <v>71</v>
      </c>
      <c r="G1418" s="203" t="s">
        <v>156</v>
      </c>
      <c r="H1418" s="202" t="s">
        <v>156</v>
      </c>
      <c r="I1418" s="202" t="s">
        <v>156</v>
      </c>
      <c r="J1418" s="202" t="s">
        <v>156</v>
      </c>
      <c r="K1418" s="202" t="s">
        <v>156</v>
      </c>
      <c r="L1418" s="202" t="s">
        <v>156</v>
      </c>
      <c r="M1418" s="93"/>
      <c r="O1418" s="195"/>
      <c r="P1418" s="196"/>
      <c r="Q1418" s="327"/>
      <c r="R1418" s="327"/>
      <c r="S1418" s="194"/>
      <c r="T1418" s="194"/>
      <c r="U1418" s="194"/>
      <c r="V1418" s="86"/>
      <c r="W1418" s="86"/>
      <c r="X1418" s="86"/>
      <c r="Y1418" s="86"/>
      <c r="Z1418" s="194"/>
      <c r="AA1418" s="194"/>
      <c r="AB1418" s="194"/>
      <c r="AC1418" s="194"/>
    </row>
    <row r="1419" spans="1:29" ht="21" customHeight="1">
      <c r="A1419" s="187">
        <v>3</v>
      </c>
      <c r="B1419" s="185" t="s">
        <v>69</v>
      </c>
      <c r="C1419" s="326" t="s">
        <v>73</v>
      </c>
      <c r="D1419" s="326"/>
      <c r="E1419" s="176"/>
      <c r="F1419" s="144" t="s">
        <v>71</v>
      </c>
      <c r="G1419" s="203" t="s">
        <v>156</v>
      </c>
      <c r="H1419" s="202" t="s">
        <v>156</v>
      </c>
      <c r="I1419" s="202" t="s">
        <v>156</v>
      </c>
      <c r="J1419" s="202" t="s">
        <v>156</v>
      </c>
      <c r="K1419" s="202" t="s">
        <v>156</v>
      </c>
      <c r="L1419" s="202" t="s">
        <v>156</v>
      </c>
      <c r="M1419" s="93"/>
      <c r="O1419" s="195"/>
      <c r="P1419" s="196"/>
      <c r="Q1419" s="327"/>
      <c r="R1419" s="327"/>
      <c r="S1419" s="194"/>
      <c r="T1419" s="86"/>
      <c r="U1419" s="86"/>
      <c r="V1419" s="86"/>
      <c r="W1419" s="86"/>
      <c r="X1419" s="194"/>
      <c r="Y1419" s="194"/>
      <c r="Z1419" s="194"/>
      <c r="AA1419" s="194"/>
      <c r="AB1419" s="194"/>
      <c r="AC1419" s="194"/>
    </row>
    <row r="1420" spans="1:29" ht="21" customHeight="1">
      <c r="A1420" s="187">
        <v>4</v>
      </c>
      <c r="B1420" s="185" t="s">
        <v>69</v>
      </c>
      <c r="C1420" s="326" t="s">
        <v>98</v>
      </c>
      <c r="D1420" s="326"/>
      <c r="E1420" s="176"/>
      <c r="F1420" s="144" t="s">
        <v>71</v>
      </c>
      <c r="G1420" s="203" t="s">
        <v>156</v>
      </c>
      <c r="H1420" s="202" t="s">
        <v>156</v>
      </c>
      <c r="I1420" s="202" t="s">
        <v>156</v>
      </c>
      <c r="J1420" s="202" t="s">
        <v>156</v>
      </c>
      <c r="K1420" s="202" t="s">
        <v>156</v>
      </c>
      <c r="L1420" s="202" t="s">
        <v>156</v>
      </c>
      <c r="M1420" s="93"/>
      <c r="O1420" s="195"/>
      <c r="P1420" s="196"/>
      <c r="Q1420" s="327"/>
      <c r="R1420" s="327"/>
      <c r="S1420" s="194"/>
      <c r="T1420" s="194"/>
      <c r="U1420" s="194"/>
      <c r="V1420" s="194"/>
      <c r="W1420" s="194"/>
      <c r="X1420" s="194"/>
      <c r="Y1420" s="194"/>
      <c r="Z1420" s="86"/>
      <c r="AA1420" s="86"/>
      <c r="AB1420" s="86"/>
      <c r="AC1420" s="86"/>
    </row>
    <row r="1421" spans="1:29" ht="21" customHeight="1">
      <c r="A1421" s="187">
        <v>5</v>
      </c>
      <c r="B1421" s="185" t="s">
        <v>69</v>
      </c>
      <c r="C1421" s="326" t="s">
        <v>74</v>
      </c>
      <c r="D1421" s="326"/>
      <c r="E1421" s="176"/>
      <c r="F1421" s="144" t="s">
        <v>71</v>
      </c>
      <c r="G1421" s="203" t="s">
        <v>156</v>
      </c>
      <c r="H1421" s="202" t="s">
        <v>156</v>
      </c>
      <c r="I1421" s="202" t="s">
        <v>156</v>
      </c>
      <c r="J1421" s="202" t="s">
        <v>156</v>
      </c>
      <c r="K1421" s="202" t="s">
        <v>156</v>
      </c>
      <c r="L1421" s="202" t="s">
        <v>156</v>
      </c>
      <c r="M1421" s="93"/>
      <c r="O1421" s="195"/>
      <c r="P1421" s="196"/>
      <c r="Q1421" s="327"/>
      <c r="R1421" s="327"/>
      <c r="S1421" s="194"/>
      <c r="T1421" s="194"/>
      <c r="U1421" s="194"/>
      <c r="V1421" s="194"/>
      <c r="W1421" s="194"/>
      <c r="X1421" s="194"/>
      <c r="Y1421" s="194"/>
      <c r="Z1421" s="194"/>
      <c r="AA1421" s="194"/>
      <c r="AB1421" s="194"/>
      <c r="AC1421" s="194"/>
    </row>
    <row r="1422" spans="1:29" ht="21" customHeight="1">
      <c r="A1422" s="187">
        <v>6</v>
      </c>
      <c r="B1422" s="185" t="s">
        <v>69</v>
      </c>
      <c r="C1422" s="326" t="s">
        <v>75</v>
      </c>
      <c r="D1422" s="326"/>
      <c r="E1422" s="176"/>
      <c r="F1422" s="144" t="s">
        <v>71</v>
      </c>
      <c r="G1422" s="203" t="s">
        <v>156</v>
      </c>
      <c r="H1422" s="202" t="s">
        <v>156</v>
      </c>
      <c r="I1422" s="202" t="s">
        <v>156</v>
      </c>
      <c r="J1422" s="202" t="s">
        <v>156</v>
      </c>
      <c r="K1422" s="202" t="s">
        <v>156</v>
      </c>
      <c r="L1422" s="202" t="s">
        <v>156</v>
      </c>
      <c r="M1422" s="93"/>
      <c r="O1422" s="195"/>
      <c r="P1422" s="196"/>
      <c r="Q1422" s="327"/>
      <c r="R1422" s="327"/>
      <c r="S1422" s="194"/>
      <c r="T1422" s="194"/>
      <c r="U1422" s="194"/>
      <c r="V1422" s="194"/>
      <c r="W1422" s="194"/>
      <c r="X1422" s="194"/>
      <c r="Y1422" s="194"/>
      <c r="Z1422" s="194"/>
      <c r="AA1422" s="194"/>
      <c r="AB1422" s="194"/>
      <c r="AC1422" s="194"/>
    </row>
    <row r="1423" spans="1:29" ht="21" customHeight="1">
      <c r="A1423" s="187">
        <v>7</v>
      </c>
      <c r="B1423" s="185" t="s">
        <v>69</v>
      </c>
      <c r="C1423" s="326" t="s">
        <v>76</v>
      </c>
      <c r="D1423" s="326"/>
      <c r="E1423" s="176"/>
      <c r="F1423" s="144" t="s">
        <v>71</v>
      </c>
      <c r="G1423" s="203" t="s">
        <v>156</v>
      </c>
      <c r="H1423" s="202" t="s">
        <v>156</v>
      </c>
      <c r="I1423" s="202" t="s">
        <v>156</v>
      </c>
      <c r="J1423" s="202" t="s">
        <v>156</v>
      </c>
      <c r="K1423" s="202" t="s">
        <v>156</v>
      </c>
      <c r="L1423" s="202" t="s">
        <v>156</v>
      </c>
      <c r="M1423" s="93"/>
      <c r="O1423" s="195"/>
      <c r="P1423" s="196"/>
      <c r="Q1423" s="327"/>
      <c r="R1423" s="327"/>
      <c r="S1423" s="194"/>
      <c r="T1423" s="194"/>
      <c r="U1423" s="194"/>
      <c r="V1423" s="194"/>
      <c r="W1423" s="194"/>
      <c r="X1423" s="194"/>
      <c r="Y1423" s="194"/>
      <c r="Z1423" s="194"/>
      <c r="AA1423" s="194"/>
      <c r="AB1423" s="194"/>
      <c r="AC1423" s="194"/>
    </row>
    <row r="1424" spans="1:29" ht="21" customHeight="1">
      <c r="A1424" s="187">
        <v>8</v>
      </c>
      <c r="B1424" s="185" t="s">
        <v>69</v>
      </c>
      <c r="C1424" s="326" t="s">
        <v>99</v>
      </c>
      <c r="D1424" s="326"/>
      <c r="E1424" s="176"/>
      <c r="F1424" s="144" t="s">
        <v>71</v>
      </c>
      <c r="G1424" s="203" t="s">
        <v>156</v>
      </c>
      <c r="H1424" s="202" t="s">
        <v>156</v>
      </c>
      <c r="I1424" s="202" t="s">
        <v>156</v>
      </c>
      <c r="J1424" s="202" t="s">
        <v>156</v>
      </c>
      <c r="K1424" s="202" t="s">
        <v>156</v>
      </c>
      <c r="L1424" s="202" t="s">
        <v>156</v>
      </c>
      <c r="M1424" s="93"/>
      <c r="O1424" s="195"/>
      <c r="P1424" s="196"/>
      <c r="Q1424" s="327"/>
      <c r="R1424" s="327"/>
      <c r="S1424" s="194"/>
      <c r="T1424" s="194"/>
      <c r="U1424" s="194"/>
      <c r="V1424" s="194"/>
      <c r="W1424" s="194"/>
      <c r="X1424" s="194"/>
      <c r="Y1424" s="194"/>
      <c r="Z1424" s="194"/>
      <c r="AA1424" s="194"/>
      <c r="AB1424" s="194"/>
      <c r="AC1424" s="194"/>
    </row>
    <row r="1425" spans="1:29" ht="21" customHeight="1">
      <c r="A1425" s="187">
        <v>9</v>
      </c>
      <c r="B1425" s="185" t="s">
        <v>69</v>
      </c>
      <c r="C1425" s="326" t="s">
        <v>77</v>
      </c>
      <c r="D1425" s="326"/>
      <c r="E1425" s="176"/>
      <c r="F1425" s="144" t="s">
        <v>71</v>
      </c>
      <c r="G1425" s="203" t="s">
        <v>156</v>
      </c>
      <c r="H1425" s="202" t="s">
        <v>156</v>
      </c>
      <c r="I1425" s="202" t="s">
        <v>156</v>
      </c>
      <c r="J1425" s="202" t="s">
        <v>156</v>
      </c>
      <c r="K1425" s="202" t="s">
        <v>156</v>
      </c>
      <c r="L1425" s="202" t="s">
        <v>156</v>
      </c>
      <c r="M1425" s="93"/>
      <c r="O1425" s="195"/>
      <c r="P1425" s="196"/>
      <c r="Q1425" s="327"/>
      <c r="R1425" s="327"/>
      <c r="S1425" s="194"/>
      <c r="T1425" s="194"/>
      <c r="U1425" s="194"/>
      <c r="V1425" s="194"/>
      <c r="W1425" s="194"/>
      <c r="X1425" s="194"/>
      <c r="Y1425" s="194"/>
      <c r="Z1425" s="194"/>
      <c r="AA1425" s="194"/>
      <c r="AB1425" s="194"/>
      <c r="AC1425" s="194"/>
    </row>
    <row r="1426" spans="1:29" ht="21" customHeight="1">
      <c r="A1426" s="187">
        <v>10</v>
      </c>
      <c r="B1426" s="185" t="s">
        <v>69</v>
      </c>
      <c r="C1426" s="326" t="s">
        <v>78</v>
      </c>
      <c r="D1426" s="326"/>
      <c r="E1426" s="176"/>
      <c r="F1426" s="144" t="s">
        <v>71</v>
      </c>
      <c r="G1426" s="203" t="s">
        <v>156</v>
      </c>
      <c r="H1426" s="202" t="s">
        <v>156</v>
      </c>
      <c r="I1426" s="202" t="s">
        <v>156</v>
      </c>
      <c r="J1426" s="202" t="s">
        <v>156</v>
      </c>
      <c r="K1426" s="202" t="s">
        <v>156</v>
      </c>
      <c r="L1426" s="202" t="s">
        <v>156</v>
      </c>
      <c r="M1426" s="93"/>
      <c r="O1426" s="195"/>
      <c r="P1426" s="196"/>
      <c r="Q1426" s="327"/>
      <c r="R1426" s="327"/>
      <c r="S1426" s="194"/>
      <c r="T1426" s="194"/>
      <c r="U1426" s="194"/>
      <c r="V1426" s="194"/>
      <c r="W1426" s="194"/>
      <c r="X1426" s="194"/>
      <c r="Y1426" s="194"/>
      <c r="Z1426" s="194"/>
      <c r="AA1426" s="194"/>
      <c r="AB1426" s="194"/>
      <c r="AC1426" s="194"/>
    </row>
    <row r="1427" spans="1:29" ht="21" customHeight="1">
      <c r="A1427" s="187">
        <v>11</v>
      </c>
      <c r="B1427" s="185" t="s">
        <v>69</v>
      </c>
      <c r="C1427" s="326" t="s">
        <v>79</v>
      </c>
      <c r="D1427" s="326"/>
      <c r="E1427" s="176"/>
      <c r="F1427" s="144" t="s">
        <v>71</v>
      </c>
      <c r="G1427" s="203" t="s">
        <v>156</v>
      </c>
      <c r="H1427" s="202" t="s">
        <v>156</v>
      </c>
      <c r="I1427" s="202" t="s">
        <v>156</v>
      </c>
      <c r="J1427" s="202" t="s">
        <v>156</v>
      </c>
      <c r="K1427" s="202" t="s">
        <v>156</v>
      </c>
      <c r="L1427" s="202" t="s">
        <v>156</v>
      </c>
      <c r="M1427" s="93"/>
      <c r="O1427" s="195"/>
      <c r="P1427" s="196"/>
      <c r="Q1427" s="327"/>
      <c r="R1427" s="327"/>
      <c r="S1427" s="194"/>
      <c r="T1427" s="194"/>
      <c r="U1427" s="194"/>
      <c r="V1427" s="194"/>
      <c r="W1427" s="194"/>
      <c r="X1427" s="194"/>
      <c r="Y1427" s="194"/>
      <c r="Z1427" s="194"/>
      <c r="AA1427" s="194"/>
      <c r="AB1427" s="194"/>
      <c r="AC1427" s="194"/>
    </row>
    <row r="1428" spans="1:29" ht="21" customHeight="1">
      <c r="A1428" s="187">
        <v>12</v>
      </c>
      <c r="B1428" s="185" t="s">
        <v>69</v>
      </c>
      <c r="C1428" s="326" t="s">
        <v>100</v>
      </c>
      <c r="D1428" s="326"/>
      <c r="E1428" s="176"/>
      <c r="F1428" s="144" t="s">
        <v>71</v>
      </c>
      <c r="G1428" s="203" t="s">
        <v>156</v>
      </c>
      <c r="H1428" s="202" t="s">
        <v>156</v>
      </c>
      <c r="I1428" s="202" t="s">
        <v>156</v>
      </c>
      <c r="J1428" s="202" t="s">
        <v>156</v>
      </c>
      <c r="K1428" s="202" t="s">
        <v>156</v>
      </c>
      <c r="L1428" s="202" t="s">
        <v>156</v>
      </c>
      <c r="M1428" s="93"/>
      <c r="O1428" s="195"/>
      <c r="P1428" s="196"/>
      <c r="Q1428" s="327"/>
      <c r="R1428" s="327"/>
      <c r="S1428" s="194"/>
      <c r="T1428" s="194"/>
      <c r="U1428" s="194"/>
      <c r="V1428" s="194"/>
      <c r="W1428" s="194"/>
      <c r="X1428" s="194"/>
      <c r="Y1428" s="194"/>
      <c r="Z1428" s="194"/>
      <c r="AA1428" s="194"/>
      <c r="AB1428" s="194"/>
      <c r="AC1428" s="194"/>
    </row>
    <row r="1429" spans="1:29" ht="21" customHeight="1">
      <c r="A1429" s="187">
        <v>13</v>
      </c>
      <c r="B1429" s="185" t="s">
        <v>69</v>
      </c>
      <c r="C1429" s="326" t="s">
        <v>80</v>
      </c>
      <c r="D1429" s="326"/>
      <c r="E1429" s="176"/>
      <c r="F1429" s="144" t="s">
        <v>71</v>
      </c>
      <c r="G1429" s="203" t="s">
        <v>156</v>
      </c>
      <c r="H1429" s="202" t="s">
        <v>156</v>
      </c>
      <c r="I1429" s="202" t="s">
        <v>156</v>
      </c>
      <c r="J1429" s="202" t="s">
        <v>156</v>
      </c>
      <c r="K1429" s="202" t="s">
        <v>156</v>
      </c>
      <c r="L1429" s="202" t="s">
        <v>156</v>
      </c>
      <c r="M1429" s="93"/>
      <c r="O1429" s="195"/>
      <c r="P1429" s="196"/>
      <c r="Q1429" s="327"/>
      <c r="R1429" s="327"/>
      <c r="S1429" s="194"/>
      <c r="T1429" s="194"/>
      <c r="U1429" s="194"/>
      <c r="V1429" s="194"/>
      <c r="W1429" s="194"/>
      <c r="X1429" s="194"/>
      <c r="Y1429" s="194"/>
      <c r="Z1429" s="194"/>
      <c r="AA1429" s="194"/>
      <c r="AB1429" s="194"/>
      <c r="AC1429" s="194"/>
    </row>
    <row r="1430" spans="1:29" ht="21" customHeight="1">
      <c r="A1430" s="187">
        <v>14</v>
      </c>
      <c r="B1430" s="185" t="s">
        <v>69</v>
      </c>
      <c r="C1430" s="326" t="s">
        <v>91</v>
      </c>
      <c r="D1430" s="326"/>
      <c r="E1430" s="176"/>
      <c r="F1430" s="144" t="s">
        <v>71</v>
      </c>
      <c r="G1430" s="203" t="s">
        <v>156</v>
      </c>
      <c r="H1430" s="202" t="s">
        <v>156</v>
      </c>
      <c r="I1430" s="202" t="s">
        <v>156</v>
      </c>
      <c r="J1430" s="202" t="s">
        <v>156</v>
      </c>
      <c r="K1430" s="202" t="s">
        <v>156</v>
      </c>
      <c r="L1430" s="202" t="s">
        <v>156</v>
      </c>
      <c r="M1430" s="93"/>
      <c r="O1430" s="195"/>
      <c r="P1430" s="196"/>
      <c r="Q1430" s="327"/>
      <c r="R1430" s="327"/>
      <c r="S1430" s="194"/>
      <c r="T1430" s="194"/>
      <c r="U1430" s="194"/>
      <c r="V1430" s="194"/>
      <c r="W1430" s="194"/>
      <c r="X1430" s="194"/>
      <c r="Y1430" s="194"/>
      <c r="Z1430" s="194"/>
      <c r="AA1430" s="194"/>
      <c r="AB1430" s="194"/>
      <c r="AC1430" s="194"/>
    </row>
    <row r="1431" spans="1:29" ht="21" customHeight="1">
      <c r="A1431" s="187">
        <v>15</v>
      </c>
      <c r="B1431" s="185" t="s">
        <v>69</v>
      </c>
      <c r="C1431" s="326" t="s">
        <v>81</v>
      </c>
      <c r="D1431" s="326"/>
      <c r="E1431" s="176"/>
      <c r="F1431" s="144" t="s">
        <v>71</v>
      </c>
      <c r="G1431" s="203" t="s">
        <v>156</v>
      </c>
      <c r="H1431" s="202" t="s">
        <v>156</v>
      </c>
      <c r="I1431" s="202" t="s">
        <v>156</v>
      </c>
      <c r="J1431" s="202" t="s">
        <v>156</v>
      </c>
      <c r="K1431" s="202" t="s">
        <v>156</v>
      </c>
      <c r="L1431" s="202" t="s">
        <v>156</v>
      </c>
      <c r="M1431" s="93"/>
      <c r="O1431" s="195"/>
      <c r="P1431" s="196"/>
      <c r="Q1431" s="327"/>
      <c r="R1431" s="327"/>
      <c r="S1431" s="194"/>
      <c r="T1431" s="194"/>
      <c r="U1431" s="194"/>
      <c r="V1431" s="194"/>
      <c r="W1431" s="194"/>
      <c r="X1431" s="194"/>
      <c r="Y1431" s="194"/>
      <c r="Z1431" s="194"/>
      <c r="AA1431" s="194"/>
      <c r="AB1431" s="194"/>
      <c r="AC1431" s="194"/>
    </row>
    <row r="1432" spans="1:29" ht="21" customHeight="1">
      <c r="A1432" s="187">
        <v>16</v>
      </c>
      <c r="B1432" s="185" t="s">
        <v>69</v>
      </c>
      <c r="C1432" s="326" t="s">
        <v>101</v>
      </c>
      <c r="D1432" s="326"/>
      <c r="E1432" s="151"/>
      <c r="F1432" s="144" t="s">
        <v>71</v>
      </c>
      <c r="G1432" s="203" t="s">
        <v>156</v>
      </c>
      <c r="H1432" s="202" t="s">
        <v>156</v>
      </c>
      <c r="I1432" s="202" t="s">
        <v>156</v>
      </c>
      <c r="J1432" s="202" t="s">
        <v>156</v>
      </c>
      <c r="K1432" s="202" t="s">
        <v>156</v>
      </c>
      <c r="L1432" s="202" t="s">
        <v>156</v>
      </c>
      <c r="M1432" s="93"/>
      <c r="N1432" s="219"/>
      <c r="O1432" s="195"/>
      <c r="P1432" s="196"/>
      <c r="Q1432" s="327"/>
      <c r="R1432" s="327"/>
      <c r="S1432" s="197"/>
      <c r="T1432" s="197"/>
      <c r="U1432" s="197"/>
      <c r="V1432" s="197"/>
      <c r="W1432" s="197"/>
      <c r="X1432" s="197"/>
      <c r="Y1432" s="197"/>
      <c r="Z1432" s="197"/>
      <c r="AA1432" s="197"/>
      <c r="AB1432" s="197"/>
      <c r="AC1432" s="197"/>
    </row>
    <row r="1433" spans="1:29" ht="21" customHeight="1">
      <c r="A1433" s="187">
        <v>17</v>
      </c>
      <c r="B1433" s="186" t="s">
        <v>69</v>
      </c>
      <c r="C1433" s="326" t="s">
        <v>141</v>
      </c>
      <c r="D1433" s="326"/>
      <c r="E1433" s="151"/>
      <c r="F1433" s="144" t="s">
        <v>71</v>
      </c>
      <c r="G1433" s="203" t="s">
        <v>156</v>
      </c>
      <c r="H1433" s="202" t="s">
        <v>156</v>
      </c>
      <c r="I1433" s="202" t="s">
        <v>156</v>
      </c>
      <c r="J1433" s="202" t="s">
        <v>156</v>
      </c>
      <c r="K1433" s="202" t="s">
        <v>156</v>
      </c>
      <c r="L1433" s="202" t="s">
        <v>156</v>
      </c>
      <c r="M1433" s="93"/>
      <c r="N1433" s="219"/>
      <c r="O1433" s="195"/>
      <c r="P1433" s="104"/>
      <c r="Q1433" s="327"/>
      <c r="R1433" s="327"/>
      <c r="S1433" s="197"/>
      <c r="T1433" s="197"/>
      <c r="U1433" s="197"/>
      <c r="V1433" s="197"/>
      <c r="W1433" s="197"/>
      <c r="X1433" s="197"/>
      <c r="Y1433" s="197"/>
      <c r="Z1433" s="197"/>
      <c r="AA1433" s="197"/>
      <c r="AB1433" s="197"/>
      <c r="AC1433" s="197"/>
    </row>
    <row r="1434" spans="1:29" ht="21" customHeight="1">
      <c r="A1434" s="187">
        <v>18</v>
      </c>
      <c r="B1434" s="186" t="s">
        <v>69</v>
      </c>
      <c r="C1434" s="326" t="s">
        <v>142</v>
      </c>
      <c r="D1434" s="326"/>
      <c r="E1434" s="151"/>
      <c r="F1434" s="144" t="s">
        <v>71</v>
      </c>
      <c r="G1434" s="203" t="s">
        <v>156</v>
      </c>
      <c r="H1434" s="202" t="s">
        <v>156</v>
      </c>
      <c r="I1434" s="202" t="s">
        <v>156</v>
      </c>
      <c r="J1434" s="202" t="s">
        <v>156</v>
      </c>
      <c r="K1434" s="202" t="s">
        <v>156</v>
      </c>
      <c r="L1434" s="202" t="s">
        <v>156</v>
      </c>
      <c r="M1434" s="93"/>
      <c r="N1434" s="219"/>
      <c r="O1434" s="195"/>
      <c r="P1434" s="104"/>
      <c r="Q1434" s="327"/>
      <c r="R1434" s="327"/>
      <c r="S1434" s="197"/>
      <c r="T1434" s="197"/>
      <c r="U1434" s="197"/>
      <c r="V1434" s="197"/>
      <c r="W1434" s="197"/>
      <c r="X1434" s="197"/>
      <c r="Y1434" s="197"/>
      <c r="Z1434" s="197"/>
      <c r="AA1434" s="197"/>
      <c r="AB1434" s="197"/>
      <c r="AC1434" s="197"/>
    </row>
    <row r="1435" spans="1:29" ht="21" customHeight="1">
      <c r="A1435" s="187">
        <v>19</v>
      </c>
      <c r="B1435" s="186" t="s">
        <v>69</v>
      </c>
      <c r="C1435" s="326" t="s">
        <v>143</v>
      </c>
      <c r="D1435" s="326"/>
      <c r="E1435" s="151"/>
      <c r="F1435" s="144" t="s">
        <v>71</v>
      </c>
      <c r="G1435" s="203" t="s">
        <v>156</v>
      </c>
      <c r="H1435" s="202" t="s">
        <v>156</v>
      </c>
      <c r="I1435" s="202" t="s">
        <v>156</v>
      </c>
      <c r="J1435" s="202" t="s">
        <v>156</v>
      </c>
      <c r="K1435" s="202" t="s">
        <v>156</v>
      </c>
      <c r="L1435" s="202" t="s">
        <v>156</v>
      </c>
      <c r="M1435" s="93"/>
      <c r="N1435" s="219"/>
      <c r="O1435" s="195"/>
      <c r="P1435" s="104"/>
      <c r="Q1435" s="327"/>
      <c r="R1435" s="327"/>
      <c r="S1435" s="197"/>
      <c r="T1435" s="197"/>
      <c r="U1435" s="197"/>
      <c r="V1435" s="197"/>
      <c r="W1435" s="197"/>
      <c r="X1435" s="197"/>
      <c r="Y1435" s="197"/>
      <c r="Z1435" s="197"/>
      <c r="AA1435" s="197"/>
      <c r="AB1435" s="197"/>
      <c r="AC1435" s="197"/>
    </row>
    <row r="1436" spans="1:29" ht="21" customHeight="1">
      <c r="A1436" s="187">
        <v>20</v>
      </c>
      <c r="B1436" s="186" t="s">
        <v>69</v>
      </c>
      <c r="C1436" s="326" t="s">
        <v>102</v>
      </c>
      <c r="D1436" s="326"/>
      <c r="E1436" s="150"/>
      <c r="F1436" s="154" t="s">
        <v>71</v>
      </c>
      <c r="G1436" s="203" t="s">
        <v>156</v>
      </c>
      <c r="H1436" s="202" t="s">
        <v>156</v>
      </c>
      <c r="I1436" s="202" t="s">
        <v>156</v>
      </c>
      <c r="J1436" s="202" t="s">
        <v>156</v>
      </c>
      <c r="K1436" s="202" t="s">
        <v>156</v>
      </c>
      <c r="L1436" s="202" t="s">
        <v>156</v>
      </c>
      <c r="M1436" s="93"/>
      <c r="N1436" s="219"/>
      <c r="O1436" s="195"/>
      <c r="P1436" s="104"/>
      <c r="Q1436" s="327"/>
      <c r="R1436" s="327"/>
      <c r="S1436" s="197"/>
      <c r="T1436" s="197"/>
      <c r="U1436" s="197"/>
      <c r="V1436" s="197"/>
      <c r="W1436" s="197"/>
      <c r="X1436" s="197"/>
      <c r="Y1436" s="197"/>
      <c r="Z1436" s="197"/>
      <c r="AA1436" s="197"/>
      <c r="AB1436" s="197"/>
      <c r="AC1436" s="197"/>
    </row>
    <row r="1437" spans="1:29" ht="24.75" customHeight="1">
      <c r="A1437" s="192" t="s">
        <v>128</v>
      </c>
      <c r="B1437" s="104"/>
      <c r="C1437" s="328" t="s">
        <v>130</v>
      </c>
      <c r="D1437" s="328"/>
      <c r="E1437" s="328"/>
      <c r="F1437" s="328"/>
      <c r="G1437" s="328"/>
      <c r="H1437" s="328"/>
      <c r="I1437" s="328"/>
      <c r="J1437" s="328"/>
      <c r="K1437" s="328"/>
      <c r="L1437" s="328"/>
      <c r="M1437" s="89"/>
      <c r="N1437" s="219"/>
      <c r="O1437" s="198"/>
      <c r="P1437" s="104"/>
      <c r="Q1437" s="329"/>
      <c r="R1437" s="329"/>
      <c r="S1437" s="329"/>
      <c r="T1437" s="329"/>
      <c r="U1437" s="329"/>
      <c r="V1437" s="329"/>
      <c r="W1437" s="329"/>
      <c r="X1437" s="329"/>
      <c r="Y1437" s="329"/>
      <c r="Z1437" s="329"/>
      <c r="AA1437" s="329"/>
      <c r="AB1437" s="329"/>
      <c r="AC1437" s="329"/>
    </row>
    <row r="1438" spans="1:29" ht="33" customHeight="1">
      <c r="A1438" s="189">
        <v>21</v>
      </c>
      <c r="B1438" s="188" t="s">
        <v>69</v>
      </c>
      <c r="C1438" s="307" t="s">
        <v>82</v>
      </c>
      <c r="D1438" s="308"/>
      <c r="E1438" s="182"/>
      <c r="F1438" s="191" t="s">
        <v>71</v>
      </c>
      <c r="G1438" s="201">
        <v>58</v>
      </c>
      <c r="H1438" s="201">
        <v>40</v>
      </c>
      <c r="I1438" s="201">
        <v>21</v>
      </c>
      <c r="J1438" s="201">
        <v>58</v>
      </c>
      <c r="K1438" s="201">
        <v>40</v>
      </c>
      <c r="L1438" s="201">
        <v>21</v>
      </c>
      <c r="M1438" s="89"/>
      <c r="N1438" s="219"/>
      <c r="O1438" s="199"/>
      <c r="P1438" s="200"/>
      <c r="Q1438" s="309"/>
      <c r="R1438" s="309"/>
      <c r="S1438" s="86"/>
      <c r="T1438" s="86"/>
      <c r="U1438" s="86"/>
      <c r="V1438" s="86"/>
      <c r="W1438" s="86"/>
      <c r="X1438" s="86"/>
      <c r="Y1438" s="86"/>
      <c r="Z1438" s="86"/>
      <c r="AA1438" s="86"/>
      <c r="AB1438" s="86"/>
      <c r="AC1438" s="86"/>
    </row>
    <row r="1439" spans="1:29" ht="33" customHeight="1">
      <c r="A1439" s="189">
        <v>22</v>
      </c>
      <c r="B1439" s="188" t="s">
        <v>69</v>
      </c>
      <c r="C1439" s="307" t="s">
        <v>103</v>
      </c>
      <c r="D1439" s="308"/>
      <c r="E1439" s="179"/>
      <c r="F1439" s="191" t="s">
        <v>71</v>
      </c>
      <c r="G1439" s="201">
        <v>9</v>
      </c>
      <c r="H1439" s="201">
        <v>9</v>
      </c>
      <c r="I1439" s="201">
        <v>7</v>
      </c>
      <c r="J1439" s="201">
        <v>9</v>
      </c>
      <c r="K1439" s="201">
        <v>9</v>
      </c>
      <c r="L1439" s="201">
        <v>7</v>
      </c>
      <c r="M1439" s="89"/>
      <c r="N1439" s="219"/>
      <c r="O1439" s="199"/>
      <c r="P1439" s="200"/>
      <c r="Q1439" s="309"/>
      <c r="R1439" s="309"/>
      <c r="S1439" s="86"/>
      <c r="T1439" s="86"/>
      <c r="U1439" s="86"/>
      <c r="V1439" s="86"/>
      <c r="W1439" s="86"/>
      <c r="X1439" s="86"/>
      <c r="Y1439" s="86"/>
      <c r="Z1439" s="86"/>
      <c r="AA1439" s="86"/>
      <c r="AB1439" s="86"/>
      <c r="AC1439" s="86"/>
    </row>
    <row r="1440" spans="1:29" ht="33" customHeight="1">
      <c r="A1440" s="189">
        <v>23</v>
      </c>
      <c r="B1440" s="188" t="s">
        <v>69</v>
      </c>
      <c r="C1440" s="307" t="s">
        <v>104</v>
      </c>
      <c r="D1440" s="308"/>
      <c r="E1440" s="179"/>
      <c r="F1440" s="191" t="s">
        <v>71</v>
      </c>
      <c r="G1440" s="201">
        <v>5</v>
      </c>
      <c r="H1440" s="201">
        <v>1</v>
      </c>
      <c r="I1440" s="201">
        <v>1</v>
      </c>
      <c r="J1440" s="201">
        <v>5</v>
      </c>
      <c r="K1440" s="201">
        <v>1</v>
      </c>
      <c r="L1440" s="201">
        <v>1</v>
      </c>
      <c r="M1440" s="89"/>
      <c r="N1440" s="219"/>
      <c r="O1440" s="199"/>
      <c r="P1440" s="200"/>
      <c r="Q1440" s="309"/>
      <c r="R1440" s="309"/>
      <c r="S1440" s="86"/>
      <c r="T1440" s="86"/>
      <c r="U1440" s="86"/>
      <c r="V1440" s="86"/>
      <c r="W1440" s="86"/>
      <c r="X1440" s="86"/>
      <c r="Y1440" s="86"/>
      <c r="Z1440" s="86"/>
      <c r="AA1440" s="86"/>
      <c r="AB1440" s="86"/>
      <c r="AC1440" s="86"/>
    </row>
    <row r="1441" spans="1:29" ht="27.75" customHeight="1">
      <c r="A1441" s="317" t="s">
        <v>135</v>
      </c>
      <c r="B1441" s="318"/>
      <c r="C1441" s="317" t="s">
        <v>68</v>
      </c>
      <c r="D1441" s="318"/>
      <c r="E1441" s="183"/>
      <c r="F1441" s="321" t="s">
        <v>136</v>
      </c>
      <c r="G1441" s="322" t="s">
        <v>155</v>
      </c>
      <c r="H1441" s="323"/>
      <c r="I1441" s="323"/>
      <c r="J1441" s="322" t="s">
        <v>154</v>
      </c>
      <c r="K1441" s="323"/>
      <c r="L1441" s="324"/>
      <c r="M1441" s="92"/>
      <c r="O1441" s="325"/>
      <c r="P1441" s="325"/>
      <c r="Q1441" s="325"/>
      <c r="R1441" s="325"/>
      <c r="S1441" s="316"/>
      <c r="T1441" s="316"/>
      <c r="U1441" s="316"/>
      <c r="V1441" s="316"/>
      <c r="W1441" s="316"/>
      <c r="X1441" s="316"/>
      <c r="Y1441" s="316"/>
      <c r="Z1441" s="316"/>
      <c r="AA1441" s="316"/>
      <c r="AB1441" s="316"/>
      <c r="AC1441" s="316"/>
    </row>
    <row r="1442" spans="1:29" ht="125.25" customHeight="1">
      <c r="A1442" s="319"/>
      <c r="B1442" s="320"/>
      <c r="C1442" s="319"/>
      <c r="D1442" s="320"/>
      <c r="E1442" s="184"/>
      <c r="F1442" s="321"/>
      <c r="G1442" s="153" t="s">
        <v>151</v>
      </c>
      <c r="H1442" s="153" t="s">
        <v>152</v>
      </c>
      <c r="I1442" s="153" t="s">
        <v>153</v>
      </c>
      <c r="J1442" s="153" t="s">
        <v>151</v>
      </c>
      <c r="K1442" s="153" t="s">
        <v>152</v>
      </c>
      <c r="L1442" s="153" t="s">
        <v>153</v>
      </c>
      <c r="O1442" s="325"/>
      <c r="P1442" s="325"/>
      <c r="Q1442" s="325"/>
      <c r="R1442" s="325"/>
      <c r="S1442" s="193"/>
      <c r="T1442" s="193"/>
      <c r="U1442" s="193"/>
      <c r="V1442" s="193"/>
      <c r="W1442" s="193"/>
      <c r="X1442" s="193"/>
      <c r="Y1442" s="193"/>
      <c r="Z1442" s="193"/>
      <c r="AA1442" s="193"/>
      <c r="AB1442" s="193"/>
      <c r="AC1442" s="193"/>
    </row>
    <row r="1443" spans="1:29" ht="30" customHeight="1">
      <c r="A1443" s="189">
        <v>24</v>
      </c>
      <c r="B1443" s="188" t="s">
        <v>69</v>
      </c>
      <c r="C1443" s="307" t="s">
        <v>131</v>
      </c>
      <c r="D1443" s="308"/>
      <c r="E1443" s="179"/>
      <c r="F1443" s="191" t="s">
        <v>71</v>
      </c>
      <c r="G1443" s="202" t="s">
        <v>156</v>
      </c>
      <c r="H1443" s="202" t="s">
        <v>156</v>
      </c>
      <c r="I1443" s="202" t="s">
        <v>156</v>
      </c>
      <c r="J1443" s="202" t="s">
        <v>156</v>
      </c>
      <c r="K1443" s="202" t="s">
        <v>156</v>
      </c>
      <c r="L1443" s="202" t="s">
        <v>156</v>
      </c>
      <c r="M1443" s="89"/>
      <c r="N1443" s="219"/>
      <c r="O1443" s="199"/>
      <c r="P1443" s="200"/>
      <c r="Q1443" s="309"/>
      <c r="R1443" s="309"/>
      <c r="S1443" s="86"/>
      <c r="T1443" s="86"/>
      <c r="U1443" s="86"/>
      <c r="V1443" s="86"/>
      <c r="W1443" s="86"/>
      <c r="X1443" s="86"/>
      <c r="Y1443" s="86"/>
      <c r="Z1443" s="86"/>
      <c r="AA1443" s="86"/>
      <c r="AB1443" s="86"/>
      <c r="AC1443" s="86"/>
    </row>
    <row r="1444" spans="1:29" ht="30" customHeight="1">
      <c r="A1444" s="189">
        <v>25</v>
      </c>
      <c r="B1444" s="188" t="s">
        <v>69</v>
      </c>
      <c r="C1444" s="307" t="s">
        <v>83</v>
      </c>
      <c r="D1444" s="308"/>
      <c r="E1444" s="179"/>
      <c r="F1444" s="191" t="s">
        <v>71</v>
      </c>
      <c r="G1444" s="201">
        <v>25</v>
      </c>
      <c r="H1444" s="201">
        <v>40</v>
      </c>
      <c r="I1444" s="201">
        <v>22</v>
      </c>
      <c r="J1444" s="201">
        <v>25</v>
      </c>
      <c r="K1444" s="201">
        <v>40</v>
      </c>
      <c r="L1444" s="201">
        <v>22</v>
      </c>
      <c r="M1444" s="89"/>
      <c r="N1444" s="219"/>
      <c r="O1444" s="199"/>
      <c r="P1444" s="200"/>
      <c r="Q1444" s="309"/>
      <c r="R1444" s="309"/>
      <c r="S1444" s="86"/>
      <c r="T1444" s="86"/>
      <c r="U1444" s="86"/>
      <c r="V1444" s="86"/>
      <c r="W1444" s="86"/>
      <c r="X1444" s="86"/>
      <c r="Y1444" s="86"/>
      <c r="Z1444" s="86"/>
      <c r="AA1444" s="86"/>
      <c r="AB1444" s="86"/>
      <c r="AC1444" s="86"/>
    </row>
    <row r="1445" spans="1:29" ht="30" customHeight="1">
      <c r="A1445" s="189">
        <v>26</v>
      </c>
      <c r="B1445" s="188" t="s">
        <v>69</v>
      </c>
      <c r="C1445" s="307" t="s">
        <v>84</v>
      </c>
      <c r="D1445" s="308"/>
      <c r="E1445" s="179"/>
      <c r="F1445" s="191" t="s">
        <v>71</v>
      </c>
      <c r="G1445" s="201">
        <v>5</v>
      </c>
      <c r="H1445" s="202" t="s">
        <v>156</v>
      </c>
      <c r="I1445" s="202" t="s">
        <v>156</v>
      </c>
      <c r="J1445" s="201">
        <v>5</v>
      </c>
      <c r="K1445" s="202" t="s">
        <v>156</v>
      </c>
      <c r="L1445" s="202" t="s">
        <v>156</v>
      </c>
      <c r="M1445" s="89"/>
      <c r="N1445" s="219"/>
      <c r="O1445" s="199"/>
      <c r="P1445" s="200"/>
      <c r="Q1445" s="309"/>
      <c r="R1445" s="309"/>
      <c r="S1445" s="86"/>
      <c r="T1445" s="86"/>
      <c r="U1445" s="86"/>
      <c r="V1445" s="86"/>
      <c r="W1445" s="86"/>
      <c r="X1445" s="86"/>
      <c r="Y1445" s="86"/>
      <c r="Z1445" s="86"/>
      <c r="AA1445" s="86"/>
      <c r="AB1445" s="86"/>
      <c r="AC1445" s="86"/>
    </row>
    <row r="1446" spans="1:29" ht="30" customHeight="1">
      <c r="A1446" s="189">
        <v>27</v>
      </c>
      <c r="B1446" s="188" t="s">
        <v>69</v>
      </c>
      <c r="C1446" s="307" t="s">
        <v>85</v>
      </c>
      <c r="D1446" s="308"/>
      <c r="E1446" s="179"/>
      <c r="F1446" s="191" t="s">
        <v>71</v>
      </c>
      <c r="G1446" s="201">
        <v>3</v>
      </c>
      <c r="H1446" s="201">
        <v>1</v>
      </c>
      <c r="I1446" s="201">
        <v>8</v>
      </c>
      <c r="J1446" s="201">
        <v>3</v>
      </c>
      <c r="K1446" s="201">
        <v>1</v>
      </c>
      <c r="L1446" s="201">
        <v>8</v>
      </c>
      <c r="M1446" s="89"/>
      <c r="N1446" s="219"/>
      <c r="O1446" s="199"/>
      <c r="P1446" s="200"/>
      <c r="Q1446" s="309"/>
      <c r="R1446" s="309"/>
      <c r="S1446" s="86"/>
      <c r="T1446" s="86"/>
      <c r="U1446" s="86"/>
      <c r="V1446" s="86"/>
      <c r="W1446" s="86"/>
      <c r="X1446" s="86"/>
      <c r="Y1446" s="86"/>
      <c r="Z1446" s="86"/>
      <c r="AA1446" s="86"/>
      <c r="AB1446" s="86"/>
      <c r="AC1446" s="86"/>
    </row>
    <row r="1447" spans="1:29" ht="30" customHeight="1">
      <c r="A1447" s="189">
        <v>28</v>
      </c>
      <c r="B1447" s="188" t="s">
        <v>69</v>
      </c>
      <c r="C1447" s="307" t="s">
        <v>132</v>
      </c>
      <c r="D1447" s="308"/>
      <c r="E1447" s="179"/>
      <c r="F1447" s="191" t="s">
        <v>71</v>
      </c>
      <c r="G1447" s="202" t="s">
        <v>156</v>
      </c>
      <c r="H1447" s="202" t="s">
        <v>156</v>
      </c>
      <c r="I1447" s="202" t="s">
        <v>156</v>
      </c>
      <c r="J1447" s="202" t="s">
        <v>156</v>
      </c>
      <c r="K1447" s="202" t="s">
        <v>156</v>
      </c>
      <c r="L1447" s="202" t="s">
        <v>156</v>
      </c>
      <c r="M1447" s="89"/>
      <c r="N1447" s="219"/>
      <c r="O1447" s="199"/>
      <c r="P1447" s="200"/>
      <c r="Q1447" s="309"/>
      <c r="R1447" s="309"/>
      <c r="S1447" s="86"/>
      <c r="T1447" s="86"/>
      <c r="U1447" s="86"/>
      <c r="V1447" s="86"/>
      <c r="W1447" s="86"/>
      <c r="X1447" s="86"/>
      <c r="Y1447" s="86"/>
      <c r="Z1447" s="86"/>
      <c r="AA1447" s="86"/>
      <c r="AB1447" s="86"/>
      <c r="AC1447" s="86"/>
    </row>
    <row r="1448" spans="1:29" ht="30" customHeight="1">
      <c r="A1448" s="189">
        <v>29</v>
      </c>
      <c r="B1448" s="188" t="s">
        <v>69</v>
      </c>
      <c r="C1448" s="307" t="s">
        <v>86</v>
      </c>
      <c r="D1448" s="308"/>
      <c r="E1448" s="179"/>
      <c r="F1448" s="191" t="s">
        <v>71</v>
      </c>
      <c r="G1448" s="201">
        <v>10</v>
      </c>
      <c r="H1448" s="201">
        <v>12</v>
      </c>
      <c r="I1448" s="201">
        <v>9</v>
      </c>
      <c r="J1448" s="201">
        <v>10</v>
      </c>
      <c r="K1448" s="201">
        <v>12</v>
      </c>
      <c r="L1448" s="201">
        <v>9</v>
      </c>
      <c r="M1448" s="89"/>
      <c r="N1448" s="219"/>
      <c r="O1448" s="199"/>
      <c r="P1448" s="200"/>
      <c r="Q1448" s="309"/>
      <c r="R1448" s="309"/>
      <c r="S1448" s="86"/>
      <c r="T1448" s="86"/>
      <c r="U1448" s="86"/>
      <c r="V1448" s="86"/>
      <c r="W1448" s="86"/>
      <c r="X1448" s="86"/>
      <c r="Y1448" s="86"/>
      <c r="Z1448" s="86"/>
      <c r="AA1448" s="86"/>
      <c r="AB1448" s="86"/>
      <c r="AC1448" s="86"/>
    </row>
    <row r="1449" spans="1:29" ht="30" customHeight="1">
      <c r="A1449" s="189">
        <v>30</v>
      </c>
      <c r="B1449" s="188" t="s">
        <v>69</v>
      </c>
      <c r="C1449" s="307" t="s">
        <v>87</v>
      </c>
      <c r="D1449" s="308"/>
      <c r="E1449" s="179"/>
      <c r="F1449" s="191" t="s">
        <v>71</v>
      </c>
      <c r="G1449" s="202" t="s">
        <v>156</v>
      </c>
      <c r="H1449" s="202" t="s">
        <v>156</v>
      </c>
      <c r="I1449" s="202" t="s">
        <v>156</v>
      </c>
      <c r="J1449" s="202" t="s">
        <v>156</v>
      </c>
      <c r="K1449" s="202" t="s">
        <v>156</v>
      </c>
      <c r="L1449" s="202" t="s">
        <v>156</v>
      </c>
      <c r="M1449" s="89"/>
      <c r="N1449" s="219"/>
      <c r="O1449" s="199"/>
      <c r="P1449" s="200"/>
      <c r="Q1449" s="309"/>
      <c r="R1449" s="309"/>
      <c r="S1449" s="86"/>
      <c r="T1449" s="86"/>
      <c r="U1449" s="86"/>
      <c r="V1449" s="86"/>
      <c r="W1449" s="86"/>
      <c r="X1449" s="86"/>
      <c r="Y1449" s="86"/>
      <c r="Z1449" s="86"/>
      <c r="AA1449" s="86"/>
      <c r="AB1449" s="86"/>
      <c r="AC1449" s="86"/>
    </row>
    <row r="1450" spans="1:29" ht="30" customHeight="1">
      <c r="A1450" s="189">
        <v>31</v>
      </c>
      <c r="B1450" s="188" t="s">
        <v>69</v>
      </c>
      <c r="C1450" s="307" t="s">
        <v>105</v>
      </c>
      <c r="D1450" s="308"/>
      <c r="E1450" s="179"/>
      <c r="F1450" s="191" t="s">
        <v>71</v>
      </c>
      <c r="G1450" s="201">
        <v>2</v>
      </c>
      <c r="H1450" s="203" t="s">
        <v>156</v>
      </c>
      <c r="I1450" s="201">
        <v>8</v>
      </c>
      <c r="J1450" s="201">
        <v>2</v>
      </c>
      <c r="K1450" s="203" t="s">
        <v>156</v>
      </c>
      <c r="L1450" s="201">
        <v>8</v>
      </c>
      <c r="M1450" s="89"/>
      <c r="N1450" s="219"/>
      <c r="O1450" s="199"/>
      <c r="P1450" s="200"/>
      <c r="Q1450" s="309"/>
      <c r="R1450" s="309"/>
      <c r="S1450" s="86"/>
      <c r="T1450" s="86"/>
      <c r="U1450" s="86"/>
      <c r="V1450" s="86"/>
      <c r="W1450" s="86"/>
      <c r="X1450" s="86"/>
      <c r="Y1450" s="86"/>
      <c r="Z1450" s="86"/>
      <c r="AA1450" s="86"/>
      <c r="AB1450" s="86"/>
      <c r="AC1450" s="86"/>
    </row>
    <row r="1451" spans="1:29" ht="30" customHeight="1">
      <c r="A1451" s="189">
        <v>32</v>
      </c>
      <c r="B1451" s="188" t="s">
        <v>69</v>
      </c>
      <c r="C1451" s="307" t="s">
        <v>133</v>
      </c>
      <c r="D1451" s="308"/>
      <c r="E1451" s="179"/>
      <c r="F1451" s="191" t="s">
        <v>71</v>
      </c>
      <c r="G1451" s="202" t="s">
        <v>156</v>
      </c>
      <c r="H1451" s="202" t="s">
        <v>156</v>
      </c>
      <c r="I1451" s="202" t="s">
        <v>156</v>
      </c>
      <c r="J1451" s="202" t="s">
        <v>156</v>
      </c>
      <c r="K1451" s="202" t="s">
        <v>156</v>
      </c>
      <c r="L1451" s="202" t="s">
        <v>156</v>
      </c>
      <c r="M1451" s="89"/>
      <c r="N1451" s="219"/>
      <c r="O1451" s="199"/>
      <c r="P1451" s="200"/>
      <c r="Q1451" s="309"/>
      <c r="R1451" s="309"/>
      <c r="S1451" s="86"/>
      <c r="T1451" s="86"/>
      <c r="U1451" s="86"/>
      <c r="V1451" s="86"/>
      <c r="W1451" s="86"/>
      <c r="X1451" s="86"/>
      <c r="Y1451" s="86"/>
      <c r="Z1451" s="86"/>
      <c r="AA1451" s="86"/>
      <c r="AB1451" s="86"/>
      <c r="AC1451" s="86"/>
    </row>
    <row r="1452" spans="1:29" ht="30" customHeight="1">
      <c r="A1452" s="189">
        <v>33</v>
      </c>
      <c r="B1452" s="188" t="s">
        <v>69</v>
      </c>
      <c r="C1452" s="307" t="s">
        <v>88</v>
      </c>
      <c r="D1452" s="308"/>
      <c r="E1452" s="179"/>
      <c r="F1452" s="191" t="s">
        <v>71</v>
      </c>
      <c r="G1452" s="201">
        <v>3</v>
      </c>
      <c r="H1452" s="201">
        <v>7</v>
      </c>
      <c r="I1452" s="201">
        <v>7</v>
      </c>
      <c r="J1452" s="201">
        <v>3</v>
      </c>
      <c r="K1452" s="201">
        <v>7</v>
      </c>
      <c r="L1452" s="201">
        <v>7</v>
      </c>
      <c r="M1452" s="89"/>
      <c r="N1452" s="219"/>
      <c r="O1452" s="199"/>
      <c r="P1452" s="200"/>
      <c r="Q1452" s="309"/>
      <c r="R1452" s="309"/>
      <c r="S1452" s="86"/>
      <c r="T1452" s="86"/>
      <c r="U1452" s="86"/>
      <c r="V1452" s="86"/>
      <c r="W1452" s="86"/>
      <c r="X1452" s="86"/>
      <c r="Y1452" s="86"/>
      <c r="Z1452" s="86"/>
      <c r="AA1452" s="86"/>
      <c r="AB1452" s="86"/>
      <c r="AC1452" s="86"/>
    </row>
    <row r="1453" spans="1:29" ht="30" customHeight="1">
      <c r="A1453" s="189">
        <v>34</v>
      </c>
      <c r="B1453" s="188" t="s">
        <v>69</v>
      </c>
      <c r="C1453" s="307" t="s">
        <v>89</v>
      </c>
      <c r="D1453" s="308"/>
      <c r="E1453" s="179"/>
      <c r="F1453" s="191" t="s">
        <v>71</v>
      </c>
      <c r="G1453" s="202" t="s">
        <v>156</v>
      </c>
      <c r="H1453" s="202" t="s">
        <v>156</v>
      </c>
      <c r="I1453" s="202" t="s">
        <v>156</v>
      </c>
      <c r="J1453" s="202" t="s">
        <v>156</v>
      </c>
      <c r="K1453" s="202" t="s">
        <v>156</v>
      </c>
      <c r="L1453" s="202" t="s">
        <v>156</v>
      </c>
      <c r="M1453" s="89"/>
      <c r="N1453" s="219"/>
      <c r="O1453" s="199"/>
      <c r="P1453" s="200"/>
      <c r="Q1453" s="309"/>
      <c r="R1453" s="309"/>
      <c r="S1453" s="86"/>
      <c r="T1453" s="86"/>
      <c r="U1453" s="86"/>
      <c r="V1453" s="86"/>
      <c r="W1453" s="86"/>
      <c r="X1453" s="86"/>
      <c r="Y1453" s="86"/>
      <c r="Z1453" s="86"/>
      <c r="AA1453" s="86"/>
      <c r="AB1453" s="86"/>
      <c r="AC1453" s="86"/>
    </row>
    <row r="1454" spans="1:29" ht="30" customHeight="1">
      <c r="A1454" s="189">
        <v>35</v>
      </c>
      <c r="B1454" s="188" t="s">
        <v>69</v>
      </c>
      <c r="C1454" s="307" t="s">
        <v>140</v>
      </c>
      <c r="D1454" s="308"/>
      <c r="E1454" s="179"/>
      <c r="F1454" s="191" t="s">
        <v>71</v>
      </c>
      <c r="G1454" s="202" t="s">
        <v>156</v>
      </c>
      <c r="H1454" s="202" t="s">
        <v>156</v>
      </c>
      <c r="I1454" s="201">
        <v>3</v>
      </c>
      <c r="J1454" s="202" t="s">
        <v>156</v>
      </c>
      <c r="K1454" s="202" t="s">
        <v>156</v>
      </c>
      <c r="L1454" s="201">
        <v>3</v>
      </c>
      <c r="M1454" s="89"/>
      <c r="N1454" s="220"/>
      <c r="O1454" s="199"/>
      <c r="P1454" s="200"/>
      <c r="Q1454" s="309"/>
      <c r="R1454" s="309"/>
      <c r="S1454" s="86"/>
      <c r="T1454" s="86"/>
      <c r="U1454" s="86"/>
      <c r="V1454" s="86"/>
      <c r="W1454" s="86"/>
      <c r="X1454" s="86"/>
      <c r="Y1454" s="86"/>
      <c r="Z1454" s="86"/>
      <c r="AA1454" s="86"/>
      <c r="AB1454" s="86"/>
      <c r="AC1454" s="86"/>
    </row>
    <row r="1455" spans="1:29" ht="30" customHeight="1">
      <c r="A1455" s="189">
        <v>36</v>
      </c>
      <c r="B1455" s="188" t="s">
        <v>69</v>
      </c>
      <c r="C1455" s="307" t="s">
        <v>134</v>
      </c>
      <c r="D1455" s="308"/>
      <c r="E1455" s="179"/>
      <c r="F1455" s="191" t="s">
        <v>71</v>
      </c>
      <c r="G1455" s="202" t="s">
        <v>156</v>
      </c>
      <c r="H1455" s="202" t="s">
        <v>156</v>
      </c>
      <c r="I1455" s="202" t="s">
        <v>156</v>
      </c>
      <c r="J1455" s="202" t="s">
        <v>156</v>
      </c>
      <c r="K1455" s="202" t="s">
        <v>156</v>
      </c>
      <c r="L1455" s="202" t="s">
        <v>156</v>
      </c>
      <c r="M1455" s="89"/>
      <c r="N1455" s="220"/>
      <c r="O1455" s="199"/>
      <c r="P1455" s="200"/>
      <c r="Q1455" s="309"/>
      <c r="R1455" s="309"/>
      <c r="S1455" s="86"/>
      <c r="T1455" s="86"/>
      <c r="U1455" s="86"/>
      <c r="V1455" s="86"/>
      <c r="W1455" s="86"/>
      <c r="X1455" s="86"/>
      <c r="Y1455" s="86"/>
      <c r="Z1455" s="86"/>
      <c r="AA1455" s="86"/>
      <c r="AB1455" s="86"/>
      <c r="AC1455" s="86"/>
    </row>
    <row r="1456" spans="1:29" ht="30" customHeight="1">
      <c r="A1456" s="189">
        <v>37</v>
      </c>
      <c r="B1456" s="188" t="s">
        <v>69</v>
      </c>
      <c r="C1456" s="307" t="s">
        <v>90</v>
      </c>
      <c r="D1456" s="308"/>
      <c r="E1456" s="179"/>
      <c r="F1456" s="191" t="s">
        <v>71</v>
      </c>
      <c r="G1456" s="202" t="s">
        <v>156</v>
      </c>
      <c r="H1456" s="202" t="s">
        <v>156</v>
      </c>
      <c r="I1456" s="202" t="s">
        <v>156</v>
      </c>
      <c r="J1456" s="202" t="s">
        <v>156</v>
      </c>
      <c r="K1456" s="202" t="s">
        <v>156</v>
      </c>
      <c r="L1456" s="202" t="s">
        <v>156</v>
      </c>
      <c r="M1456" s="89"/>
      <c r="N1456" s="220"/>
      <c r="O1456" s="199"/>
      <c r="P1456" s="200"/>
      <c r="Q1456" s="309"/>
      <c r="R1456" s="309"/>
      <c r="S1456" s="86"/>
      <c r="T1456" s="86"/>
      <c r="U1456" s="86"/>
      <c r="V1456" s="86"/>
      <c r="W1456" s="86"/>
      <c r="X1456" s="86"/>
      <c r="Y1456" s="86"/>
      <c r="Z1456" s="86"/>
      <c r="AA1456" s="86"/>
      <c r="AB1456" s="86"/>
      <c r="AC1456" s="86"/>
    </row>
    <row r="1457" spans="1:29" ht="30" customHeight="1">
      <c r="A1457" s="189">
        <v>38</v>
      </c>
      <c r="B1457" s="188" t="s">
        <v>69</v>
      </c>
      <c r="C1457" s="307" t="s">
        <v>106</v>
      </c>
      <c r="D1457" s="308"/>
      <c r="E1457" s="150"/>
      <c r="F1457" s="191" t="s">
        <v>71</v>
      </c>
      <c r="G1457" s="202" t="s">
        <v>156</v>
      </c>
      <c r="H1457" s="202" t="s">
        <v>156</v>
      </c>
      <c r="I1457" s="202" t="s">
        <v>156</v>
      </c>
      <c r="J1457" s="202" t="s">
        <v>156</v>
      </c>
      <c r="K1457" s="202" t="s">
        <v>156</v>
      </c>
      <c r="L1457" s="202" t="s">
        <v>156</v>
      </c>
      <c r="M1457" s="89"/>
      <c r="N1457" s="220"/>
      <c r="O1457" s="199"/>
      <c r="P1457" s="200"/>
      <c r="Q1457" s="309"/>
      <c r="R1457" s="309"/>
      <c r="S1457" s="86"/>
      <c r="T1457" s="86"/>
      <c r="U1457" s="86"/>
      <c r="V1457" s="86"/>
      <c r="W1457" s="86"/>
      <c r="X1457" s="86"/>
      <c r="Y1457" s="86"/>
      <c r="Z1457" s="86"/>
      <c r="AA1457" s="86"/>
      <c r="AB1457" s="86"/>
      <c r="AC1457" s="86"/>
    </row>
    <row r="1458" spans="1:29" ht="25.5" customHeight="1">
      <c r="A1458" s="310" t="s">
        <v>92</v>
      </c>
      <c r="B1458" s="310"/>
      <c r="C1458" s="310"/>
      <c r="D1458" s="310"/>
      <c r="E1458" s="310"/>
      <c r="F1458" s="310"/>
      <c r="G1458" s="310"/>
      <c r="H1458" s="310"/>
      <c r="I1458" s="310"/>
      <c r="J1458" s="310"/>
      <c r="K1458" s="310"/>
      <c r="L1458" s="310"/>
      <c r="M1458" s="92"/>
    </row>
    <row r="1459" spans="1:29" ht="19.5" customHeight="1">
      <c r="A1459" s="139"/>
      <c r="B1459" s="139"/>
      <c r="C1459" s="140"/>
      <c r="D1459" s="140" t="s">
        <v>145</v>
      </c>
      <c r="E1459" s="140"/>
      <c r="F1459" s="152" t="s">
        <v>54</v>
      </c>
      <c r="G1459" s="152"/>
      <c r="H1459" s="152"/>
      <c r="I1459" s="152"/>
      <c r="J1459" s="152" t="s">
        <v>144</v>
      </c>
      <c r="K1459" s="152"/>
      <c r="L1459" s="140"/>
      <c r="M1459" s="94"/>
    </row>
    <row r="1460" spans="1:29" ht="28.5" customHeight="1">
      <c r="A1460" s="310" t="s">
        <v>93</v>
      </c>
      <c r="B1460" s="310"/>
      <c r="C1460" s="310"/>
      <c r="D1460" s="310"/>
      <c r="E1460" s="310"/>
      <c r="F1460" s="310"/>
      <c r="G1460" s="310"/>
      <c r="H1460" s="310"/>
      <c r="I1460" s="310"/>
      <c r="J1460" s="310"/>
      <c r="K1460" s="310"/>
      <c r="L1460" s="310"/>
      <c r="M1460" s="92"/>
      <c r="N1460" s="311"/>
      <c r="O1460" s="311"/>
      <c r="P1460" s="311"/>
    </row>
    <row r="1461" spans="1:29" ht="20.25" customHeight="1">
      <c r="A1461" s="139"/>
      <c r="B1461" s="139"/>
      <c r="C1461" s="139"/>
      <c r="D1461" s="140" t="s">
        <v>145</v>
      </c>
      <c r="E1461" s="140"/>
      <c r="F1461" s="152" t="s">
        <v>54</v>
      </c>
      <c r="G1461" s="152"/>
      <c r="H1461" s="152"/>
      <c r="I1461" s="152"/>
      <c r="J1461" s="152" t="s">
        <v>144</v>
      </c>
      <c r="K1461" s="152"/>
      <c r="L1461" s="139"/>
      <c r="M1461" s="94"/>
      <c r="N1461" s="221"/>
      <c r="O1461" s="95"/>
      <c r="P1461" s="95"/>
    </row>
    <row r="1462" spans="1:29" ht="26.25" customHeight="1">
      <c r="A1462" s="312" t="s">
        <v>94</v>
      </c>
      <c r="B1462" s="312"/>
      <c r="C1462" s="312"/>
      <c r="D1462" s="312"/>
      <c r="E1462" s="312"/>
      <c r="F1462" s="312"/>
      <c r="G1462" s="312"/>
      <c r="H1462" s="312"/>
      <c r="I1462" s="312"/>
      <c r="J1462" s="312"/>
      <c r="K1462" s="312"/>
      <c r="L1462" s="312"/>
      <c r="M1462" s="92"/>
    </row>
    <row r="1463" spans="1:29" ht="22.5" customHeight="1">
      <c r="A1463" s="120"/>
      <c r="B1463" s="120"/>
      <c r="C1463" s="120"/>
      <c r="D1463" s="120"/>
      <c r="E1463" s="120"/>
      <c r="F1463" s="120"/>
      <c r="G1463" s="120"/>
      <c r="H1463" s="120"/>
      <c r="I1463" s="120"/>
      <c r="J1463" s="120"/>
      <c r="K1463" s="120"/>
      <c r="L1463" s="120"/>
      <c r="M1463" s="94"/>
    </row>
    <row r="1464" spans="1:29" ht="22.5" customHeight="1">
      <c r="A1464" s="313" t="s">
        <v>95</v>
      </c>
      <c r="B1464" s="313"/>
      <c r="C1464" s="313"/>
      <c r="D1464" s="313"/>
      <c r="E1464" s="313"/>
      <c r="F1464" s="313"/>
      <c r="G1464" s="313"/>
      <c r="H1464" s="313"/>
      <c r="I1464" s="313"/>
      <c r="J1464" s="313"/>
      <c r="K1464" s="313"/>
      <c r="L1464" s="313"/>
      <c r="M1464" s="92"/>
    </row>
    <row r="1465" spans="1:29" ht="19.5" customHeight="1">
      <c r="A1465" s="97"/>
      <c r="B1465" s="97"/>
      <c r="C1465" s="145"/>
      <c r="D1465" s="97"/>
      <c r="E1465" s="97"/>
      <c r="F1465" s="97"/>
      <c r="G1465" s="97"/>
      <c r="H1465" s="97"/>
      <c r="I1465" s="97"/>
      <c r="J1465" s="97"/>
      <c r="K1465" s="97"/>
      <c r="L1465" s="97"/>
      <c r="M1465" s="94"/>
    </row>
    <row r="1466" spans="1:29" ht="15.75">
      <c r="A1466" s="94"/>
      <c r="B1466" s="94"/>
      <c r="C1466" s="146"/>
      <c r="D1466" s="94"/>
      <c r="E1466" s="94"/>
      <c r="F1466" s="94"/>
      <c r="G1466" s="94"/>
      <c r="H1466" s="94"/>
      <c r="I1466" s="94"/>
      <c r="J1466" s="94"/>
      <c r="K1466" s="94"/>
      <c r="L1466" s="94"/>
      <c r="M1466" s="94"/>
    </row>
    <row r="1467" spans="1:29" ht="31.5" customHeight="1">
      <c r="A1467" s="314" t="s">
        <v>96</v>
      </c>
      <c r="B1467" s="314"/>
      <c r="C1467" s="314"/>
      <c r="D1467" s="314"/>
      <c r="E1467" s="98"/>
      <c r="F1467" s="98"/>
      <c r="G1467" s="98"/>
      <c r="H1467" s="315" t="s">
        <v>97</v>
      </c>
      <c r="I1467" s="315"/>
      <c r="J1467" s="315"/>
      <c r="K1467" s="315"/>
      <c r="L1467" s="315"/>
      <c r="M1467" s="94"/>
    </row>
    <row r="1468" spans="1:29" ht="95.1" customHeight="1">
      <c r="A1468" s="99"/>
      <c r="B1468" s="101" t="str">
        <f>B1398</f>
        <v>Ông Huỳnh Phước Hải        ….............</v>
      </c>
      <c r="C1468" s="147"/>
      <c r="D1468" s="99"/>
      <c r="E1468" s="81"/>
      <c r="F1468" s="100"/>
      <c r="G1468" s="100"/>
      <c r="H1468" s="306" t="str">
        <f>H1398</f>
        <v>Ông Phạm Tấn Việt          …..................</v>
      </c>
      <c r="I1468" s="306"/>
      <c r="J1468" s="306"/>
      <c r="K1468" s="306"/>
      <c r="L1468" s="306"/>
      <c r="M1468" s="94"/>
    </row>
    <row r="1469" spans="1:29" ht="23.25" customHeight="1">
      <c r="A1469" s="99"/>
      <c r="B1469" s="101"/>
      <c r="C1469" s="147"/>
      <c r="D1469" s="99"/>
      <c r="E1469" s="81"/>
      <c r="F1469" s="100"/>
      <c r="G1469" s="100"/>
      <c r="H1469" s="204"/>
      <c r="I1469" s="204"/>
      <c r="J1469" s="204"/>
      <c r="K1469" s="204"/>
      <c r="L1469" s="204"/>
      <c r="M1469" s="94"/>
    </row>
    <row r="1470" spans="1:29" ht="21.75" customHeight="1">
      <c r="A1470" s="348" t="s">
        <v>165</v>
      </c>
      <c r="B1470" s="348"/>
      <c r="C1470" s="348"/>
      <c r="D1470" s="348"/>
      <c r="E1470" s="348"/>
      <c r="F1470" s="348"/>
      <c r="G1470" s="348"/>
      <c r="H1470" s="348"/>
      <c r="I1470" s="348"/>
      <c r="J1470" s="348"/>
      <c r="K1470" s="348"/>
      <c r="L1470" s="348"/>
      <c r="M1470" s="82"/>
    </row>
    <row r="1471" spans="1:29" ht="19.5">
      <c r="A1471" s="84" t="str">
        <f>"Ngày "&amp;N1472&amp;" tháng "&amp;O3&amp;" năm "&amp;P3&amp;""</f>
        <v>Ngày 22 tháng 07 năm 2026</v>
      </c>
      <c r="B1471" s="84"/>
      <c r="C1471" s="85"/>
      <c r="N1471" s="216"/>
      <c r="O1471" s="20"/>
      <c r="P1471" s="20"/>
    </row>
    <row r="1472" spans="1:29" ht="16.5">
      <c r="A1472" s="337" t="s">
        <v>57</v>
      </c>
      <c r="B1472" s="337"/>
      <c r="C1472" s="337"/>
      <c r="D1472" s="311"/>
      <c r="E1472" s="311"/>
      <c r="F1472" s="311"/>
      <c r="G1472" s="95"/>
      <c r="H1472" s="95"/>
      <c r="I1472" s="95"/>
      <c r="J1472" s="95"/>
      <c r="K1472" s="95"/>
      <c r="L1472" s="95"/>
      <c r="N1472" s="217" t="s">
        <v>184</v>
      </c>
      <c r="O1472" s="214"/>
      <c r="P1472" s="17"/>
    </row>
    <row r="1473" spans="1:29" ht="15.75" customHeight="1">
      <c r="A1473" s="338"/>
      <c r="B1473" s="338"/>
      <c r="C1473" s="338"/>
      <c r="D1473" s="339" t="s">
        <v>58</v>
      </c>
      <c r="E1473" s="340"/>
      <c r="F1473" s="340"/>
      <c r="G1473" s="340"/>
      <c r="H1473" s="341"/>
      <c r="I1473" s="339" t="s">
        <v>59</v>
      </c>
      <c r="J1473" s="340"/>
      <c r="K1473" s="340"/>
      <c r="L1473" s="341"/>
    </row>
    <row r="1474" spans="1:29" ht="19.5" customHeight="1">
      <c r="A1474" s="342" t="s">
        <v>60</v>
      </c>
      <c r="B1474" s="342"/>
      <c r="C1474" s="342"/>
      <c r="D1474" s="343" t="s">
        <v>54</v>
      </c>
      <c r="E1474" s="344"/>
      <c r="F1474" s="344"/>
      <c r="G1474" s="344"/>
      <c r="H1474" s="345"/>
      <c r="I1474" s="343" t="s">
        <v>54</v>
      </c>
      <c r="J1474" s="344"/>
      <c r="K1474" s="344"/>
      <c r="L1474" s="345"/>
    </row>
    <row r="1475" spans="1:29" ht="22.5" customHeight="1">
      <c r="A1475" s="342" t="s">
        <v>61</v>
      </c>
      <c r="B1475" s="342"/>
      <c r="C1475" s="342"/>
      <c r="D1475" s="343" t="s">
        <v>163</v>
      </c>
      <c r="E1475" s="344"/>
      <c r="F1475" s="344"/>
      <c r="G1475" s="344"/>
      <c r="H1475" s="345"/>
      <c r="I1475" s="343" t="str">
        <f>D1475</f>
        <v>31° - 34°</v>
      </c>
      <c r="J1475" s="344"/>
      <c r="K1475" s="344"/>
      <c r="L1475" s="345"/>
    </row>
    <row r="1476" spans="1:29" s="87" customFormat="1" ht="19.5" customHeight="1">
      <c r="A1476" s="310" t="s">
        <v>62</v>
      </c>
      <c r="B1476" s="310"/>
      <c r="C1476" s="310"/>
      <c r="D1476" s="310"/>
      <c r="E1476" s="310"/>
      <c r="F1476" s="310"/>
      <c r="G1476" s="310"/>
      <c r="H1476" s="310"/>
      <c r="I1476" s="310"/>
      <c r="J1476" s="310"/>
      <c r="K1476" s="310"/>
      <c r="L1476" s="310"/>
      <c r="M1476" s="85"/>
      <c r="N1476" s="218"/>
    </row>
    <row r="1477" spans="1:29" s="87" customFormat="1" ht="15.75">
      <c r="A1477" s="332" t="s">
        <v>63</v>
      </c>
      <c r="B1477" s="332"/>
      <c r="C1477" s="332"/>
      <c r="D1477" s="332"/>
      <c r="E1477" s="332"/>
      <c r="F1477" s="332"/>
      <c r="G1477" s="332"/>
      <c r="H1477" s="332"/>
      <c r="I1477" s="332"/>
      <c r="J1477" s="332"/>
      <c r="K1477" s="332"/>
      <c r="L1477" s="332"/>
      <c r="M1477" s="85"/>
      <c r="N1477" s="218"/>
    </row>
    <row r="1478" spans="1:29" s="87" customFormat="1" ht="20.100000000000001" customHeight="1">
      <c r="A1478" s="88"/>
      <c r="B1478" s="88"/>
      <c r="C1478" s="333" t="s">
        <v>64</v>
      </c>
      <c r="D1478" s="334"/>
      <c r="E1478" s="334"/>
      <c r="F1478" s="334"/>
      <c r="G1478" s="334"/>
      <c r="H1478" s="334"/>
      <c r="I1478" s="334"/>
      <c r="J1478" s="334"/>
      <c r="K1478" s="334"/>
      <c r="L1478" s="334"/>
      <c r="M1478" s="85"/>
      <c r="N1478" s="218"/>
    </row>
    <row r="1479" spans="1:29" s="87" customFormat="1" ht="20.100000000000001" customHeight="1">
      <c r="A1479" s="88"/>
      <c r="B1479" s="88"/>
      <c r="C1479" s="333" t="s">
        <v>65</v>
      </c>
      <c r="D1479" s="334"/>
      <c r="E1479" s="334"/>
      <c r="F1479" s="334"/>
      <c r="G1479" s="334"/>
      <c r="H1479" s="334"/>
      <c r="I1479" s="334"/>
      <c r="J1479" s="334"/>
      <c r="K1479" s="334"/>
      <c r="L1479" s="334"/>
      <c r="M1479" s="85"/>
      <c r="N1479" s="218"/>
    </row>
    <row r="1480" spans="1:29" s="87" customFormat="1" ht="17.25" customHeight="1">
      <c r="A1480" s="335" t="s">
        <v>66</v>
      </c>
      <c r="B1480" s="335"/>
      <c r="C1480" s="335"/>
      <c r="D1480" s="335"/>
      <c r="E1480" s="335"/>
      <c r="F1480" s="335"/>
      <c r="G1480" s="335"/>
      <c r="H1480" s="335"/>
      <c r="I1480" s="335"/>
      <c r="J1480" s="335"/>
      <c r="K1480" s="335"/>
      <c r="L1480" s="335"/>
      <c r="M1480" s="85"/>
      <c r="N1480" s="218"/>
    </row>
    <row r="1481" spans="1:29" s="87" customFormat="1" ht="7.5" customHeight="1">
      <c r="A1481" s="119"/>
      <c r="B1481" s="119"/>
      <c r="C1481" s="119"/>
      <c r="D1481" s="119"/>
      <c r="E1481" s="119"/>
      <c r="F1481" s="119"/>
      <c r="G1481" s="119"/>
      <c r="H1481" s="119"/>
      <c r="I1481" s="119"/>
      <c r="J1481" s="119"/>
      <c r="K1481" s="119"/>
      <c r="L1481" s="119"/>
      <c r="M1481" s="85"/>
      <c r="N1481" s="218"/>
    </row>
    <row r="1482" spans="1:29" ht="15.75">
      <c r="A1482" s="336" t="s">
        <v>67</v>
      </c>
      <c r="B1482" s="336"/>
      <c r="C1482" s="336"/>
      <c r="D1482" s="336"/>
      <c r="E1482" s="336"/>
      <c r="F1482" s="336"/>
      <c r="G1482" s="336"/>
      <c r="H1482" s="336"/>
      <c r="I1482" s="336"/>
      <c r="J1482" s="336"/>
      <c r="K1482" s="336"/>
      <c r="L1482" s="336"/>
    </row>
    <row r="1483" spans="1:29" ht="2.25" customHeight="1">
      <c r="A1483" s="141"/>
      <c r="B1483" s="141"/>
      <c r="C1483" s="141"/>
      <c r="D1483" s="141"/>
      <c r="E1483" s="141"/>
      <c r="F1483" s="141"/>
      <c r="G1483" s="155"/>
      <c r="H1483" s="155"/>
      <c r="I1483" s="155"/>
      <c r="J1483" s="155"/>
      <c r="K1483" s="155"/>
      <c r="L1483" s="155"/>
    </row>
    <row r="1484" spans="1:29" ht="27.75" customHeight="1">
      <c r="A1484" s="317" t="s">
        <v>135</v>
      </c>
      <c r="B1484" s="318"/>
      <c r="C1484" s="317" t="s">
        <v>68</v>
      </c>
      <c r="D1484" s="318"/>
      <c r="E1484" s="183"/>
      <c r="F1484" s="321" t="s">
        <v>136</v>
      </c>
      <c r="G1484" s="322" t="s">
        <v>155</v>
      </c>
      <c r="H1484" s="323"/>
      <c r="I1484" s="323"/>
      <c r="J1484" s="322" t="s">
        <v>154</v>
      </c>
      <c r="K1484" s="323"/>
      <c r="L1484" s="324"/>
      <c r="M1484" s="92"/>
      <c r="O1484" s="325"/>
      <c r="P1484" s="325"/>
      <c r="Q1484" s="325"/>
      <c r="R1484" s="325"/>
      <c r="S1484" s="316"/>
      <c r="T1484" s="316"/>
      <c r="U1484" s="316"/>
      <c r="V1484" s="316"/>
      <c r="W1484" s="316"/>
      <c r="X1484" s="316"/>
      <c r="Y1484" s="316"/>
      <c r="Z1484" s="316"/>
      <c r="AA1484" s="316"/>
      <c r="AB1484" s="316"/>
      <c r="AC1484" s="316"/>
    </row>
    <row r="1485" spans="1:29" ht="125.25" customHeight="1">
      <c r="A1485" s="319"/>
      <c r="B1485" s="320"/>
      <c r="C1485" s="319"/>
      <c r="D1485" s="320"/>
      <c r="E1485" s="184"/>
      <c r="F1485" s="321"/>
      <c r="G1485" s="153" t="s">
        <v>151</v>
      </c>
      <c r="H1485" s="153" t="s">
        <v>152</v>
      </c>
      <c r="I1485" s="153" t="s">
        <v>153</v>
      </c>
      <c r="J1485" s="153" t="s">
        <v>151</v>
      </c>
      <c r="K1485" s="153" t="s">
        <v>152</v>
      </c>
      <c r="L1485" s="153" t="s">
        <v>153</v>
      </c>
      <c r="O1485" s="325"/>
      <c r="P1485" s="325"/>
      <c r="Q1485" s="325"/>
      <c r="R1485" s="325"/>
      <c r="S1485" s="193"/>
      <c r="T1485" s="193"/>
      <c r="U1485" s="193"/>
      <c r="V1485" s="193"/>
      <c r="W1485" s="193"/>
      <c r="X1485" s="193"/>
      <c r="Y1485" s="193"/>
      <c r="Z1485" s="193"/>
      <c r="AA1485" s="193"/>
      <c r="AB1485" s="193"/>
      <c r="AC1485" s="193"/>
    </row>
    <row r="1486" spans="1:29" ht="24.75" customHeight="1">
      <c r="A1486" s="190" t="s">
        <v>128</v>
      </c>
      <c r="B1486" s="142"/>
      <c r="C1486" s="330" t="s">
        <v>129</v>
      </c>
      <c r="D1486" s="330"/>
      <c r="E1486" s="330"/>
      <c r="F1486" s="330"/>
      <c r="G1486" s="330"/>
      <c r="H1486" s="330"/>
      <c r="I1486" s="330"/>
      <c r="J1486" s="330"/>
      <c r="K1486" s="330"/>
      <c r="L1486" s="330"/>
      <c r="M1486" s="93"/>
      <c r="O1486" s="156"/>
      <c r="P1486" s="142"/>
      <c r="Q1486" s="331"/>
      <c r="R1486" s="331"/>
      <c r="S1486" s="331"/>
      <c r="T1486" s="331"/>
      <c r="U1486" s="331"/>
      <c r="V1486" s="331"/>
      <c r="W1486" s="331"/>
      <c r="X1486" s="331"/>
      <c r="Y1486" s="331"/>
      <c r="Z1486" s="331"/>
      <c r="AA1486" s="331"/>
      <c r="AB1486" s="331"/>
      <c r="AC1486" s="331"/>
    </row>
    <row r="1487" spans="1:29" ht="20.100000000000001" customHeight="1">
      <c r="A1487" s="187">
        <v>1</v>
      </c>
      <c r="B1487" s="185" t="s">
        <v>69</v>
      </c>
      <c r="C1487" s="326" t="s">
        <v>70</v>
      </c>
      <c r="D1487" s="326"/>
      <c r="E1487" s="176"/>
      <c r="F1487" s="144" t="s">
        <v>71</v>
      </c>
      <c r="G1487" s="203" t="s">
        <v>156</v>
      </c>
      <c r="H1487" s="202" t="s">
        <v>156</v>
      </c>
      <c r="I1487" s="201">
        <v>1</v>
      </c>
      <c r="J1487" s="202" t="s">
        <v>156</v>
      </c>
      <c r="K1487" s="202" t="s">
        <v>156</v>
      </c>
      <c r="L1487" s="201">
        <v>1</v>
      </c>
      <c r="M1487" s="93"/>
      <c r="O1487" s="195"/>
      <c r="P1487" s="196"/>
      <c r="Q1487" s="327"/>
      <c r="R1487" s="327"/>
      <c r="S1487" s="86"/>
      <c r="T1487" s="86"/>
      <c r="U1487" s="86"/>
      <c r="V1487" s="86"/>
      <c r="W1487" s="194"/>
      <c r="X1487" s="194"/>
      <c r="Y1487" s="194"/>
      <c r="Z1487" s="194"/>
      <c r="AA1487" s="194"/>
      <c r="AB1487" s="194"/>
      <c r="AC1487" s="194"/>
    </row>
    <row r="1488" spans="1:29" ht="20.100000000000001" customHeight="1">
      <c r="A1488" s="187">
        <v>2</v>
      </c>
      <c r="B1488" s="185" t="s">
        <v>69</v>
      </c>
      <c r="C1488" s="326" t="s">
        <v>72</v>
      </c>
      <c r="D1488" s="326"/>
      <c r="E1488" s="176"/>
      <c r="F1488" s="144" t="s">
        <v>71</v>
      </c>
      <c r="G1488" s="203" t="s">
        <v>156</v>
      </c>
      <c r="H1488" s="202" t="s">
        <v>156</v>
      </c>
      <c r="I1488" s="202" t="s">
        <v>156</v>
      </c>
      <c r="J1488" s="202" t="s">
        <v>156</v>
      </c>
      <c r="K1488" s="202" t="s">
        <v>156</v>
      </c>
      <c r="L1488" s="202" t="s">
        <v>156</v>
      </c>
      <c r="M1488" s="93"/>
      <c r="O1488" s="195"/>
      <c r="P1488" s="196"/>
      <c r="Q1488" s="327"/>
      <c r="R1488" s="327"/>
      <c r="S1488" s="194"/>
      <c r="T1488" s="194"/>
      <c r="U1488" s="194"/>
      <c r="V1488" s="86"/>
      <c r="W1488" s="86"/>
      <c r="X1488" s="86"/>
      <c r="Y1488" s="86"/>
      <c r="Z1488" s="194"/>
      <c r="AA1488" s="194"/>
      <c r="AB1488" s="194"/>
      <c r="AC1488" s="194"/>
    </row>
    <row r="1489" spans="1:29" ht="20.100000000000001" customHeight="1">
      <c r="A1489" s="187">
        <v>3</v>
      </c>
      <c r="B1489" s="185" t="s">
        <v>69</v>
      </c>
      <c r="C1489" s="326" t="s">
        <v>73</v>
      </c>
      <c r="D1489" s="326"/>
      <c r="E1489" s="176"/>
      <c r="F1489" s="144" t="s">
        <v>71</v>
      </c>
      <c r="G1489" s="203" t="s">
        <v>156</v>
      </c>
      <c r="H1489" s="202" t="s">
        <v>156</v>
      </c>
      <c r="I1489" s="202" t="s">
        <v>156</v>
      </c>
      <c r="J1489" s="202" t="s">
        <v>156</v>
      </c>
      <c r="K1489" s="202" t="s">
        <v>156</v>
      </c>
      <c r="L1489" s="202" t="s">
        <v>156</v>
      </c>
      <c r="M1489" s="93"/>
      <c r="O1489" s="195"/>
      <c r="P1489" s="196"/>
      <c r="Q1489" s="327"/>
      <c r="R1489" s="327"/>
      <c r="S1489" s="194"/>
      <c r="T1489" s="86"/>
      <c r="U1489" s="86"/>
      <c r="V1489" s="86"/>
      <c r="W1489" s="86"/>
      <c r="X1489" s="194"/>
      <c r="Y1489" s="194"/>
      <c r="Z1489" s="194"/>
      <c r="AA1489" s="194"/>
      <c r="AB1489" s="194"/>
      <c r="AC1489" s="194"/>
    </row>
    <row r="1490" spans="1:29" ht="20.100000000000001" customHeight="1">
      <c r="A1490" s="187">
        <v>4</v>
      </c>
      <c r="B1490" s="185" t="s">
        <v>69</v>
      </c>
      <c r="C1490" s="326" t="s">
        <v>98</v>
      </c>
      <c r="D1490" s="326"/>
      <c r="E1490" s="176"/>
      <c r="F1490" s="144" t="s">
        <v>71</v>
      </c>
      <c r="G1490" s="203" t="s">
        <v>156</v>
      </c>
      <c r="H1490" s="202" t="s">
        <v>156</v>
      </c>
      <c r="I1490" s="202" t="s">
        <v>156</v>
      </c>
      <c r="J1490" s="202" t="s">
        <v>156</v>
      </c>
      <c r="K1490" s="202" t="s">
        <v>156</v>
      </c>
      <c r="L1490" s="202" t="s">
        <v>156</v>
      </c>
      <c r="M1490" s="93"/>
      <c r="O1490" s="195"/>
      <c r="P1490" s="196"/>
      <c r="Q1490" s="327"/>
      <c r="R1490" s="327"/>
      <c r="S1490" s="194"/>
      <c r="T1490" s="194"/>
      <c r="U1490" s="194"/>
      <c r="V1490" s="194"/>
      <c r="W1490" s="194"/>
      <c r="X1490" s="194"/>
      <c r="Y1490" s="194"/>
      <c r="Z1490" s="86"/>
      <c r="AA1490" s="86"/>
      <c r="AB1490" s="86"/>
      <c r="AC1490" s="86"/>
    </row>
    <row r="1491" spans="1:29" ht="20.100000000000001" customHeight="1">
      <c r="A1491" s="187">
        <v>5</v>
      </c>
      <c r="B1491" s="185" t="s">
        <v>69</v>
      </c>
      <c r="C1491" s="326" t="s">
        <v>74</v>
      </c>
      <c r="D1491" s="326"/>
      <c r="E1491" s="176"/>
      <c r="F1491" s="144" t="s">
        <v>71</v>
      </c>
      <c r="G1491" s="203" t="s">
        <v>156</v>
      </c>
      <c r="H1491" s="202" t="s">
        <v>156</v>
      </c>
      <c r="I1491" s="202" t="s">
        <v>156</v>
      </c>
      <c r="J1491" s="202" t="s">
        <v>156</v>
      </c>
      <c r="K1491" s="202" t="s">
        <v>156</v>
      </c>
      <c r="L1491" s="202" t="s">
        <v>156</v>
      </c>
      <c r="M1491" s="93"/>
      <c r="O1491" s="195"/>
      <c r="P1491" s="196"/>
      <c r="Q1491" s="327"/>
      <c r="R1491" s="327"/>
      <c r="S1491" s="194"/>
      <c r="T1491" s="194"/>
      <c r="U1491" s="194"/>
      <c r="V1491" s="194"/>
      <c r="W1491" s="194"/>
      <c r="X1491" s="194"/>
      <c r="Y1491" s="194"/>
      <c r="Z1491" s="194"/>
      <c r="AA1491" s="194"/>
      <c r="AB1491" s="194"/>
      <c r="AC1491" s="194"/>
    </row>
    <row r="1492" spans="1:29" ht="20.100000000000001" customHeight="1">
      <c r="A1492" s="187">
        <v>6</v>
      </c>
      <c r="B1492" s="185" t="s">
        <v>69</v>
      </c>
      <c r="C1492" s="326" t="s">
        <v>75</v>
      </c>
      <c r="D1492" s="326"/>
      <c r="E1492" s="176"/>
      <c r="F1492" s="144" t="s">
        <v>71</v>
      </c>
      <c r="G1492" s="203" t="s">
        <v>156</v>
      </c>
      <c r="H1492" s="202" t="s">
        <v>156</v>
      </c>
      <c r="I1492" s="202" t="s">
        <v>156</v>
      </c>
      <c r="J1492" s="202" t="s">
        <v>156</v>
      </c>
      <c r="K1492" s="202" t="s">
        <v>156</v>
      </c>
      <c r="L1492" s="202" t="s">
        <v>156</v>
      </c>
      <c r="M1492" s="93"/>
      <c r="O1492" s="195"/>
      <c r="P1492" s="196"/>
      <c r="Q1492" s="327"/>
      <c r="R1492" s="327"/>
      <c r="S1492" s="194"/>
      <c r="T1492" s="194"/>
      <c r="U1492" s="194"/>
      <c r="V1492" s="194"/>
      <c r="W1492" s="194"/>
      <c r="X1492" s="194"/>
      <c r="Y1492" s="194"/>
      <c r="Z1492" s="194"/>
      <c r="AA1492" s="194"/>
      <c r="AB1492" s="194"/>
      <c r="AC1492" s="194"/>
    </row>
    <row r="1493" spans="1:29" ht="20.100000000000001" customHeight="1">
      <c r="A1493" s="187">
        <v>7</v>
      </c>
      <c r="B1493" s="185" t="s">
        <v>69</v>
      </c>
      <c r="C1493" s="326" t="s">
        <v>76</v>
      </c>
      <c r="D1493" s="326"/>
      <c r="E1493" s="176"/>
      <c r="F1493" s="144" t="s">
        <v>71</v>
      </c>
      <c r="G1493" s="203" t="s">
        <v>156</v>
      </c>
      <c r="H1493" s="202" t="s">
        <v>156</v>
      </c>
      <c r="I1493" s="202" t="s">
        <v>156</v>
      </c>
      <c r="J1493" s="202" t="s">
        <v>156</v>
      </c>
      <c r="K1493" s="202" t="s">
        <v>156</v>
      </c>
      <c r="L1493" s="202" t="s">
        <v>156</v>
      </c>
      <c r="M1493" s="93"/>
      <c r="O1493" s="195"/>
      <c r="P1493" s="196"/>
      <c r="Q1493" s="327"/>
      <c r="R1493" s="327"/>
      <c r="S1493" s="194"/>
      <c r="T1493" s="194"/>
      <c r="U1493" s="194"/>
      <c r="V1493" s="194"/>
      <c r="W1493" s="194"/>
      <c r="X1493" s="194"/>
      <c r="Y1493" s="194"/>
      <c r="Z1493" s="194"/>
      <c r="AA1493" s="194"/>
      <c r="AB1493" s="194"/>
      <c r="AC1493" s="194"/>
    </row>
    <row r="1494" spans="1:29" ht="20.100000000000001" customHeight="1">
      <c r="A1494" s="187">
        <v>8</v>
      </c>
      <c r="B1494" s="185" t="s">
        <v>69</v>
      </c>
      <c r="C1494" s="326" t="s">
        <v>99</v>
      </c>
      <c r="D1494" s="326"/>
      <c r="E1494" s="176"/>
      <c r="F1494" s="144" t="s">
        <v>71</v>
      </c>
      <c r="G1494" s="203" t="s">
        <v>156</v>
      </c>
      <c r="H1494" s="202" t="s">
        <v>156</v>
      </c>
      <c r="I1494" s="202" t="s">
        <v>156</v>
      </c>
      <c r="J1494" s="202" t="s">
        <v>156</v>
      </c>
      <c r="K1494" s="202" t="s">
        <v>156</v>
      </c>
      <c r="L1494" s="202" t="s">
        <v>156</v>
      </c>
      <c r="M1494" s="93"/>
      <c r="O1494" s="195"/>
      <c r="P1494" s="196"/>
      <c r="Q1494" s="327"/>
      <c r="R1494" s="327"/>
      <c r="S1494" s="194"/>
      <c r="T1494" s="194"/>
      <c r="U1494" s="194"/>
      <c r="V1494" s="194"/>
      <c r="W1494" s="194"/>
      <c r="X1494" s="194"/>
      <c r="Y1494" s="194"/>
      <c r="Z1494" s="194"/>
      <c r="AA1494" s="194"/>
      <c r="AB1494" s="194"/>
      <c r="AC1494" s="194"/>
    </row>
    <row r="1495" spans="1:29" ht="20.100000000000001" customHeight="1">
      <c r="A1495" s="187">
        <v>9</v>
      </c>
      <c r="B1495" s="185" t="s">
        <v>69</v>
      </c>
      <c r="C1495" s="326" t="s">
        <v>77</v>
      </c>
      <c r="D1495" s="326"/>
      <c r="E1495" s="176"/>
      <c r="F1495" s="144" t="s">
        <v>71</v>
      </c>
      <c r="G1495" s="203" t="s">
        <v>156</v>
      </c>
      <c r="H1495" s="202" t="s">
        <v>156</v>
      </c>
      <c r="I1495" s="202" t="s">
        <v>156</v>
      </c>
      <c r="J1495" s="202" t="s">
        <v>156</v>
      </c>
      <c r="K1495" s="202" t="s">
        <v>156</v>
      </c>
      <c r="L1495" s="202" t="s">
        <v>156</v>
      </c>
      <c r="M1495" s="93"/>
      <c r="O1495" s="195"/>
      <c r="P1495" s="196"/>
      <c r="Q1495" s="327"/>
      <c r="R1495" s="327"/>
      <c r="S1495" s="194"/>
      <c r="T1495" s="194"/>
      <c r="U1495" s="194"/>
      <c r="V1495" s="194"/>
      <c r="W1495" s="194"/>
      <c r="X1495" s="194"/>
      <c r="Y1495" s="194"/>
      <c r="Z1495" s="194"/>
      <c r="AA1495" s="194"/>
      <c r="AB1495" s="194"/>
      <c r="AC1495" s="194"/>
    </row>
    <row r="1496" spans="1:29" ht="20.100000000000001" customHeight="1">
      <c r="A1496" s="187">
        <v>10</v>
      </c>
      <c r="B1496" s="185" t="s">
        <v>69</v>
      </c>
      <c r="C1496" s="326" t="s">
        <v>78</v>
      </c>
      <c r="D1496" s="326"/>
      <c r="E1496" s="176"/>
      <c r="F1496" s="144" t="s">
        <v>71</v>
      </c>
      <c r="G1496" s="203" t="s">
        <v>156</v>
      </c>
      <c r="H1496" s="202" t="s">
        <v>156</v>
      </c>
      <c r="I1496" s="202" t="s">
        <v>156</v>
      </c>
      <c r="J1496" s="202" t="s">
        <v>156</v>
      </c>
      <c r="K1496" s="202" t="s">
        <v>156</v>
      </c>
      <c r="L1496" s="202" t="s">
        <v>156</v>
      </c>
      <c r="M1496" s="93"/>
      <c r="O1496" s="195"/>
      <c r="P1496" s="196"/>
      <c r="Q1496" s="327"/>
      <c r="R1496" s="327"/>
      <c r="S1496" s="194"/>
      <c r="T1496" s="194"/>
      <c r="U1496" s="194"/>
      <c r="V1496" s="194"/>
      <c r="W1496" s="194"/>
      <c r="X1496" s="194"/>
      <c r="Y1496" s="194"/>
      <c r="Z1496" s="194"/>
      <c r="AA1496" s="194"/>
      <c r="AB1496" s="194"/>
      <c r="AC1496" s="194"/>
    </row>
    <row r="1497" spans="1:29" ht="20.100000000000001" customHeight="1">
      <c r="A1497" s="187">
        <v>11</v>
      </c>
      <c r="B1497" s="185" t="s">
        <v>69</v>
      </c>
      <c r="C1497" s="326" t="s">
        <v>79</v>
      </c>
      <c r="D1497" s="326"/>
      <c r="E1497" s="176"/>
      <c r="F1497" s="144" t="s">
        <v>71</v>
      </c>
      <c r="G1497" s="203" t="s">
        <v>156</v>
      </c>
      <c r="H1497" s="202" t="s">
        <v>156</v>
      </c>
      <c r="I1497" s="202" t="s">
        <v>156</v>
      </c>
      <c r="J1497" s="202" t="s">
        <v>156</v>
      </c>
      <c r="K1497" s="202" t="s">
        <v>156</v>
      </c>
      <c r="L1497" s="202" t="s">
        <v>156</v>
      </c>
      <c r="M1497" s="93"/>
      <c r="O1497" s="195"/>
      <c r="P1497" s="196"/>
      <c r="Q1497" s="327"/>
      <c r="R1497" s="327"/>
      <c r="S1497" s="194"/>
      <c r="T1497" s="194"/>
      <c r="U1497" s="194"/>
      <c r="V1497" s="194"/>
      <c r="W1497" s="194"/>
      <c r="X1497" s="194"/>
      <c r="Y1497" s="194"/>
      <c r="Z1497" s="194"/>
      <c r="AA1497" s="194"/>
      <c r="AB1497" s="194"/>
      <c r="AC1497" s="194"/>
    </row>
    <row r="1498" spans="1:29" ht="20.100000000000001" customHeight="1">
      <c r="A1498" s="187">
        <v>12</v>
      </c>
      <c r="B1498" s="185" t="s">
        <v>69</v>
      </c>
      <c r="C1498" s="326" t="s">
        <v>100</v>
      </c>
      <c r="D1498" s="326"/>
      <c r="E1498" s="176"/>
      <c r="F1498" s="144" t="s">
        <v>71</v>
      </c>
      <c r="G1498" s="203" t="s">
        <v>156</v>
      </c>
      <c r="H1498" s="202" t="s">
        <v>156</v>
      </c>
      <c r="I1498" s="202" t="s">
        <v>156</v>
      </c>
      <c r="J1498" s="202" t="s">
        <v>156</v>
      </c>
      <c r="K1498" s="202" t="s">
        <v>156</v>
      </c>
      <c r="L1498" s="202" t="s">
        <v>156</v>
      </c>
      <c r="M1498" s="93"/>
      <c r="O1498" s="195"/>
      <c r="P1498" s="196"/>
      <c r="Q1498" s="327"/>
      <c r="R1498" s="327"/>
      <c r="S1498" s="194"/>
      <c r="T1498" s="194"/>
      <c r="U1498" s="194"/>
      <c r="V1498" s="194"/>
      <c r="W1498" s="194"/>
      <c r="X1498" s="194"/>
      <c r="Y1498" s="194"/>
      <c r="Z1498" s="194"/>
      <c r="AA1498" s="194"/>
      <c r="AB1498" s="194"/>
      <c r="AC1498" s="194"/>
    </row>
    <row r="1499" spans="1:29" ht="20.100000000000001" customHeight="1">
      <c r="A1499" s="187">
        <v>13</v>
      </c>
      <c r="B1499" s="185" t="s">
        <v>69</v>
      </c>
      <c r="C1499" s="326" t="s">
        <v>80</v>
      </c>
      <c r="D1499" s="326"/>
      <c r="E1499" s="176"/>
      <c r="F1499" s="144" t="s">
        <v>71</v>
      </c>
      <c r="G1499" s="203" t="s">
        <v>156</v>
      </c>
      <c r="H1499" s="202" t="s">
        <v>156</v>
      </c>
      <c r="I1499" s="202" t="s">
        <v>156</v>
      </c>
      <c r="J1499" s="202" t="s">
        <v>156</v>
      </c>
      <c r="K1499" s="202" t="s">
        <v>156</v>
      </c>
      <c r="L1499" s="202" t="s">
        <v>156</v>
      </c>
      <c r="M1499" s="93"/>
      <c r="O1499" s="195"/>
      <c r="P1499" s="196"/>
      <c r="Q1499" s="327"/>
      <c r="R1499" s="327"/>
      <c r="S1499" s="194"/>
      <c r="T1499" s="194"/>
      <c r="U1499" s="194"/>
      <c r="V1499" s="194"/>
      <c r="W1499" s="194"/>
      <c r="X1499" s="194"/>
      <c r="Y1499" s="194"/>
      <c r="Z1499" s="194"/>
      <c r="AA1499" s="194"/>
      <c r="AB1499" s="194"/>
      <c r="AC1499" s="194"/>
    </row>
    <row r="1500" spans="1:29" ht="20.100000000000001" customHeight="1">
      <c r="A1500" s="187">
        <v>14</v>
      </c>
      <c r="B1500" s="185" t="s">
        <v>69</v>
      </c>
      <c r="C1500" s="326" t="s">
        <v>91</v>
      </c>
      <c r="D1500" s="326"/>
      <c r="E1500" s="176"/>
      <c r="F1500" s="144" t="s">
        <v>71</v>
      </c>
      <c r="G1500" s="203" t="s">
        <v>156</v>
      </c>
      <c r="H1500" s="202" t="s">
        <v>156</v>
      </c>
      <c r="I1500" s="202" t="s">
        <v>156</v>
      </c>
      <c r="J1500" s="202" t="s">
        <v>156</v>
      </c>
      <c r="K1500" s="202" t="s">
        <v>156</v>
      </c>
      <c r="L1500" s="202" t="s">
        <v>156</v>
      </c>
      <c r="M1500" s="93"/>
      <c r="O1500" s="195"/>
      <c r="P1500" s="196"/>
      <c r="Q1500" s="327"/>
      <c r="R1500" s="327"/>
      <c r="S1500" s="194"/>
      <c r="T1500" s="194"/>
      <c r="U1500" s="194"/>
      <c r="V1500" s="194"/>
      <c r="W1500" s="194"/>
      <c r="X1500" s="194"/>
      <c r="Y1500" s="194"/>
      <c r="Z1500" s="194"/>
      <c r="AA1500" s="194"/>
      <c r="AB1500" s="194"/>
      <c r="AC1500" s="194"/>
    </row>
    <row r="1501" spans="1:29" ht="20.100000000000001" customHeight="1">
      <c r="A1501" s="187">
        <v>15</v>
      </c>
      <c r="B1501" s="185" t="s">
        <v>69</v>
      </c>
      <c r="C1501" s="326" t="s">
        <v>81</v>
      </c>
      <c r="D1501" s="326"/>
      <c r="E1501" s="176"/>
      <c r="F1501" s="144" t="s">
        <v>71</v>
      </c>
      <c r="G1501" s="203" t="s">
        <v>156</v>
      </c>
      <c r="H1501" s="202" t="s">
        <v>156</v>
      </c>
      <c r="I1501" s="202" t="s">
        <v>156</v>
      </c>
      <c r="J1501" s="202" t="s">
        <v>156</v>
      </c>
      <c r="K1501" s="202" t="s">
        <v>156</v>
      </c>
      <c r="L1501" s="202" t="s">
        <v>156</v>
      </c>
      <c r="M1501" s="93"/>
      <c r="O1501" s="195"/>
      <c r="P1501" s="196"/>
      <c r="Q1501" s="327"/>
      <c r="R1501" s="327"/>
      <c r="S1501" s="194"/>
      <c r="T1501" s="194"/>
      <c r="U1501" s="194"/>
      <c r="V1501" s="194"/>
      <c r="W1501" s="194"/>
      <c r="X1501" s="194"/>
      <c r="Y1501" s="194"/>
      <c r="Z1501" s="194"/>
      <c r="AA1501" s="194"/>
      <c r="AB1501" s="194"/>
      <c r="AC1501" s="194"/>
    </row>
    <row r="1502" spans="1:29" ht="20.100000000000001" customHeight="1">
      <c r="A1502" s="187">
        <v>16</v>
      </c>
      <c r="B1502" s="185" t="s">
        <v>69</v>
      </c>
      <c r="C1502" s="326" t="s">
        <v>101</v>
      </c>
      <c r="D1502" s="326"/>
      <c r="E1502" s="151"/>
      <c r="F1502" s="144" t="s">
        <v>71</v>
      </c>
      <c r="G1502" s="203" t="s">
        <v>156</v>
      </c>
      <c r="H1502" s="202" t="s">
        <v>156</v>
      </c>
      <c r="I1502" s="202" t="s">
        <v>156</v>
      </c>
      <c r="J1502" s="202" t="s">
        <v>156</v>
      </c>
      <c r="K1502" s="202" t="s">
        <v>156</v>
      </c>
      <c r="L1502" s="202" t="s">
        <v>156</v>
      </c>
      <c r="M1502" s="93"/>
      <c r="N1502" s="219"/>
      <c r="O1502" s="195"/>
      <c r="P1502" s="196"/>
      <c r="Q1502" s="327"/>
      <c r="R1502" s="327"/>
      <c r="S1502" s="197"/>
      <c r="T1502" s="197"/>
      <c r="U1502" s="197"/>
      <c r="V1502" s="197"/>
      <c r="W1502" s="197"/>
      <c r="X1502" s="197"/>
      <c r="Y1502" s="197"/>
      <c r="Z1502" s="197"/>
      <c r="AA1502" s="197"/>
      <c r="AB1502" s="197"/>
      <c r="AC1502" s="197"/>
    </row>
    <row r="1503" spans="1:29" ht="20.100000000000001" customHeight="1">
      <c r="A1503" s="187">
        <v>17</v>
      </c>
      <c r="B1503" s="186" t="s">
        <v>69</v>
      </c>
      <c r="C1503" s="326" t="s">
        <v>141</v>
      </c>
      <c r="D1503" s="326"/>
      <c r="E1503" s="151"/>
      <c r="F1503" s="144" t="s">
        <v>71</v>
      </c>
      <c r="G1503" s="203" t="s">
        <v>156</v>
      </c>
      <c r="H1503" s="202" t="s">
        <v>156</v>
      </c>
      <c r="I1503" s="202" t="s">
        <v>156</v>
      </c>
      <c r="J1503" s="202" t="s">
        <v>156</v>
      </c>
      <c r="K1503" s="202" t="s">
        <v>156</v>
      </c>
      <c r="L1503" s="202" t="s">
        <v>156</v>
      </c>
      <c r="M1503" s="93"/>
      <c r="N1503" s="219"/>
      <c r="O1503" s="195"/>
      <c r="P1503" s="104"/>
      <c r="Q1503" s="327"/>
      <c r="R1503" s="327"/>
      <c r="S1503" s="197"/>
      <c r="T1503" s="197"/>
      <c r="U1503" s="197"/>
      <c r="V1503" s="197"/>
      <c r="W1503" s="197"/>
      <c r="X1503" s="197"/>
      <c r="Y1503" s="197"/>
      <c r="Z1503" s="197"/>
      <c r="AA1503" s="197"/>
      <c r="AB1503" s="197"/>
      <c r="AC1503" s="197"/>
    </row>
    <row r="1504" spans="1:29" ht="20.100000000000001" customHeight="1">
      <c r="A1504" s="187">
        <v>18</v>
      </c>
      <c r="B1504" s="186" t="s">
        <v>69</v>
      </c>
      <c r="C1504" s="326" t="s">
        <v>142</v>
      </c>
      <c r="D1504" s="326"/>
      <c r="E1504" s="151"/>
      <c r="F1504" s="144" t="s">
        <v>71</v>
      </c>
      <c r="G1504" s="203" t="s">
        <v>156</v>
      </c>
      <c r="H1504" s="202" t="s">
        <v>156</v>
      </c>
      <c r="I1504" s="202" t="s">
        <v>156</v>
      </c>
      <c r="J1504" s="202" t="s">
        <v>156</v>
      </c>
      <c r="K1504" s="202" t="s">
        <v>156</v>
      </c>
      <c r="L1504" s="202" t="s">
        <v>156</v>
      </c>
      <c r="M1504" s="93"/>
      <c r="N1504" s="219"/>
      <c r="O1504" s="195"/>
      <c r="P1504" s="104"/>
      <c r="Q1504" s="327"/>
      <c r="R1504" s="327"/>
      <c r="S1504" s="197"/>
      <c r="T1504" s="197"/>
      <c r="U1504" s="197"/>
      <c r="V1504" s="197"/>
      <c r="W1504" s="197"/>
      <c r="X1504" s="197"/>
      <c r="Y1504" s="197"/>
      <c r="Z1504" s="197"/>
      <c r="AA1504" s="197"/>
      <c r="AB1504" s="197"/>
      <c r="AC1504" s="197"/>
    </row>
    <row r="1505" spans="1:29" ht="20.100000000000001" customHeight="1">
      <c r="A1505" s="187">
        <v>19</v>
      </c>
      <c r="B1505" s="186" t="s">
        <v>69</v>
      </c>
      <c r="C1505" s="326" t="s">
        <v>143</v>
      </c>
      <c r="D1505" s="326"/>
      <c r="E1505" s="151"/>
      <c r="F1505" s="144" t="s">
        <v>71</v>
      </c>
      <c r="G1505" s="203" t="s">
        <v>156</v>
      </c>
      <c r="H1505" s="202" t="s">
        <v>156</v>
      </c>
      <c r="I1505" s="202" t="s">
        <v>156</v>
      </c>
      <c r="J1505" s="202" t="s">
        <v>156</v>
      </c>
      <c r="K1505" s="202" t="s">
        <v>156</v>
      </c>
      <c r="L1505" s="202" t="s">
        <v>156</v>
      </c>
      <c r="M1505" s="93"/>
      <c r="N1505" s="219"/>
      <c r="O1505" s="195"/>
      <c r="P1505" s="104"/>
      <c r="Q1505" s="327"/>
      <c r="R1505" s="327"/>
      <c r="S1505" s="197"/>
      <c r="T1505" s="197"/>
      <c r="U1505" s="197"/>
      <c r="V1505" s="197"/>
      <c r="W1505" s="197"/>
      <c r="X1505" s="197"/>
      <c r="Y1505" s="197"/>
      <c r="Z1505" s="197"/>
      <c r="AA1505" s="197"/>
      <c r="AB1505" s="197"/>
      <c r="AC1505" s="197"/>
    </row>
    <row r="1506" spans="1:29" ht="20.100000000000001" customHeight="1">
      <c r="A1506" s="187">
        <v>20</v>
      </c>
      <c r="B1506" s="186" t="s">
        <v>69</v>
      </c>
      <c r="C1506" s="326" t="s">
        <v>102</v>
      </c>
      <c r="D1506" s="326"/>
      <c r="E1506" s="150"/>
      <c r="F1506" s="154" t="s">
        <v>71</v>
      </c>
      <c r="G1506" s="203" t="s">
        <v>156</v>
      </c>
      <c r="H1506" s="202" t="s">
        <v>156</v>
      </c>
      <c r="I1506" s="202" t="s">
        <v>156</v>
      </c>
      <c r="J1506" s="202" t="s">
        <v>156</v>
      </c>
      <c r="K1506" s="202" t="s">
        <v>156</v>
      </c>
      <c r="L1506" s="202" t="s">
        <v>156</v>
      </c>
      <c r="M1506" s="93"/>
      <c r="N1506" s="219"/>
      <c r="O1506" s="195"/>
      <c r="P1506" s="104"/>
      <c r="Q1506" s="327"/>
      <c r="R1506" s="327"/>
      <c r="S1506" s="197"/>
      <c r="T1506" s="197"/>
      <c r="U1506" s="197"/>
      <c r="V1506" s="197"/>
      <c r="W1506" s="197"/>
      <c r="X1506" s="197"/>
      <c r="Y1506" s="197"/>
      <c r="Z1506" s="197"/>
      <c r="AA1506" s="197"/>
      <c r="AB1506" s="197"/>
      <c r="AC1506" s="197"/>
    </row>
    <row r="1507" spans="1:29" ht="24.75" customHeight="1">
      <c r="A1507" s="190" t="s">
        <v>128</v>
      </c>
      <c r="B1507" s="142"/>
      <c r="C1507" s="330" t="s">
        <v>130</v>
      </c>
      <c r="D1507" s="330"/>
      <c r="E1507" s="330"/>
      <c r="F1507" s="330"/>
      <c r="G1507" s="330"/>
      <c r="H1507" s="330"/>
      <c r="I1507" s="330"/>
      <c r="J1507" s="330"/>
      <c r="K1507" s="330"/>
      <c r="L1507" s="330"/>
      <c r="M1507" s="93"/>
      <c r="O1507" s="156"/>
      <c r="P1507" s="142"/>
      <c r="Q1507" s="331"/>
      <c r="R1507" s="331"/>
      <c r="S1507" s="331"/>
      <c r="T1507" s="331"/>
      <c r="U1507" s="331"/>
      <c r="V1507" s="331"/>
      <c r="W1507" s="331"/>
      <c r="X1507" s="331"/>
      <c r="Y1507" s="331"/>
      <c r="Z1507" s="331"/>
      <c r="AA1507" s="331"/>
      <c r="AB1507" s="331"/>
      <c r="AC1507" s="331"/>
    </row>
    <row r="1508" spans="1:29" ht="33" customHeight="1">
      <c r="A1508" s="189">
        <v>21</v>
      </c>
      <c r="B1508" s="188" t="s">
        <v>69</v>
      </c>
      <c r="C1508" s="307" t="s">
        <v>82</v>
      </c>
      <c r="D1508" s="308"/>
      <c r="E1508" s="182"/>
      <c r="F1508" s="191" t="s">
        <v>71</v>
      </c>
      <c r="G1508" s="201">
        <v>58</v>
      </c>
      <c r="H1508" s="201">
        <v>40</v>
      </c>
      <c r="I1508" s="201">
        <v>21</v>
      </c>
      <c r="J1508" s="201">
        <v>58</v>
      </c>
      <c r="K1508" s="201">
        <v>40</v>
      </c>
      <c r="L1508" s="201">
        <v>21</v>
      </c>
      <c r="M1508" s="89"/>
      <c r="N1508" s="219"/>
      <c r="O1508" s="199"/>
      <c r="P1508" s="200"/>
      <c r="Q1508" s="309"/>
      <c r="R1508" s="309"/>
      <c r="S1508" s="86"/>
      <c r="T1508" s="86"/>
      <c r="U1508" s="86"/>
      <c r="V1508" s="86"/>
      <c r="W1508" s="86"/>
      <c r="X1508" s="86"/>
      <c r="Y1508" s="86"/>
      <c r="Z1508" s="86"/>
      <c r="AA1508" s="86"/>
      <c r="AB1508" s="86"/>
      <c r="AC1508" s="86"/>
    </row>
    <row r="1509" spans="1:29" ht="33" customHeight="1">
      <c r="A1509" s="189">
        <v>22</v>
      </c>
      <c r="B1509" s="188" t="s">
        <v>69</v>
      </c>
      <c r="C1509" s="307" t="s">
        <v>103</v>
      </c>
      <c r="D1509" s="308"/>
      <c r="E1509" s="179"/>
      <c r="F1509" s="191" t="s">
        <v>71</v>
      </c>
      <c r="G1509" s="201">
        <v>9</v>
      </c>
      <c r="H1509" s="201">
        <v>9</v>
      </c>
      <c r="I1509" s="201">
        <v>7</v>
      </c>
      <c r="J1509" s="201">
        <v>9</v>
      </c>
      <c r="K1509" s="201">
        <v>9</v>
      </c>
      <c r="L1509" s="201">
        <v>7</v>
      </c>
      <c r="M1509" s="89"/>
      <c r="N1509" s="219"/>
      <c r="O1509" s="199"/>
      <c r="P1509" s="200"/>
      <c r="Q1509" s="309"/>
      <c r="R1509" s="309"/>
      <c r="S1509" s="86"/>
      <c r="T1509" s="86"/>
      <c r="U1509" s="86"/>
      <c r="V1509" s="86"/>
      <c r="W1509" s="86"/>
      <c r="X1509" s="86"/>
      <c r="Y1509" s="86"/>
      <c r="Z1509" s="86"/>
      <c r="AA1509" s="86"/>
      <c r="AB1509" s="86"/>
      <c r="AC1509" s="86"/>
    </row>
    <row r="1510" spans="1:29" ht="33" customHeight="1">
      <c r="A1510" s="189">
        <v>23</v>
      </c>
      <c r="B1510" s="188" t="s">
        <v>69</v>
      </c>
      <c r="C1510" s="307" t="s">
        <v>104</v>
      </c>
      <c r="D1510" s="308"/>
      <c r="E1510" s="179"/>
      <c r="F1510" s="191" t="s">
        <v>71</v>
      </c>
      <c r="G1510" s="201">
        <v>5</v>
      </c>
      <c r="H1510" s="201">
        <v>1</v>
      </c>
      <c r="I1510" s="201">
        <v>1</v>
      </c>
      <c r="J1510" s="201">
        <v>5</v>
      </c>
      <c r="K1510" s="201">
        <v>1</v>
      </c>
      <c r="L1510" s="201">
        <v>1</v>
      </c>
      <c r="M1510" s="89"/>
      <c r="N1510" s="219"/>
      <c r="O1510" s="199"/>
      <c r="P1510" s="200"/>
      <c r="Q1510" s="309"/>
      <c r="R1510" s="309"/>
      <c r="S1510" s="86"/>
      <c r="T1510" s="86"/>
      <c r="U1510" s="86"/>
      <c r="V1510" s="86"/>
      <c r="W1510" s="86"/>
      <c r="X1510" s="86"/>
      <c r="Y1510" s="86"/>
      <c r="Z1510" s="86"/>
      <c r="AA1510" s="86"/>
      <c r="AB1510" s="86"/>
      <c r="AC1510" s="86"/>
    </row>
    <row r="1511" spans="1:29" ht="27.75" customHeight="1">
      <c r="A1511" s="317" t="s">
        <v>135</v>
      </c>
      <c r="B1511" s="318"/>
      <c r="C1511" s="317" t="s">
        <v>68</v>
      </c>
      <c r="D1511" s="318"/>
      <c r="E1511" s="183"/>
      <c r="F1511" s="321" t="s">
        <v>136</v>
      </c>
      <c r="G1511" s="322" t="s">
        <v>155</v>
      </c>
      <c r="H1511" s="323"/>
      <c r="I1511" s="323"/>
      <c r="J1511" s="322" t="s">
        <v>154</v>
      </c>
      <c r="K1511" s="323"/>
      <c r="L1511" s="324"/>
      <c r="M1511" s="92"/>
      <c r="O1511" s="325"/>
      <c r="P1511" s="325"/>
      <c r="Q1511" s="325"/>
      <c r="R1511" s="325"/>
      <c r="S1511" s="316"/>
      <c r="T1511" s="316"/>
      <c r="U1511" s="316"/>
      <c r="V1511" s="316"/>
      <c r="W1511" s="316"/>
      <c r="X1511" s="316"/>
      <c r="Y1511" s="316"/>
      <c r="Z1511" s="316"/>
      <c r="AA1511" s="316"/>
      <c r="AB1511" s="316"/>
      <c r="AC1511" s="316"/>
    </row>
    <row r="1512" spans="1:29" ht="125.25" customHeight="1">
      <c r="A1512" s="319"/>
      <c r="B1512" s="320"/>
      <c r="C1512" s="319"/>
      <c r="D1512" s="320"/>
      <c r="E1512" s="184"/>
      <c r="F1512" s="321"/>
      <c r="G1512" s="153" t="s">
        <v>151</v>
      </c>
      <c r="H1512" s="153" t="s">
        <v>152</v>
      </c>
      <c r="I1512" s="153" t="s">
        <v>153</v>
      </c>
      <c r="J1512" s="153" t="s">
        <v>151</v>
      </c>
      <c r="K1512" s="153" t="s">
        <v>152</v>
      </c>
      <c r="L1512" s="153" t="s">
        <v>153</v>
      </c>
      <c r="O1512" s="325"/>
      <c r="P1512" s="325"/>
      <c r="Q1512" s="325"/>
      <c r="R1512" s="325"/>
      <c r="S1512" s="193"/>
      <c r="T1512" s="193"/>
      <c r="U1512" s="193"/>
      <c r="V1512" s="193"/>
      <c r="W1512" s="193"/>
      <c r="X1512" s="193"/>
      <c r="Y1512" s="193"/>
      <c r="Z1512" s="193"/>
      <c r="AA1512" s="193"/>
      <c r="AB1512" s="193"/>
      <c r="AC1512" s="193"/>
    </row>
    <row r="1513" spans="1:29" ht="30" customHeight="1">
      <c r="A1513" s="189">
        <v>24</v>
      </c>
      <c r="B1513" s="188" t="s">
        <v>69</v>
      </c>
      <c r="C1513" s="307" t="s">
        <v>131</v>
      </c>
      <c r="D1513" s="308"/>
      <c r="E1513" s="179"/>
      <c r="F1513" s="191" t="s">
        <v>71</v>
      </c>
      <c r="G1513" s="202" t="s">
        <v>156</v>
      </c>
      <c r="H1513" s="202" t="s">
        <v>156</v>
      </c>
      <c r="I1513" s="202" t="s">
        <v>156</v>
      </c>
      <c r="J1513" s="202" t="s">
        <v>156</v>
      </c>
      <c r="K1513" s="202" t="s">
        <v>156</v>
      </c>
      <c r="L1513" s="202" t="s">
        <v>156</v>
      </c>
      <c r="M1513" s="89"/>
      <c r="N1513" s="219"/>
      <c r="O1513" s="199"/>
      <c r="P1513" s="200"/>
      <c r="Q1513" s="309"/>
      <c r="R1513" s="309"/>
      <c r="S1513" s="86"/>
      <c r="T1513" s="86"/>
      <c r="U1513" s="86"/>
      <c r="V1513" s="86"/>
      <c r="W1513" s="86"/>
      <c r="X1513" s="86"/>
      <c r="Y1513" s="86"/>
      <c r="Z1513" s="86"/>
      <c r="AA1513" s="86"/>
      <c r="AB1513" s="86"/>
      <c r="AC1513" s="86"/>
    </row>
    <row r="1514" spans="1:29" ht="30" customHeight="1">
      <c r="A1514" s="189">
        <v>25</v>
      </c>
      <c r="B1514" s="188" t="s">
        <v>69</v>
      </c>
      <c r="C1514" s="307" t="s">
        <v>83</v>
      </c>
      <c r="D1514" s="308"/>
      <c r="E1514" s="179"/>
      <c r="F1514" s="191" t="s">
        <v>71</v>
      </c>
      <c r="G1514" s="201">
        <v>25</v>
      </c>
      <c r="H1514" s="201">
        <v>40</v>
      </c>
      <c r="I1514" s="201">
        <v>22</v>
      </c>
      <c r="J1514" s="201">
        <v>25</v>
      </c>
      <c r="K1514" s="201">
        <v>40</v>
      </c>
      <c r="L1514" s="201">
        <v>22</v>
      </c>
      <c r="M1514" s="89"/>
      <c r="N1514" s="219"/>
      <c r="O1514" s="199"/>
      <c r="P1514" s="200"/>
      <c r="Q1514" s="309"/>
      <c r="R1514" s="309"/>
      <c r="S1514" s="86"/>
      <c r="T1514" s="86"/>
      <c r="U1514" s="86"/>
      <c r="V1514" s="86"/>
      <c r="W1514" s="86"/>
      <c r="X1514" s="86"/>
      <c r="Y1514" s="86"/>
      <c r="Z1514" s="86"/>
      <c r="AA1514" s="86"/>
      <c r="AB1514" s="86"/>
      <c r="AC1514" s="86"/>
    </row>
    <row r="1515" spans="1:29" ht="30" customHeight="1">
      <c r="A1515" s="189">
        <v>26</v>
      </c>
      <c r="B1515" s="188" t="s">
        <v>69</v>
      </c>
      <c r="C1515" s="307" t="s">
        <v>84</v>
      </c>
      <c r="D1515" s="308"/>
      <c r="E1515" s="179"/>
      <c r="F1515" s="191" t="s">
        <v>71</v>
      </c>
      <c r="G1515" s="201">
        <v>5</v>
      </c>
      <c r="H1515" s="202" t="s">
        <v>156</v>
      </c>
      <c r="I1515" s="202" t="s">
        <v>156</v>
      </c>
      <c r="J1515" s="201">
        <v>5</v>
      </c>
      <c r="K1515" s="202" t="s">
        <v>156</v>
      </c>
      <c r="L1515" s="202" t="s">
        <v>156</v>
      </c>
      <c r="M1515" s="89"/>
      <c r="N1515" s="219"/>
      <c r="O1515" s="199"/>
      <c r="P1515" s="200"/>
      <c r="Q1515" s="309"/>
      <c r="R1515" s="309"/>
      <c r="S1515" s="86"/>
      <c r="T1515" s="86"/>
      <c r="U1515" s="86"/>
      <c r="V1515" s="86"/>
      <c r="W1515" s="86"/>
      <c r="X1515" s="86"/>
      <c r="Y1515" s="86"/>
      <c r="Z1515" s="86"/>
      <c r="AA1515" s="86"/>
      <c r="AB1515" s="86"/>
      <c r="AC1515" s="86"/>
    </row>
    <row r="1516" spans="1:29" ht="30" customHeight="1">
      <c r="A1516" s="189">
        <v>27</v>
      </c>
      <c r="B1516" s="188" t="s">
        <v>69</v>
      </c>
      <c r="C1516" s="307" t="s">
        <v>85</v>
      </c>
      <c r="D1516" s="308"/>
      <c r="E1516" s="179"/>
      <c r="F1516" s="191" t="s">
        <v>71</v>
      </c>
      <c r="G1516" s="201">
        <v>3</v>
      </c>
      <c r="H1516" s="201">
        <v>1</v>
      </c>
      <c r="I1516" s="201">
        <v>8</v>
      </c>
      <c r="J1516" s="201">
        <v>3</v>
      </c>
      <c r="K1516" s="201">
        <v>1</v>
      </c>
      <c r="L1516" s="201">
        <v>8</v>
      </c>
      <c r="M1516" s="89"/>
      <c r="N1516" s="219"/>
      <c r="O1516" s="199"/>
      <c r="P1516" s="200"/>
      <c r="Q1516" s="309"/>
      <c r="R1516" s="309"/>
      <c r="S1516" s="86"/>
      <c r="T1516" s="86"/>
      <c r="U1516" s="86"/>
      <c r="V1516" s="86"/>
      <c r="W1516" s="86"/>
      <c r="X1516" s="86"/>
      <c r="Y1516" s="86"/>
      <c r="Z1516" s="86"/>
      <c r="AA1516" s="86"/>
      <c r="AB1516" s="86"/>
      <c r="AC1516" s="86"/>
    </row>
    <row r="1517" spans="1:29" ht="30" customHeight="1">
      <c r="A1517" s="189">
        <v>28</v>
      </c>
      <c r="B1517" s="188" t="s">
        <v>69</v>
      </c>
      <c r="C1517" s="307" t="s">
        <v>132</v>
      </c>
      <c r="D1517" s="308"/>
      <c r="E1517" s="179"/>
      <c r="F1517" s="191" t="s">
        <v>71</v>
      </c>
      <c r="G1517" s="202" t="s">
        <v>156</v>
      </c>
      <c r="H1517" s="202" t="s">
        <v>156</v>
      </c>
      <c r="I1517" s="202" t="s">
        <v>156</v>
      </c>
      <c r="J1517" s="202" t="s">
        <v>156</v>
      </c>
      <c r="K1517" s="202" t="s">
        <v>156</v>
      </c>
      <c r="L1517" s="202" t="s">
        <v>156</v>
      </c>
      <c r="M1517" s="89"/>
      <c r="N1517" s="219"/>
      <c r="O1517" s="199"/>
      <c r="P1517" s="200"/>
      <c r="Q1517" s="309"/>
      <c r="R1517" s="309"/>
      <c r="S1517" s="86"/>
      <c r="T1517" s="86"/>
      <c r="U1517" s="86"/>
      <c r="V1517" s="86"/>
      <c r="W1517" s="86"/>
      <c r="X1517" s="86"/>
      <c r="Y1517" s="86"/>
      <c r="Z1517" s="86"/>
      <c r="AA1517" s="86"/>
      <c r="AB1517" s="86"/>
      <c r="AC1517" s="86"/>
    </row>
    <row r="1518" spans="1:29" ht="30" customHeight="1">
      <c r="A1518" s="189">
        <v>29</v>
      </c>
      <c r="B1518" s="188" t="s">
        <v>69</v>
      </c>
      <c r="C1518" s="307" t="s">
        <v>86</v>
      </c>
      <c r="D1518" s="308"/>
      <c r="E1518" s="179"/>
      <c r="F1518" s="191" t="s">
        <v>71</v>
      </c>
      <c r="G1518" s="201">
        <v>10</v>
      </c>
      <c r="H1518" s="201">
        <v>12</v>
      </c>
      <c r="I1518" s="201">
        <v>9</v>
      </c>
      <c r="J1518" s="201">
        <v>10</v>
      </c>
      <c r="K1518" s="201">
        <v>12</v>
      </c>
      <c r="L1518" s="201">
        <v>9</v>
      </c>
      <c r="M1518" s="89"/>
      <c r="N1518" s="219"/>
      <c r="O1518" s="199"/>
      <c r="P1518" s="200"/>
      <c r="Q1518" s="309"/>
      <c r="R1518" s="309"/>
      <c r="S1518" s="86"/>
      <c r="T1518" s="86"/>
      <c r="U1518" s="86"/>
      <c r="V1518" s="86"/>
      <c r="W1518" s="86"/>
      <c r="X1518" s="86"/>
      <c r="Y1518" s="86"/>
      <c r="Z1518" s="86"/>
      <c r="AA1518" s="86"/>
      <c r="AB1518" s="86"/>
      <c r="AC1518" s="86"/>
    </row>
    <row r="1519" spans="1:29" ht="30" customHeight="1">
      <c r="A1519" s="189">
        <v>30</v>
      </c>
      <c r="B1519" s="188" t="s">
        <v>69</v>
      </c>
      <c r="C1519" s="307" t="s">
        <v>87</v>
      </c>
      <c r="D1519" s="308"/>
      <c r="E1519" s="179"/>
      <c r="F1519" s="191" t="s">
        <v>71</v>
      </c>
      <c r="G1519" s="202" t="s">
        <v>156</v>
      </c>
      <c r="H1519" s="202" t="s">
        <v>156</v>
      </c>
      <c r="I1519" s="202" t="s">
        <v>156</v>
      </c>
      <c r="J1519" s="202" t="s">
        <v>156</v>
      </c>
      <c r="K1519" s="202" t="s">
        <v>156</v>
      </c>
      <c r="L1519" s="202" t="s">
        <v>156</v>
      </c>
      <c r="M1519" s="89"/>
      <c r="N1519" s="219"/>
      <c r="O1519" s="199"/>
      <c r="P1519" s="200"/>
      <c r="Q1519" s="309"/>
      <c r="R1519" s="309"/>
      <c r="S1519" s="86"/>
      <c r="T1519" s="86"/>
      <c r="U1519" s="86"/>
      <c r="V1519" s="86"/>
      <c r="W1519" s="86"/>
      <c r="X1519" s="86"/>
      <c r="Y1519" s="86"/>
      <c r="Z1519" s="86"/>
      <c r="AA1519" s="86"/>
      <c r="AB1519" s="86"/>
      <c r="AC1519" s="86"/>
    </row>
    <row r="1520" spans="1:29" ht="30" customHeight="1">
      <c r="A1520" s="189">
        <v>31</v>
      </c>
      <c r="B1520" s="188" t="s">
        <v>69</v>
      </c>
      <c r="C1520" s="307" t="s">
        <v>105</v>
      </c>
      <c r="D1520" s="308"/>
      <c r="E1520" s="179"/>
      <c r="F1520" s="191" t="s">
        <v>71</v>
      </c>
      <c r="G1520" s="201">
        <v>2</v>
      </c>
      <c r="H1520" s="203" t="s">
        <v>156</v>
      </c>
      <c r="I1520" s="201">
        <v>8</v>
      </c>
      <c r="J1520" s="201">
        <v>2</v>
      </c>
      <c r="K1520" s="203" t="s">
        <v>156</v>
      </c>
      <c r="L1520" s="201">
        <v>8</v>
      </c>
      <c r="M1520" s="89"/>
      <c r="N1520" s="219"/>
      <c r="O1520" s="199"/>
      <c r="P1520" s="200"/>
      <c r="Q1520" s="309"/>
      <c r="R1520" s="309"/>
      <c r="S1520" s="86"/>
      <c r="T1520" s="86"/>
      <c r="U1520" s="86"/>
      <c r="V1520" s="86"/>
      <c r="W1520" s="86"/>
      <c r="X1520" s="86"/>
      <c r="Y1520" s="86"/>
      <c r="Z1520" s="86"/>
      <c r="AA1520" s="86"/>
      <c r="AB1520" s="86"/>
      <c r="AC1520" s="86"/>
    </row>
    <row r="1521" spans="1:29" ht="30" customHeight="1">
      <c r="A1521" s="189">
        <v>32</v>
      </c>
      <c r="B1521" s="188" t="s">
        <v>69</v>
      </c>
      <c r="C1521" s="307" t="s">
        <v>133</v>
      </c>
      <c r="D1521" s="308"/>
      <c r="E1521" s="179"/>
      <c r="F1521" s="191" t="s">
        <v>71</v>
      </c>
      <c r="G1521" s="202" t="s">
        <v>156</v>
      </c>
      <c r="H1521" s="202" t="s">
        <v>156</v>
      </c>
      <c r="I1521" s="202" t="s">
        <v>156</v>
      </c>
      <c r="J1521" s="202" t="s">
        <v>156</v>
      </c>
      <c r="K1521" s="202" t="s">
        <v>156</v>
      </c>
      <c r="L1521" s="202" t="s">
        <v>156</v>
      </c>
      <c r="M1521" s="89"/>
      <c r="N1521" s="219"/>
      <c r="O1521" s="199"/>
      <c r="P1521" s="200"/>
      <c r="Q1521" s="309"/>
      <c r="R1521" s="309"/>
      <c r="S1521" s="86"/>
      <c r="T1521" s="86"/>
      <c r="U1521" s="86"/>
      <c r="V1521" s="86"/>
      <c r="W1521" s="86"/>
      <c r="X1521" s="86"/>
      <c r="Y1521" s="86"/>
      <c r="Z1521" s="86"/>
      <c r="AA1521" s="86"/>
      <c r="AB1521" s="86"/>
      <c r="AC1521" s="86"/>
    </row>
    <row r="1522" spans="1:29" ht="30" customHeight="1">
      <c r="A1522" s="189">
        <v>33</v>
      </c>
      <c r="B1522" s="188" t="s">
        <v>69</v>
      </c>
      <c r="C1522" s="307" t="s">
        <v>88</v>
      </c>
      <c r="D1522" s="308"/>
      <c r="E1522" s="179"/>
      <c r="F1522" s="191" t="s">
        <v>71</v>
      </c>
      <c r="G1522" s="201">
        <v>3</v>
      </c>
      <c r="H1522" s="201">
        <v>7</v>
      </c>
      <c r="I1522" s="201">
        <v>7</v>
      </c>
      <c r="J1522" s="201">
        <v>3</v>
      </c>
      <c r="K1522" s="201">
        <v>7</v>
      </c>
      <c r="L1522" s="201">
        <v>7</v>
      </c>
      <c r="M1522" s="89"/>
      <c r="N1522" s="219"/>
      <c r="O1522" s="199"/>
      <c r="P1522" s="200"/>
      <c r="Q1522" s="309"/>
      <c r="R1522" s="309"/>
      <c r="S1522" s="86"/>
      <c r="T1522" s="86"/>
      <c r="U1522" s="86"/>
      <c r="V1522" s="86"/>
      <c r="W1522" s="86"/>
      <c r="X1522" s="86"/>
      <c r="Y1522" s="86"/>
      <c r="Z1522" s="86"/>
      <c r="AA1522" s="86"/>
      <c r="AB1522" s="86"/>
      <c r="AC1522" s="86"/>
    </row>
    <row r="1523" spans="1:29" ht="30" customHeight="1">
      <c r="A1523" s="189">
        <v>34</v>
      </c>
      <c r="B1523" s="188" t="s">
        <v>69</v>
      </c>
      <c r="C1523" s="307" t="s">
        <v>89</v>
      </c>
      <c r="D1523" s="308"/>
      <c r="E1523" s="179"/>
      <c r="F1523" s="191" t="s">
        <v>71</v>
      </c>
      <c r="G1523" s="202" t="s">
        <v>156</v>
      </c>
      <c r="H1523" s="202" t="s">
        <v>156</v>
      </c>
      <c r="I1523" s="202" t="s">
        <v>156</v>
      </c>
      <c r="J1523" s="202" t="s">
        <v>156</v>
      </c>
      <c r="K1523" s="202" t="s">
        <v>156</v>
      </c>
      <c r="L1523" s="202" t="s">
        <v>156</v>
      </c>
      <c r="M1523" s="89"/>
      <c r="N1523" s="219"/>
      <c r="O1523" s="199"/>
      <c r="P1523" s="200"/>
      <c r="Q1523" s="309"/>
      <c r="R1523" s="309"/>
      <c r="S1523" s="86"/>
      <c r="T1523" s="86"/>
      <c r="U1523" s="86"/>
      <c r="V1523" s="86"/>
      <c r="W1523" s="86"/>
      <c r="X1523" s="86"/>
      <c r="Y1523" s="86"/>
      <c r="Z1523" s="86"/>
      <c r="AA1523" s="86"/>
      <c r="AB1523" s="86"/>
      <c r="AC1523" s="86"/>
    </row>
    <row r="1524" spans="1:29" ht="30" customHeight="1">
      <c r="A1524" s="189">
        <v>35</v>
      </c>
      <c r="B1524" s="188" t="s">
        <v>69</v>
      </c>
      <c r="C1524" s="307" t="s">
        <v>140</v>
      </c>
      <c r="D1524" s="308"/>
      <c r="E1524" s="179"/>
      <c r="F1524" s="191" t="s">
        <v>71</v>
      </c>
      <c r="G1524" s="202" t="s">
        <v>156</v>
      </c>
      <c r="H1524" s="202" t="s">
        <v>156</v>
      </c>
      <c r="I1524" s="201">
        <v>3</v>
      </c>
      <c r="J1524" s="202" t="s">
        <v>156</v>
      </c>
      <c r="K1524" s="202" t="s">
        <v>156</v>
      </c>
      <c r="L1524" s="201">
        <v>3</v>
      </c>
      <c r="M1524" s="89"/>
      <c r="N1524" s="220"/>
      <c r="O1524" s="199"/>
      <c r="P1524" s="200"/>
      <c r="Q1524" s="309"/>
      <c r="R1524" s="309"/>
      <c r="S1524" s="86"/>
      <c r="T1524" s="86"/>
      <c r="U1524" s="86"/>
      <c r="V1524" s="86"/>
      <c r="W1524" s="86"/>
      <c r="X1524" s="86"/>
      <c r="Y1524" s="86"/>
      <c r="Z1524" s="86"/>
      <c r="AA1524" s="86"/>
      <c r="AB1524" s="86"/>
      <c r="AC1524" s="86"/>
    </row>
    <row r="1525" spans="1:29" ht="30" customHeight="1">
      <c r="A1525" s="189">
        <v>36</v>
      </c>
      <c r="B1525" s="188" t="s">
        <v>69</v>
      </c>
      <c r="C1525" s="307" t="s">
        <v>134</v>
      </c>
      <c r="D1525" s="308"/>
      <c r="E1525" s="179"/>
      <c r="F1525" s="191" t="s">
        <v>71</v>
      </c>
      <c r="G1525" s="202" t="s">
        <v>156</v>
      </c>
      <c r="H1525" s="202" t="s">
        <v>156</v>
      </c>
      <c r="I1525" s="202" t="s">
        <v>156</v>
      </c>
      <c r="J1525" s="202" t="s">
        <v>156</v>
      </c>
      <c r="K1525" s="202" t="s">
        <v>156</v>
      </c>
      <c r="L1525" s="202" t="s">
        <v>156</v>
      </c>
      <c r="M1525" s="89"/>
      <c r="N1525" s="220"/>
      <c r="O1525" s="199"/>
      <c r="P1525" s="200"/>
      <c r="Q1525" s="309"/>
      <c r="R1525" s="309"/>
      <c r="S1525" s="86"/>
      <c r="T1525" s="86"/>
      <c r="U1525" s="86"/>
      <c r="V1525" s="86"/>
      <c r="W1525" s="86"/>
      <c r="X1525" s="86"/>
      <c r="Y1525" s="86"/>
      <c r="Z1525" s="86"/>
      <c r="AA1525" s="86"/>
      <c r="AB1525" s="86"/>
      <c r="AC1525" s="86"/>
    </row>
    <row r="1526" spans="1:29" ht="30" customHeight="1">
      <c r="A1526" s="189">
        <v>37</v>
      </c>
      <c r="B1526" s="188" t="s">
        <v>69</v>
      </c>
      <c r="C1526" s="307" t="s">
        <v>90</v>
      </c>
      <c r="D1526" s="308"/>
      <c r="E1526" s="179"/>
      <c r="F1526" s="191" t="s">
        <v>71</v>
      </c>
      <c r="G1526" s="202" t="s">
        <v>156</v>
      </c>
      <c r="H1526" s="202" t="s">
        <v>156</v>
      </c>
      <c r="I1526" s="202" t="s">
        <v>156</v>
      </c>
      <c r="J1526" s="202" t="s">
        <v>156</v>
      </c>
      <c r="K1526" s="202" t="s">
        <v>156</v>
      </c>
      <c r="L1526" s="202" t="s">
        <v>156</v>
      </c>
      <c r="M1526" s="89"/>
      <c r="N1526" s="220"/>
      <c r="O1526" s="199"/>
      <c r="P1526" s="200"/>
      <c r="Q1526" s="309"/>
      <c r="R1526" s="309"/>
      <c r="S1526" s="86"/>
      <c r="T1526" s="86"/>
      <c r="U1526" s="86"/>
      <c r="V1526" s="86"/>
      <c r="W1526" s="86"/>
      <c r="X1526" s="86"/>
      <c r="Y1526" s="86"/>
      <c r="Z1526" s="86"/>
      <c r="AA1526" s="86"/>
      <c r="AB1526" s="86"/>
      <c r="AC1526" s="86"/>
    </row>
    <row r="1527" spans="1:29" ht="30" customHeight="1">
      <c r="A1527" s="189">
        <v>38</v>
      </c>
      <c r="B1527" s="188" t="s">
        <v>69</v>
      </c>
      <c r="C1527" s="307" t="s">
        <v>106</v>
      </c>
      <c r="D1527" s="308"/>
      <c r="E1527" s="150"/>
      <c r="F1527" s="191" t="s">
        <v>71</v>
      </c>
      <c r="G1527" s="202" t="s">
        <v>156</v>
      </c>
      <c r="H1527" s="202" t="s">
        <v>156</v>
      </c>
      <c r="I1527" s="202" t="s">
        <v>156</v>
      </c>
      <c r="J1527" s="202" t="s">
        <v>156</v>
      </c>
      <c r="K1527" s="202" t="s">
        <v>156</v>
      </c>
      <c r="L1527" s="202" t="s">
        <v>156</v>
      </c>
      <c r="M1527" s="89"/>
      <c r="N1527" s="220"/>
      <c r="O1527" s="199"/>
      <c r="P1527" s="200"/>
      <c r="Q1527" s="309"/>
      <c r="R1527" s="309"/>
      <c r="S1527" s="86"/>
      <c r="T1527" s="86"/>
      <c r="U1527" s="86"/>
      <c r="V1527" s="86"/>
      <c r="W1527" s="86"/>
      <c r="X1527" s="86"/>
      <c r="Y1527" s="86"/>
      <c r="Z1527" s="86"/>
      <c r="AA1527" s="86"/>
      <c r="AB1527" s="86"/>
      <c r="AC1527" s="86"/>
    </row>
    <row r="1528" spans="1:29" ht="25.5" customHeight="1">
      <c r="A1528" s="310" t="s">
        <v>92</v>
      </c>
      <c r="B1528" s="310"/>
      <c r="C1528" s="310"/>
      <c r="D1528" s="310"/>
      <c r="E1528" s="310"/>
      <c r="F1528" s="310"/>
      <c r="G1528" s="310"/>
      <c r="H1528" s="310"/>
      <c r="I1528" s="310"/>
      <c r="J1528" s="310"/>
      <c r="K1528" s="310"/>
      <c r="L1528" s="310"/>
      <c r="M1528" s="92"/>
    </row>
    <row r="1529" spans="1:29" ht="19.5" customHeight="1">
      <c r="A1529" s="139"/>
      <c r="B1529" s="139"/>
      <c r="C1529" s="140"/>
      <c r="D1529" s="140" t="s">
        <v>145</v>
      </c>
      <c r="E1529" s="140"/>
      <c r="F1529" s="152" t="s">
        <v>54</v>
      </c>
      <c r="G1529" s="152"/>
      <c r="H1529" s="152"/>
      <c r="I1529" s="152"/>
      <c r="J1529" s="152" t="s">
        <v>144</v>
      </c>
      <c r="K1529" s="152"/>
      <c r="L1529" s="140"/>
      <c r="M1529" s="94"/>
    </row>
    <row r="1530" spans="1:29" ht="28.5" customHeight="1">
      <c r="A1530" s="310" t="s">
        <v>93</v>
      </c>
      <c r="B1530" s="310"/>
      <c r="C1530" s="310"/>
      <c r="D1530" s="310"/>
      <c r="E1530" s="310"/>
      <c r="F1530" s="310"/>
      <c r="G1530" s="310"/>
      <c r="H1530" s="310"/>
      <c r="I1530" s="310"/>
      <c r="J1530" s="310"/>
      <c r="K1530" s="310"/>
      <c r="L1530" s="310"/>
      <c r="M1530" s="92"/>
      <c r="N1530" s="311"/>
      <c r="O1530" s="311"/>
      <c r="P1530" s="311"/>
    </row>
    <row r="1531" spans="1:29" ht="20.25" customHeight="1">
      <c r="A1531" s="139"/>
      <c r="B1531" s="139"/>
      <c r="C1531" s="139"/>
      <c r="D1531" s="140" t="s">
        <v>145</v>
      </c>
      <c r="E1531" s="140"/>
      <c r="F1531" s="152" t="s">
        <v>54</v>
      </c>
      <c r="G1531" s="152"/>
      <c r="H1531" s="152"/>
      <c r="I1531" s="152"/>
      <c r="J1531" s="152" t="s">
        <v>144</v>
      </c>
      <c r="K1531" s="152"/>
      <c r="L1531" s="139"/>
      <c r="M1531" s="94"/>
      <c r="N1531" s="221"/>
      <c r="O1531" s="95"/>
      <c r="P1531" s="95"/>
    </row>
    <row r="1532" spans="1:29" ht="26.25" customHeight="1">
      <c r="A1532" s="312" t="s">
        <v>94</v>
      </c>
      <c r="B1532" s="312"/>
      <c r="C1532" s="312"/>
      <c r="D1532" s="312"/>
      <c r="E1532" s="312"/>
      <c r="F1532" s="312"/>
      <c r="G1532" s="312"/>
      <c r="H1532" s="312"/>
      <c r="I1532" s="312"/>
      <c r="J1532" s="312"/>
      <c r="K1532" s="312"/>
      <c r="L1532" s="312"/>
      <c r="M1532" s="92"/>
    </row>
    <row r="1533" spans="1:29" ht="22.5" customHeight="1">
      <c r="A1533" s="120"/>
      <c r="B1533" s="120"/>
      <c r="C1533" s="120"/>
      <c r="D1533" s="120"/>
      <c r="E1533" s="120"/>
      <c r="F1533" s="120"/>
      <c r="G1533" s="120"/>
      <c r="H1533" s="120"/>
      <c r="I1533" s="120"/>
      <c r="J1533" s="120"/>
      <c r="K1533" s="120"/>
      <c r="L1533" s="120"/>
      <c r="M1533" s="94"/>
    </row>
    <row r="1534" spans="1:29" ht="22.5" customHeight="1">
      <c r="A1534" s="313" t="s">
        <v>95</v>
      </c>
      <c r="B1534" s="313"/>
      <c r="C1534" s="313"/>
      <c r="D1534" s="313"/>
      <c r="E1534" s="313"/>
      <c r="F1534" s="313"/>
      <c r="G1534" s="313"/>
      <c r="H1534" s="313"/>
      <c r="I1534" s="313"/>
      <c r="J1534" s="313"/>
      <c r="K1534" s="313"/>
      <c r="L1534" s="313"/>
      <c r="M1534" s="92"/>
    </row>
    <row r="1535" spans="1:29" ht="19.5" customHeight="1">
      <c r="A1535" s="97"/>
      <c r="B1535" s="97"/>
      <c r="C1535" s="145"/>
      <c r="D1535" s="97"/>
      <c r="E1535" s="97"/>
      <c r="F1535" s="97"/>
      <c r="G1535" s="97"/>
      <c r="H1535" s="97"/>
      <c r="I1535" s="97"/>
      <c r="J1535" s="97"/>
      <c r="K1535" s="97"/>
      <c r="L1535" s="97"/>
      <c r="M1535" s="94"/>
    </row>
    <row r="1536" spans="1:29" ht="5.25" customHeight="1">
      <c r="A1536" s="94"/>
      <c r="B1536" s="94"/>
      <c r="C1536" s="146"/>
      <c r="D1536" s="94"/>
      <c r="E1536" s="94"/>
      <c r="F1536" s="94"/>
      <c r="G1536" s="94"/>
      <c r="H1536" s="94"/>
      <c r="I1536" s="94"/>
      <c r="J1536" s="94"/>
      <c r="K1536" s="94"/>
      <c r="L1536" s="94"/>
      <c r="M1536" s="94"/>
    </row>
    <row r="1537" spans="1:16" ht="16.5" customHeight="1">
      <c r="A1537" s="314" t="s">
        <v>96</v>
      </c>
      <c r="B1537" s="314"/>
      <c r="C1537" s="314"/>
      <c r="D1537" s="314"/>
      <c r="E1537" s="98"/>
      <c r="F1537" s="98"/>
      <c r="G1537" s="98"/>
      <c r="H1537" s="315" t="s">
        <v>97</v>
      </c>
      <c r="I1537" s="315"/>
      <c r="J1537" s="315"/>
      <c r="K1537" s="315"/>
      <c r="L1537" s="315"/>
      <c r="M1537" s="94"/>
    </row>
    <row r="1538" spans="1:16" ht="95.1" customHeight="1">
      <c r="A1538" s="99"/>
      <c r="B1538" s="101" t="str">
        <f>B1468</f>
        <v>Ông Huỳnh Phước Hải        ….............</v>
      </c>
      <c r="C1538" s="147"/>
      <c r="D1538" s="99"/>
      <c r="E1538" s="81"/>
      <c r="F1538" s="100"/>
      <c r="G1538" s="100"/>
      <c r="H1538" s="306" t="str">
        <f>H1468</f>
        <v>Ông Phạm Tấn Việt          …..................</v>
      </c>
      <c r="I1538" s="306"/>
      <c r="J1538" s="306"/>
      <c r="K1538" s="306"/>
      <c r="L1538" s="306"/>
      <c r="M1538" s="94"/>
    </row>
    <row r="1539" spans="1:16" ht="44.25" customHeight="1">
      <c r="A1539" s="99"/>
      <c r="B1539" s="99"/>
      <c r="C1539" s="147"/>
      <c r="D1539" s="99"/>
      <c r="E1539" s="81"/>
      <c r="F1539" s="100"/>
      <c r="G1539" s="100"/>
      <c r="H1539" s="100"/>
      <c r="I1539" s="100"/>
      <c r="J1539" s="99"/>
      <c r="K1539" s="99"/>
      <c r="L1539" s="99"/>
      <c r="M1539" s="94"/>
    </row>
    <row r="1540" spans="1:16" ht="21.75" customHeight="1">
      <c r="A1540" s="348" t="s">
        <v>165</v>
      </c>
      <c r="B1540" s="348"/>
      <c r="C1540" s="348"/>
      <c r="D1540" s="348"/>
      <c r="E1540" s="348"/>
      <c r="F1540" s="348"/>
      <c r="G1540" s="348"/>
      <c r="H1540" s="348"/>
      <c r="I1540" s="348"/>
      <c r="J1540" s="348"/>
      <c r="K1540" s="348"/>
      <c r="L1540" s="348"/>
      <c r="M1540" s="82"/>
    </row>
    <row r="1541" spans="1:16" ht="19.5">
      <c r="A1541" s="84" t="str">
        <f>"Ngày "&amp;N1542&amp;" tháng "&amp;O3&amp;" năm "&amp;P3&amp;""</f>
        <v>Ngày 23 tháng 07 năm 2026</v>
      </c>
      <c r="B1541" s="84"/>
      <c r="C1541" s="85"/>
      <c r="N1541" s="216"/>
      <c r="O1541" s="20"/>
      <c r="P1541" s="20"/>
    </row>
    <row r="1542" spans="1:16" ht="16.5">
      <c r="A1542" s="337" t="s">
        <v>57</v>
      </c>
      <c r="B1542" s="337"/>
      <c r="C1542" s="337"/>
      <c r="D1542" s="311"/>
      <c r="E1542" s="311"/>
      <c r="F1542" s="311"/>
      <c r="G1542" s="95"/>
      <c r="H1542" s="95"/>
      <c r="I1542" s="95"/>
      <c r="J1542" s="95"/>
      <c r="K1542" s="95"/>
      <c r="L1542" s="95"/>
      <c r="N1542" s="217" t="s">
        <v>185</v>
      </c>
      <c r="O1542" s="214"/>
      <c r="P1542" s="17"/>
    </row>
    <row r="1543" spans="1:16" ht="15.75" customHeight="1">
      <c r="A1543" s="338"/>
      <c r="B1543" s="338"/>
      <c r="C1543" s="338"/>
      <c r="D1543" s="339" t="s">
        <v>58</v>
      </c>
      <c r="E1543" s="340"/>
      <c r="F1543" s="340"/>
      <c r="G1543" s="340"/>
      <c r="H1543" s="341"/>
      <c r="I1543" s="339" t="s">
        <v>59</v>
      </c>
      <c r="J1543" s="340"/>
      <c r="K1543" s="340"/>
      <c r="L1543" s="341"/>
    </row>
    <row r="1544" spans="1:16" ht="19.5" customHeight="1">
      <c r="A1544" s="342" t="s">
        <v>60</v>
      </c>
      <c r="B1544" s="342"/>
      <c r="C1544" s="342"/>
      <c r="D1544" s="343" t="s">
        <v>54</v>
      </c>
      <c r="E1544" s="344"/>
      <c r="F1544" s="344"/>
      <c r="G1544" s="344"/>
      <c r="H1544" s="345"/>
      <c r="I1544" s="343" t="s">
        <v>54</v>
      </c>
      <c r="J1544" s="344"/>
      <c r="K1544" s="344"/>
      <c r="L1544" s="345"/>
    </row>
    <row r="1545" spans="1:16" ht="22.5" customHeight="1">
      <c r="A1545" s="342" t="s">
        <v>61</v>
      </c>
      <c r="B1545" s="342"/>
      <c r="C1545" s="342"/>
      <c r="D1545" s="343" t="s">
        <v>163</v>
      </c>
      <c r="E1545" s="344"/>
      <c r="F1545" s="344"/>
      <c r="G1545" s="344"/>
      <c r="H1545" s="345"/>
      <c r="I1545" s="343" t="str">
        <f>D1545</f>
        <v>31° - 34°</v>
      </c>
      <c r="J1545" s="344"/>
      <c r="K1545" s="344"/>
      <c r="L1545" s="345"/>
    </row>
    <row r="1546" spans="1:16" s="87" customFormat="1" ht="19.5" customHeight="1">
      <c r="A1546" s="310" t="s">
        <v>62</v>
      </c>
      <c r="B1546" s="310"/>
      <c r="C1546" s="310"/>
      <c r="D1546" s="310"/>
      <c r="E1546" s="310"/>
      <c r="F1546" s="310"/>
      <c r="G1546" s="310"/>
      <c r="H1546" s="310"/>
      <c r="I1546" s="310"/>
      <c r="J1546" s="310"/>
      <c r="K1546" s="310"/>
      <c r="L1546" s="310"/>
      <c r="M1546" s="85"/>
      <c r="N1546" s="218"/>
    </row>
    <row r="1547" spans="1:16" s="87" customFormat="1" ht="15.75">
      <c r="A1547" s="332" t="s">
        <v>63</v>
      </c>
      <c r="B1547" s="332"/>
      <c r="C1547" s="332"/>
      <c r="D1547" s="332"/>
      <c r="E1547" s="332"/>
      <c r="F1547" s="332"/>
      <c r="G1547" s="332"/>
      <c r="H1547" s="332"/>
      <c r="I1547" s="332"/>
      <c r="J1547" s="332"/>
      <c r="K1547" s="332"/>
      <c r="L1547" s="332"/>
      <c r="M1547" s="85"/>
      <c r="N1547" s="218"/>
    </row>
    <row r="1548" spans="1:16" s="87" customFormat="1" ht="20.100000000000001" customHeight="1">
      <c r="A1548" s="88"/>
      <c r="B1548" s="88"/>
      <c r="C1548" s="333" t="s">
        <v>64</v>
      </c>
      <c r="D1548" s="334"/>
      <c r="E1548" s="334"/>
      <c r="F1548" s="334"/>
      <c r="G1548" s="334"/>
      <c r="H1548" s="334"/>
      <c r="I1548" s="334"/>
      <c r="J1548" s="334"/>
      <c r="K1548" s="334"/>
      <c r="L1548" s="334"/>
      <c r="M1548" s="85"/>
      <c r="N1548" s="218"/>
    </row>
    <row r="1549" spans="1:16" s="87" customFormat="1" ht="20.100000000000001" customHeight="1">
      <c r="A1549" s="88"/>
      <c r="B1549" s="88"/>
      <c r="C1549" s="333" t="s">
        <v>65</v>
      </c>
      <c r="D1549" s="334"/>
      <c r="E1549" s="334"/>
      <c r="F1549" s="334"/>
      <c r="G1549" s="334"/>
      <c r="H1549" s="334"/>
      <c r="I1549" s="334"/>
      <c r="J1549" s="334"/>
      <c r="K1549" s="334"/>
      <c r="L1549" s="334"/>
      <c r="M1549" s="85"/>
      <c r="N1549" s="218"/>
    </row>
    <row r="1550" spans="1:16" s="87" customFormat="1" ht="17.25" customHeight="1">
      <c r="A1550" s="335" t="s">
        <v>66</v>
      </c>
      <c r="B1550" s="335"/>
      <c r="C1550" s="335"/>
      <c r="D1550" s="335"/>
      <c r="E1550" s="335"/>
      <c r="F1550" s="335"/>
      <c r="G1550" s="335"/>
      <c r="H1550" s="335"/>
      <c r="I1550" s="335"/>
      <c r="J1550" s="335"/>
      <c r="K1550" s="335"/>
      <c r="L1550" s="335"/>
      <c r="M1550" s="85"/>
      <c r="N1550" s="218"/>
    </row>
    <row r="1551" spans="1:16" s="87" customFormat="1" ht="7.5" customHeight="1">
      <c r="A1551" s="119"/>
      <c r="B1551" s="119"/>
      <c r="C1551" s="119"/>
      <c r="D1551" s="119"/>
      <c r="E1551" s="119"/>
      <c r="F1551" s="119"/>
      <c r="G1551" s="119"/>
      <c r="H1551" s="119"/>
      <c r="I1551" s="119"/>
      <c r="J1551" s="119"/>
      <c r="K1551" s="119"/>
      <c r="L1551" s="119"/>
      <c r="M1551" s="85"/>
      <c r="N1551" s="218"/>
    </row>
    <row r="1552" spans="1:16" ht="15.75">
      <c r="A1552" s="336" t="s">
        <v>67</v>
      </c>
      <c r="B1552" s="336"/>
      <c r="C1552" s="336"/>
      <c r="D1552" s="336"/>
      <c r="E1552" s="336"/>
      <c r="F1552" s="336"/>
      <c r="G1552" s="336"/>
      <c r="H1552" s="336"/>
      <c r="I1552" s="336"/>
      <c r="J1552" s="336"/>
      <c r="K1552" s="336"/>
      <c r="L1552" s="336"/>
    </row>
    <row r="1553" spans="1:29" ht="2.25" customHeight="1">
      <c r="A1553" s="141"/>
      <c r="B1553" s="141"/>
      <c r="C1553" s="141"/>
      <c r="D1553" s="141"/>
      <c r="E1553" s="141"/>
      <c r="F1553" s="141"/>
      <c r="G1553" s="155"/>
      <c r="H1553" s="155"/>
      <c r="I1553" s="155"/>
      <c r="J1553" s="155"/>
      <c r="K1553" s="155"/>
      <c r="L1553" s="155"/>
    </row>
    <row r="1554" spans="1:29" ht="27.75" customHeight="1">
      <c r="A1554" s="317" t="s">
        <v>135</v>
      </c>
      <c r="B1554" s="318"/>
      <c r="C1554" s="317" t="s">
        <v>68</v>
      </c>
      <c r="D1554" s="318"/>
      <c r="E1554" s="183"/>
      <c r="F1554" s="321" t="s">
        <v>136</v>
      </c>
      <c r="G1554" s="322" t="s">
        <v>155</v>
      </c>
      <c r="H1554" s="323"/>
      <c r="I1554" s="323"/>
      <c r="J1554" s="322" t="s">
        <v>154</v>
      </c>
      <c r="K1554" s="323"/>
      <c r="L1554" s="324"/>
      <c r="M1554" s="92"/>
      <c r="O1554" s="325"/>
      <c r="P1554" s="325"/>
      <c r="Q1554" s="325"/>
      <c r="R1554" s="325"/>
      <c r="S1554" s="316"/>
      <c r="T1554" s="316"/>
      <c r="U1554" s="316"/>
      <c r="V1554" s="316"/>
      <c r="W1554" s="316"/>
      <c r="X1554" s="316"/>
      <c r="Y1554" s="316"/>
      <c r="Z1554" s="316"/>
      <c r="AA1554" s="316"/>
      <c r="AB1554" s="316"/>
      <c r="AC1554" s="316"/>
    </row>
    <row r="1555" spans="1:29" ht="125.25" customHeight="1">
      <c r="A1555" s="319"/>
      <c r="B1555" s="320"/>
      <c r="C1555" s="319"/>
      <c r="D1555" s="320"/>
      <c r="E1555" s="184"/>
      <c r="F1555" s="321"/>
      <c r="G1555" s="153" t="s">
        <v>151</v>
      </c>
      <c r="H1555" s="153" t="s">
        <v>152</v>
      </c>
      <c r="I1555" s="153" t="s">
        <v>153</v>
      </c>
      <c r="J1555" s="153" t="s">
        <v>151</v>
      </c>
      <c r="K1555" s="153" t="s">
        <v>152</v>
      </c>
      <c r="L1555" s="153" t="s">
        <v>153</v>
      </c>
      <c r="O1555" s="325"/>
      <c r="P1555" s="325"/>
      <c r="Q1555" s="325"/>
      <c r="R1555" s="325"/>
      <c r="S1555" s="193"/>
      <c r="T1555" s="193"/>
      <c r="U1555" s="193"/>
      <c r="V1555" s="193"/>
      <c r="W1555" s="193"/>
      <c r="X1555" s="193"/>
      <c r="Y1555" s="193"/>
      <c r="Z1555" s="193"/>
      <c r="AA1555" s="193"/>
      <c r="AB1555" s="193"/>
      <c r="AC1555" s="193"/>
    </row>
    <row r="1556" spans="1:29" ht="24.75" customHeight="1">
      <c r="A1556" s="190" t="s">
        <v>128</v>
      </c>
      <c r="B1556" s="142"/>
      <c r="C1556" s="330" t="s">
        <v>129</v>
      </c>
      <c r="D1556" s="330"/>
      <c r="E1556" s="330"/>
      <c r="F1556" s="330"/>
      <c r="G1556" s="330"/>
      <c r="H1556" s="330"/>
      <c r="I1556" s="330"/>
      <c r="J1556" s="330"/>
      <c r="K1556" s="330"/>
      <c r="L1556" s="330"/>
      <c r="M1556" s="93"/>
      <c r="O1556" s="156"/>
      <c r="P1556" s="142"/>
      <c r="Q1556" s="331"/>
      <c r="R1556" s="331"/>
      <c r="S1556" s="331"/>
      <c r="T1556" s="331"/>
      <c r="U1556" s="331"/>
      <c r="V1556" s="331"/>
      <c r="W1556" s="331"/>
      <c r="X1556" s="331"/>
      <c r="Y1556" s="331"/>
      <c r="Z1556" s="331"/>
      <c r="AA1556" s="331"/>
      <c r="AB1556" s="331"/>
      <c r="AC1556" s="331"/>
    </row>
    <row r="1557" spans="1:29" ht="20.100000000000001" customHeight="1">
      <c r="A1557" s="187">
        <v>1</v>
      </c>
      <c r="B1557" s="185" t="s">
        <v>69</v>
      </c>
      <c r="C1557" s="326" t="s">
        <v>70</v>
      </c>
      <c r="D1557" s="326"/>
      <c r="E1557" s="176"/>
      <c r="F1557" s="144" t="s">
        <v>71</v>
      </c>
      <c r="G1557" s="203" t="s">
        <v>156</v>
      </c>
      <c r="H1557" s="202" t="s">
        <v>156</v>
      </c>
      <c r="I1557" s="201">
        <v>1</v>
      </c>
      <c r="J1557" s="202" t="s">
        <v>156</v>
      </c>
      <c r="K1557" s="202" t="s">
        <v>156</v>
      </c>
      <c r="L1557" s="201">
        <v>1</v>
      </c>
      <c r="M1557" s="93"/>
      <c r="O1557" s="195"/>
      <c r="P1557" s="196"/>
      <c r="Q1557" s="327"/>
      <c r="R1557" s="327"/>
      <c r="S1557" s="86"/>
      <c r="T1557" s="86"/>
      <c r="U1557" s="86"/>
      <c r="V1557" s="86"/>
      <c r="W1557" s="194"/>
      <c r="X1557" s="194"/>
      <c r="Y1557" s="194"/>
      <c r="Z1557" s="194"/>
      <c r="AA1557" s="194"/>
      <c r="AB1557" s="194"/>
      <c r="AC1557" s="194"/>
    </row>
    <row r="1558" spans="1:29" ht="20.100000000000001" customHeight="1">
      <c r="A1558" s="187">
        <v>2</v>
      </c>
      <c r="B1558" s="185" t="s">
        <v>69</v>
      </c>
      <c r="C1558" s="326" t="s">
        <v>72</v>
      </c>
      <c r="D1558" s="326"/>
      <c r="E1558" s="176"/>
      <c r="F1558" s="144" t="s">
        <v>71</v>
      </c>
      <c r="G1558" s="203" t="s">
        <v>156</v>
      </c>
      <c r="H1558" s="202" t="s">
        <v>156</v>
      </c>
      <c r="I1558" s="202" t="s">
        <v>156</v>
      </c>
      <c r="J1558" s="202" t="s">
        <v>156</v>
      </c>
      <c r="K1558" s="202" t="s">
        <v>156</v>
      </c>
      <c r="L1558" s="202" t="s">
        <v>156</v>
      </c>
      <c r="M1558" s="93"/>
      <c r="O1558" s="195"/>
      <c r="P1558" s="196"/>
      <c r="Q1558" s="327"/>
      <c r="R1558" s="327"/>
      <c r="S1558" s="194"/>
      <c r="T1558" s="194"/>
      <c r="U1558" s="194"/>
      <c r="V1558" s="86"/>
      <c r="W1558" s="86"/>
      <c r="X1558" s="86"/>
      <c r="Y1558" s="86"/>
      <c r="Z1558" s="194"/>
      <c r="AA1558" s="194"/>
      <c r="AB1558" s="194"/>
      <c r="AC1558" s="194"/>
    </row>
    <row r="1559" spans="1:29" ht="20.100000000000001" customHeight="1">
      <c r="A1559" s="187">
        <v>3</v>
      </c>
      <c r="B1559" s="185" t="s">
        <v>69</v>
      </c>
      <c r="C1559" s="326" t="s">
        <v>73</v>
      </c>
      <c r="D1559" s="326"/>
      <c r="E1559" s="176"/>
      <c r="F1559" s="144" t="s">
        <v>71</v>
      </c>
      <c r="G1559" s="203" t="s">
        <v>156</v>
      </c>
      <c r="H1559" s="202" t="s">
        <v>156</v>
      </c>
      <c r="I1559" s="202" t="s">
        <v>156</v>
      </c>
      <c r="J1559" s="202" t="s">
        <v>156</v>
      </c>
      <c r="K1559" s="202" t="s">
        <v>156</v>
      </c>
      <c r="L1559" s="202" t="s">
        <v>156</v>
      </c>
      <c r="M1559" s="93"/>
      <c r="O1559" s="195"/>
      <c r="P1559" s="196"/>
      <c r="Q1559" s="327"/>
      <c r="R1559" s="327"/>
      <c r="S1559" s="194"/>
      <c r="T1559" s="86"/>
      <c r="U1559" s="86"/>
      <c r="V1559" s="86"/>
      <c r="W1559" s="86"/>
      <c r="X1559" s="194"/>
      <c r="Y1559" s="194"/>
      <c r="Z1559" s="194"/>
      <c r="AA1559" s="194"/>
      <c r="AB1559" s="194"/>
      <c r="AC1559" s="194"/>
    </row>
    <row r="1560" spans="1:29" ht="20.100000000000001" customHeight="1">
      <c r="A1560" s="187">
        <v>4</v>
      </c>
      <c r="B1560" s="185" t="s">
        <v>69</v>
      </c>
      <c r="C1560" s="326" t="s">
        <v>98</v>
      </c>
      <c r="D1560" s="326"/>
      <c r="E1560" s="176"/>
      <c r="F1560" s="144" t="s">
        <v>71</v>
      </c>
      <c r="G1560" s="203" t="s">
        <v>156</v>
      </c>
      <c r="H1560" s="202" t="s">
        <v>156</v>
      </c>
      <c r="I1560" s="202" t="s">
        <v>156</v>
      </c>
      <c r="J1560" s="202" t="s">
        <v>156</v>
      </c>
      <c r="K1560" s="202" t="s">
        <v>156</v>
      </c>
      <c r="L1560" s="202" t="s">
        <v>156</v>
      </c>
      <c r="M1560" s="93"/>
      <c r="O1560" s="195"/>
      <c r="P1560" s="196"/>
      <c r="Q1560" s="327"/>
      <c r="R1560" s="327"/>
      <c r="S1560" s="194"/>
      <c r="T1560" s="194"/>
      <c r="U1560" s="194"/>
      <c r="V1560" s="194"/>
      <c r="W1560" s="194"/>
      <c r="X1560" s="194"/>
      <c r="Y1560" s="194"/>
      <c r="Z1560" s="86"/>
      <c r="AA1560" s="86"/>
      <c r="AB1560" s="86"/>
      <c r="AC1560" s="86"/>
    </row>
    <row r="1561" spans="1:29" ht="20.100000000000001" customHeight="1">
      <c r="A1561" s="187">
        <v>5</v>
      </c>
      <c r="B1561" s="185" t="s">
        <v>69</v>
      </c>
      <c r="C1561" s="326" t="s">
        <v>74</v>
      </c>
      <c r="D1561" s="326"/>
      <c r="E1561" s="176"/>
      <c r="F1561" s="144" t="s">
        <v>71</v>
      </c>
      <c r="G1561" s="203" t="s">
        <v>156</v>
      </c>
      <c r="H1561" s="202" t="s">
        <v>156</v>
      </c>
      <c r="I1561" s="202" t="s">
        <v>156</v>
      </c>
      <c r="J1561" s="202" t="s">
        <v>156</v>
      </c>
      <c r="K1561" s="202" t="s">
        <v>156</v>
      </c>
      <c r="L1561" s="202" t="s">
        <v>156</v>
      </c>
      <c r="M1561" s="93"/>
      <c r="O1561" s="195"/>
      <c r="P1561" s="196"/>
      <c r="Q1561" s="327"/>
      <c r="R1561" s="327"/>
      <c r="S1561" s="194"/>
      <c r="T1561" s="194"/>
      <c r="U1561" s="194"/>
      <c r="V1561" s="194"/>
      <c r="W1561" s="194"/>
      <c r="X1561" s="194"/>
      <c r="Y1561" s="194"/>
      <c r="Z1561" s="194"/>
      <c r="AA1561" s="194"/>
      <c r="AB1561" s="194"/>
      <c r="AC1561" s="194"/>
    </row>
    <row r="1562" spans="1:29" ht="20.100000000000001" customHeight="1">
      <c r="A1562" s="187">
        <v>6</v>
      </c>
      <c r="B1562" s="185" t="s">
        <v>69</v>
      </c>
      <c r="C1562" s="326" t="s">
        <v>75</v>
      </c>
      <c r="D1562" s="326"/>
      <c r="E1562" s="176"/>
      <c r="F1562" s="144" t="s">
        <v>71</v>
      </c>
      <c r="G1562" s="203" t="s">
        <v>156</v>
      </c>
      <c r="H1562" s="202" t="s">
        <v>156</v>
      </c>
      <c r="I1562" s="202" t="s">
        <v>156</v>
      </c>
      <c r="J1562" s="202" t="s">
        <v>156</v>
      </c>
      <c r="K1562" s="202" t="s">
        <v>156</v>
      </c>
      <c r="L1562" s="202" t="s">
        <v>156</v>
      </c>
      <c r="M1562" s="93"/>
      <c r="O1562" s="195"/>
      <c r="P1562" s="196"/>
      <c r="Q1562" s="327"/>
      <c r="R1562" s="327"/>
      <c r="S1562" s="194"/>
      <c r="T1562" s="194"/>
      <c r="U1562" s="194"/>
      <c r="V1562" s="194"/>
      <c r="W1562" s="194"/>
      <c r="X1562" s="194"/>
      <c r="Y1562" s="194"/>
      <c r="Z1562" s="194"/>
      <c r="AA1562" s="194"/>
      <c r="AB1562" s="194"/>
      <c r="AC1562" s="194"/>
    </row>
    <row r="1563" spans="1:29" ht="20.100000000000001" customHeight="1">
      <c r="A1563" s="187">
        <v>7</v>
      </c>
      <c r="B1563" s="185" t="s">
        <v>69</v>
      </c>
      <c r="C1563" s="326" t="s">
        <v>76</v>
      </c>
      <c r="D1563" s="326"/>
      <c r="E1563" s="176"/>
      <c r="F1563" s="144" t="s">
        <v>71</v>
      </c>
      <c r="G1563" s="203" t="s">
        <v>156</v>
      </c>
      <c r="H1563" s="202" t="s">
        <v>156</v>
      </c>
      <c r="I1563" s="202" t="s">
        <v>156</v>
      </c>
      <c r="J1563" s="202" t="s">
        <v>156</v>
      </c>
      <c r="K1563" s="202" t="s">
        <v>156</v>
      </c>
      <c r="L1563" s="202" t="s">
        <v>156</v>
      </c>
      <c r="M1563" s="93"/>
      <c r="O1563" s="195"/>
      <c r="P1563" s="196"/>
      <c r="Q1563" s="327"/>
      <c r="R1563" s="327"/>
      <c r="S1563" s="194"/>
      <c r="T1563" s="194"/>
      <c r="U1563" s="194"/>
      <c r="V1563" s="194"/>
      <c r="W1563" s="194"/>
      <c r="X1563" s="194"/>
      <c r="Y1563" s="194"/>
      <c r="Z1563" s="194"/>
      <c r="AA1563" s="194"/>
      <c r="AB1563" s="194"/>
      <c r="AC1563" s="194"/>
    </row>
    <row r="1564" spans="1:29" ht="20.100000000000001" customHeight="1">
      <c r="A1564" s="187">
        <v>8</v>
      </c>
      <c r="B1564" s="185" t="s">
        <v>69</v>
      </c>
      <c r="C1564" s="326" t="s">
        <v>99</v>
      </c>
      <c r="D1564" s="326"/>
      <c r="E1564" s="176"/>
      <c r="F1564" s="144" t="s">
        <v>71</v>
      </c>
      <c r="G1564" s="203" t="s">
        <v>156</v>
      </c>
      <c r="H1564" s="202" t="s">
        <v>156</v>
      </c>
      <c r="I1564" s="202" t="s">
        <v>156</v>
      </c>
      <c r="J1564" s="202" t="s">
        <v>156</v>
      </c>
      <c r="K1564" s="202" t="s">
        <v>156</v>
      </c>
      <c r="L1564" s="202" t="s">
        <v>156</v>
      </c>
      <c r="M1564" s="93"/>
      <c r="O1564" s="195"/>
      <c r="P1564" s="196"/>
      <c r="Q1564" s="327"/>
      <c r="R1564" s="327"/>
      <c r="S1564" s="194"/>
      <c r="T1564" s="194"/>
      <c r="U1564" s="194"/>
      <c r="V1564" s="194"/>
      <c r="W1564" s="194"/>
      <c r="X1564" s="194"/>
      <c r="Y1564" s="194"/>
      <c r="Z1564" s="194"/>
      <c r="AA1564" s="194"/>
      <c r="AB1564" s="194"/>
      <c r="AC1564" s="194"/>
    </row>
    <row r="1565" spans="1:29" ht="20.100000000000001" customHeight="1">
      <c r="A1565" s="187">
        <v>9</v>
      </c>
      <c r="B1565" s="185" t="s">
        <v>69</v>
      </c>
      <c r="C1565" s="326" t="s">
        <v>77</v>
      </c>
      <c r="D1565" s="326"/>
      <c r="E1565" s="176"/>
      <c r="F1565" s="144" t="s">
        <v>71</v>
      </c>
      <c r="G1565" s="203" t="s">
        <v>156</v>
      </c>
      <c r="H1565" s="202" t="s">
        <v>156</v>
      </c>
      <c r="I1565" s="202" t="s">
        <v>156</v>
      </c>
      <c r="J1565" s="202" t="s">
        <v>156</v>
      </c>
      <c r="K1565" s="202" t="s">
        <v>156</v>
      </c>
      <c r="L1565" s="202" t="s">
        <v>156</v>
      </c>
      <c r="M1565" s="93"/>
      <c r="O1565" s="195"/>
      <c r="P1565" s="196"/>
      <c r="Q1565" s="327"/>
      <c r="R1565" s="327"/>
      <c r="S1565" s="194"/>
      <c r="T1565" s="194"/>
      <c r="U1565" s="194"/>
      <c r="V1565" s="194"/>
      <c r="W1565" s="194"/>
      <c r="X1565" s="194"/>
      <c r="Y1565" s="194"/>
      <c r="Z1565" s="194"/>
      <c r="AA1565" s="194"/>
      <c r="AB1565" s="194"/>
      <c r="AC1565" s="194"/>
    </row>
    <row r="1566" spans="1:29" ht="20.100000000000001" customHeight="1">
      <c r="A1566" s="187">
        <v>10</v>
      </c>
      <c r="B1566" s="185" t="s">
        <v>69</v>
      </c>
      <c r="C1566" s="326" t="s">
        <v>78</v>
      </c>
      <c r="D1566" s="326"/>
      <c r="E1566" s="176"/>
      <c r="F1566" s="144" t="s">
        <v>71</v>
      </c>
      <c r="G1566" s="203" t="s">
        <v>156</v>
      </c>
      <c r="H1566" s="202" t="s">
        <v>156</v>
      </c>
      <c r="I1566" s="202" t="s">
        <v>156</v>
      </c>
      <c r="J1566" s="202" t="s">
        <v>156</v>
      </c>
      <c r="K1566" s="202" t="s">
        <v>156</v>
      </c>
      <c r="L1566" s="202" t="s">
        <v>156</v>
      </c>
      <c r="M1566" s="93"/>
      <c r="O1566" s="195"/>
      <c r="P1566" s="196"/>
      <c r="Q1566" s="327"/>
      <c r="R1566" s="327"/>
      <c r="S1566" s="194"/>
      <c r="T1566" s="194"/>
      <c r="U1566" s="194"/>
      <c r="V1566" s="194"/>
      <c r="W1566" s="194"/>
      <c r="X1566" s="194"/>
      <c r="Y1566" s="194"/>
      <c r="Z1566" s="194"/>
      <c r="AA1566" s="194"/>
      <c r="AB1566" s="194"/>
      <c r="AC1566" s="194"/>
    </row>
    <row r="1567" spans="1:29" ht="20.100000000000001" customHeight="1">
      <c r="A1567" s="187">
        <v>11</v>
      </c>
      <c r="B1567" s="185" t="s">
        <v>69</v>
      </c>
      <c r="C1567" s="326" t="s">
        <v>79</v>
      </c>
      <c r="D1567" s="326"/>
      <c r="E1567" s="176"/>
      <c r="F1567" s="144" t="s">
        <v>71</v>
      </c>
      <c r="G1567" s="203" t="s">
        <v>156</v>
      </c>
      <c r="H1567" s="202" t="s">
        <v>156</v>
      </c>
      <c r="I1567" s="202" t="s">
        <v>156</v>
      </c>
      <c r="J1567" s="202" t="s">
        <v>156</v>
      </c>
      <c r="K1567" s="202" t="s">
        <v>156</v>
      </c>
      <c r="L1567" s="202" t="s">
        <v>156</v>
      </c>
      <c r="M1567" s="93"/>
      <c r="O1567" s="195"/>
      <c r="P1567" s="196"/>
      <c r="Q1567" s="327"/>
      <c r="R1567" s="327"/>
      <c r="S1567" s="194"/>
      <c r="T1567" s="194"/>
      <c r="U1567" s="194"/>
      <c r="V1567" s="194"/>
      <c r="W1567" s="194"/>
      <c r="X1567" s="194"/>
      <c r="Y1567" s="194"/>
      <c r="Z1567" s="194"/>
      <c r="AA1567" s="194"/>
      <c r="AB1567" s="194"/>
      <c r="AC1567" s="194"/>
    </row>
    <row r="1568" spans="1:29" ht="20.100000000000001" customHeight="1">
      <c r="A1568" s="187">
        <v>12</v>
      </c>
      <c r="B1568" s="185" t="s">
        <v>69</v>
      </c>
      <c r="C1568" s="326" t="s">
        <v>100</v>
      </c>
      <c r="D1568" s="326"/>
      <c r="E1568" s="176"/>
      <c r="F1568" s="144" t="s">
        <v>71</v>
      </c>
      <c r="G1568" s="203" t="s">
        <v>156</v>
      </c>
      <c r="H1568" s="202" t="s">
        <v>156</v>
      </c>
      <c r="I1568" s="202" t="s">
        <v>156</v>
      </c>
      <c r="J1568" s="202" t="s">
        <v>156</v>
      </c>
      <c r="K1568" s="202" t="s">
        <v>156</v>
      </c>
      <c r="L1568" s="202" t="s">
        <v>156</v>
      </c>
      <c r="M1568" s="93"/>
      <c r="O1568" s="195"/>
      <c r="P1568" s="196"/>
      <c r="Q1568" s="327"/>
      <c r="R1568" s="327"/>
      <c r="S1568" s="194"/>
      <c r="T1568" s="194"/>
      <c r="U1568" s="194"/>
      <c r="V1568" s="194"/>
      <c r="W1568" s="194"/>
      <c r="X1568" s="194"/>
      <c r="Y1568" s="194"/>
      <c r="Z1568" s="194"/>
      <c r="AA1568" s="194"/>
      <c r="AB1568" s="194"/>
      <c r="AC1568" s="194"/>
    </row>
    <row r="1569" spans="1:29" ht="20.100000000000001" customHeight="1">
      <c r="A1569" s="187">
        <v>13</v>
      </c>
      <c r="B1569" s="185" t="s">
        <v>69</v>
      </c>
      <c r="C1569" s="326" t="s">
        <v>80</v>
      </c>
      <c r="D1569" s="326"/>
      <c r="E1569" s="176"/>
      <c r="F1569" s="144" t="s">
        <v>71</v>
      </c>
      <c r="G1569" s="203" t="s">
        <v>156</v>
      </c>
      <c r="H1569" s="202" t="s">
        <v>156</v>
      </c>
      <c r="I1569" s="202" t="s">
        <v>156</v>
      </c>
      <c r="J1569" s="202" t="s">
        <v>156</v>
      </c>
      <c r="K1569" s="202" t="s">
        <v>156</v>
      </c>
      <c r="L1569" s="202" t="s">
        <v>156</v>
      </c>
      <c r="M1569" s="93"/>
      <c r="O1569" s="195"/>
      <c r="P1569" s="196"/>
      <c r="Q1569" s="327"/>
      <c r="R1569" s="327"/>
      <c r="S1569" s="194"/>
      <c r="T1569" s="194"/>
      <c r="U1569" s="194"/>
      <c r="V1569" s="194"/>
      <c r="W1569" s="194"/>
      <c r="X1569" s="194"/>
      <c r="Y1569" s="194"/>
      <c r="Z1569" s="194"/>
      <c r="AA1569" s="194"/>
      <c r="AB1569" s="194"/>
      <c r="AC1569" s="194"/>
    </row>
    <row r="1570" spans="1:29" ht="20.100000000000001" customHeight="1">
      <c r="A1570" s="187">
        <v>14</v>
      </c>
      <c r="B1570" s="185" t="s">
        <v>69</v>
      </c>
      <c r="C1570" s="326" t="s">
        <v>91</v>
      </c>
      <c r="D1570" s="326"/>
      <c r="E1570" s="176"/>
      <c r="F1570" s="144" t="s">
        <v>71</v>
      </c>
      <c r="G1570" s="203" t="s">
        <v>156</v>
      </c>
      <c r="H1570" s="202" t="s">
        <v>156</v>
      </c>
      <c r="I1570" s="202" t="s">
        <v>156</v>
      </c>
      <c r="J1570" s="202" t="s">
        <v>156</v>
      </c>
      <c r="K1570" s="202" t="s">
        <v>156</v>
      </c>
      <c r="L1570" s="202" t="s">
        <v>156</v>
      </c>
      <c r="M1570" s="93"/>
      <c r="O1570" s="195"/>
      <c r="P1570" s="196"/>
      <c r="Q1570" s="327"/>
      <c r="R1570" s="327"/>
      <c r="S1570" s="194"/>
      <c r="T1570" s="194"/>
      <c r="U1570" s="194"/>
      <c r="V1570" s="194"/>
      <c r="W1570" s="194"/>
      <c r="X1570" s="194"/>
      <c r="Y1570" s="194"/>
      <c r="Z1570" s="194"/>
      <c r="AA1570" s="194"/>
      <c r="AB1570" s="194"/>
      <c r="AC1570" s="194"/>
    </row>
    <row r="1571" spans="1:29" ht="20.100000000000001" customHeight="1">
      <c r="A1571" s="187">
        <v>15</v>
      </c>
      <c r="B1571" s="185" t="s">
        <v>69</v>
      </c>
      <c r="C1571" s="326" t="s">
        <v>81</v>
      </c>
      <c r="D1571" s="326"/>
      <c r="E1571" s="176"/>
      <c r="F1571" s="144" t="s">
        <v>71</v>
      </c>
      <c r="G1571" s="203" t="s">
        <v>156</v>
      </c>
      <c r="H1571" s="202" t="s">
        <v>156</v>
      </c>
      <c r="I1571" s="202" t="s">
        <v>156</v>
      </c>
      <c r="J1571" s="202" t="s">
        <v>156</v>
      </c>
      <c r="K1571" s="202" t="s">
        <v>156</v>
      </c>
      <c r="L1571" s="202" t="s">
        <v>156</v>
      </c>
      <c r="M1571" s="93"/>
      <c r="O1571" s="195"/>
      <c r="P1571" s="196"/>
      <c r="Q1571" s="327"/>
      <c r="R1571" s="327"/>
      <c r="S1571" s="194"/>
      <c r="T1571" s="194"/>
      <c r="U1571" s="194"/>
      <c r="V1571" s="194"/>
      <c r="W1571" s="194"/>
      <c r="X1571" s="194"/>
      <c r="Y1571" s="194"/>
      <c r="Z1571" s="194"/>
      <c r="AA1571" s="194"/>
      <c r="AB1571" s="194"/>
      <c r="AC1571" s="194"/>
    </row>
    <row r="1572" spans="1:29" ht="20.100000000000001" customHeight="1">
      <c r="A1572" s="187">
        <v>16</v>
      </c>
      <c r="B1572" s="185" t="s">
        <v>69</v>
      </c>
      <c r="C1572" s="326" t="s">
        <v>101</v>
      </c>
      <c r="D1572" s="326"/>
      <c r="E1572" s="151"/>
      <c r="F1572" s="144" t="s">
        <v>71</v>
      </c>
      <c r="G1572" s="203" t="s">
        <v>156</v>
      </c>
      <c r="H1572" s="202" t="s">
        <v>156</v>
      </c>
      <c r="I1572" s="202" t="s">
        <v>156</v>
      </c>
      <c r="J1572" s="202" t="s">
        <v>156</v>
      </c>
      <c r="K1572" s="202" t="s">
        <v>156</v>
      </c>
      <c r="L1572" s="202" t="s">
        <v>156</v>
      </c>
      <c r="M1572" s="93"/>
      <c r="N1572" s="219"/>
      <c r="O1572" s="195"/>
      <c r="P1572" s="196"/>
      <c r="Q1572" s="327"/>
      <c r="R1572" s="327"/>
      <c r="S1572" s="197"/>
      <c r="T1572" s="197"/>
      <c r="U1572" s="197"/>
      <c r="V1572" s="197"/>
      <c r="W1572" s="197"/>
      <c r="X1572" s="197"/>
      <c r="Y1572" s="197"/>
      <c r="Z1572" s="197"/>
      <c r="AA1572" s="197"/>
      <c r="AB1572" s="197"/>
      <c r="AC1572" s="197"/>
    </row>
    <row r="1573" spans="1:29" ht="20.100000000000001" customHeight="1">
      <c r="A1573" s="187">
        <v>17</v>
      </c>
      <c r="B1573" s="186" t="s">
        <v>69</v>
      </c>
      <c r="C1573" s="326" t="s">
        <v>141</v>
      </c>
      <c r="D1573" s="326"/>
      <c r="E1573" s="151"/>
      <c r="F1573" s="144" t="s">
        <v>71</v>
      </c>
      <c r="G1573" s="203" t="s">
        <v>156</v>
      </c>
      <c r="H1573" s="202" t="s">
        <v>156</v>
      </c>
      <c r="I1573" s="202" t="s">
        <v>156</v>
      </c>
      <c r="J1573" s="202" t="s">
        <v>156</v>
      </c>
      <c r="K1573" s="202" t="s">
        <v>156</v>
      </c>
      <c r="L1573" s="202" t="s">
        <v>156</v>
      </c>
      <c r="M1573" s="93"/>
      <c r="N1573" s="219"/>
      <c r="O1573" s="195"/>
      <c r="P1573" s="104"/>
      <c r="Q1573" s="327"/>
      <c r="R1573" s="327"/>
      <c r="S1573" s="197"/>
      <c r="T1573" s="197"/>
      <c r="U1573" s="197"/>
      <c r="V1573" s="197"/>
      <c r="W1573" s="197"/>
      <c r="X1573" s="197"/>
      <c r="Y1573" s="197"/>
      <c r="Z1573" s="197"/>
      <c r="AA1573" s="197"/>
      <c r="AB1573" s="197"/>
      <c r="AC1573" s="197"/>
    </row>
    <row r="1574" spans="1:29" ht="20.100000000000001" customHeight="1">
      <c r="A1574" s="187">
        <v>18</v>
      </c>
      <c r="B1574" s="186" t="s">
        <v>69</v>
      </c>
      <c r="C1574" s="326" t="s">
        <v>142</v>
      </c>
      <c r="D1574" s="326"/>
      <c r="E1574" s="151"/>
      <c r="F1574" s="144" t="s">
        <v>71</v>
      </c>
      <c r="G1574" s="203" t="s">
        <v>156</v>
      </c>
      <c r="H1574" s="202" t="s">
        <v>156</v>
      </c>
      <c r="I1574" s="202" t="s">
        <v>156</v>
      </c>
      <c r="J1574" s="202" t="s">
        <v>156</v>
      </c>
      <c r="K1574" s="202" t="s">
        <v>156</v>
      </c>
      <c r="L1574" s="202" t="s">
        <v>156</v>
      </c>
      <c r="M1574" s="93"/>
      <c r="N1574" s="219"/>
      <c r="O1574" s="195"/>
      <c r="P1574" s="104"/>
      <c r="Q1574" s="327"/>
      <c r="R1574" s="327"/>
      <c r="S1574" s="197"/>
      <c r="T1574" s="197"/>
      <c r="U1574" s="197"/>
      <c r="V1574" s="197"/>
      <c r="W1574" s="197"/>
      <c r="X1574" s="197"/>
      <c r="Y1574" s="197"/>
      <c r="Z1574" s="197"/>
      <c r="AA1574" s="197"/>
      <c r="AB1574" s="197"/>
      <c r="AC1574" s="197"/>
    </row>
    <row r="1575" spans="1:29" ht="20.100000000000001" customHeight="1">
      <c r="A1575" s="187">
        <v>19</v>
      </c>
      <c r="B1575" s="186" t="s">
        <v>69</v>
      </c>
      <c r="C1575" s="326" t="s">
        <v>143</v>
      </c>
      <c r="D1575" s="326"/>
      <c r="E1575" s="151"/>
      <c r="F1575" s="144" t="s">
        <v>71</v>
      </c>
      <c r="G1575" s="203" t="s">
        <v>156</v>
      </c>
      <c r="H1575" s="202" t="s">
        <v>156</v>
      </c>
      <c r="I1575" s="202" t="s">
        <v>156</v>
      </c>
      <c r="J1575" s="202" t="s">
        <v>156</v>
      </c>
      <c r="K1575" s="202" t="s">
        <v>156</v>
      </c>
      <c r="L1575" s="202" t="s">
        <v>156</v>
      </c>
      <c r="M1575" s="93"/>
      <c r="N1575" s="219"/>
      <c r="O1575" s="195"/>
      <c r="P1575" s="104"/>
      <c r="Q1575" s="327"/>
      <c r="R1575" s="327"/>
      <c r="S1575" s="197"/>
      <c r="T1575" s="197"/>
      <c r="U1575" s="197"/>
      <c r="V1575" s="197"/>
      <c r="W1575" s="197"/>
      <c r="X1575" s="197"/>
      <c r="Y1575" s="197"/>
      <c r="Z1575" s="197"/>
      <c r="AA1575" s="197"/>
      <c r="AB1575" s="197"/>
      <c r="AC1575" s="197"/>
    </row>
    <row r="1576" spans="1:29" ht="20.100000000000001" customHeight="1">
      <c r="A1576" s="187">
        <v>20</v>
      </c>
      <c r="B1576" s="186" t="s">
        <v>69</v>
      </c>
      <c r="C1576" s="326" t="s">
        <v>102</v>
      </c>
      <c r="D1576" s="326"/>
      <c r="E1576" s="150"/>
      <c r="F1576" s="154" t="s">
        <v>71</v>
      </c>
      <c r="G1576" s="203" t="s">
        <v>156</v>
      </c>
      <c r="H1576" s="202" t="s">
        <v>156</v>
      </c>
      <c r="I1576" s="202" t="s">
        <v>156</v>
      </c>
      <c r="J1576" s="202" t="s">
        <v>156</v>
      </c>
      <c r="K1576" s="202" t="s">
        <v>156</v>
      </c>
      <c r="L1576" s="202" t="s">
        <v>156</v>
      </c>
      <c r="M1576" s="93"/>
      <c r="N1576" s="219"/>
      <c r="O1576" s="195"/>
      <c r="P1576" s="104"/>
      <c r="Q1576" s="327"/>
      <c r="R1576" s="327"/>
      <c r="S1576" s="197"/>
      <c r="T1576" s="197"/>
      <c r="U1576" s="197"/>
      <c r="V1576" s="197"/>
      <c r="W1576" s="197"/>
      <c r="X1576" s="197"/>
      <c r="Y1576" s="197"/>
      <c r="Z1576" s="197"/>
      <c r="AA1576" s="197"/>
      <c r="AB1576" s="197"/>
      <c r="AC1576" s="197"/>
    </row>
    <row r="1577" spans="1:29" ht="24.75" customHeight="1">
      <c r="A1577" s="190" t="s">
        <v>128</v>
      </c>
      <c r="B1577" s="142"/>
      <c r="C1577" s="330" t="s">
        <v>130</v>
      </c>
      <c r="D1577" s="330"/>
      <c r="E1577" s="330"/>
      <c r="F1577" s="330"/>
      <c r="G1577" s="330"/>
      <c r="H1577" s="330"/>
      <c r="I1577" s="330"/>
      <c r="J1577" s="330"/>
      <c r="K1577" s="330"/>
      <c r="L1577" s="330"/>
      <c r="M1577" s="93"/>
      <c r="O1577" s="156"/>
      <c r="P1577" s="142"/>
      <c r="Q1577" s="331"/>
      <c r="R1577" s="331"/>
      <c r="S1577" s="331"/>
      <c r="T1577" s="331"/>
      <c r="U1577" s="331"/>
      <c r="V1577" s="331"/>
      <c r="W1577" s="331"/>
      <c r="X1577" s="331"/>
      <c r="Y1577" s="331"/>
      <c r="Z1577" s="331"/>
      <c r="AA1577" s="331"/>
      <c r="AB1577" s="331"/>
      <c r="AC1577" s="331"/>
    </row>
    <row r="1578" spans="1:29" ht="33" customHeight="1">
      <c r="A1578" s="189">
        <v>21</v>
      </c>
      <c r="B1578" s="188" t="s">
        <v>69</v>
      </c>
      <c r="C1578" s="307" t="s">
        <v>82</v>
      </c>
      <c r="D1578" s="308"/>
      <c r="E1578" s="182"/>
      <c r="F1578" s="191" t="s">
        <v>71</v>
      </c>
      <c r="G1578" s="201">
        <v>58</v>
      </c>
      <c r="H1578" s="201">
        <v>40</v>
      </c>
      <c r="I1578" s="201">
        <v>21</v>
      </c>
      <c r="J1578" s="201">
        <v>58</v>
      </c>
      <c r="K1578" s="201">
        <v>40</v>
      </c>
      <c r="L1578" s="201">
        <v>21</v>
      </c>
      <c r="M1578" s="89"/>
      <c r="N1578" s="219"/>
      <c r="O1578" s="199"/>
      <c r="P1578" s="200"/>
      <c r="Q1578" s="309"/>
      <c r="R1578" s="309"/>
      <c r="S1578" s="86"/>
      <c r="T1578" s="86"/>
      <c r="U1578" s="86"/>
      <c r="V1578" s="86"/>
      <c r="W1578" s="86"/>
      <c r="X1578" s="86"/>
      <c r="Y1578" s="86"/>
      <c r="Z1578" s="86"/>
      <c r="AA1578" s="86"/>
      <c r="AB1578" s="86"/>
      <c r="AC1578" s="86"/>
    </row>
    <row r="1579" spans="1:29" ht="33" customHeight="1">
      <c r="A1579" s="189">
        <v>22</v>
      </c>
      <c r="B1579" s="188" t="s">
        <v>69</v>
      </c>
      <c r="C1579" s="307" t="s">
        <v>103</v>
      </c>
      <c r="D1579" s="308"/>
      <c r="E1579" s="179"/>
      <c r="F1579" s="191" t="s">
        <v>71</v>
      </c>
      <c r="G1579" s="201">
        <v>9</v>
      </c>
      <c r="H1579" s="201">
        <v>9</v>
      </c>
      <c r="I1579" s="201">
        <v>7</v>
      </c>
      <c r="J1579" s="201">
        <v>9</v>
      </c>
      <c r="K1579" s="201">
        <v>9</v>
      </c>
      <c r="L1579" s="201">
        <v>7</v>
      </c>
      <c r="M1579" s="89"/>
      <c r="N1579" s="219"/>
      <c r="O1579" s="199"/>
      <c r="P1579" s="200"/>
      <c r="Q1579" s="309"/>
      <c r="R1579" s="309"/>
      <c r="S1579" s="86"/>
      <c r="T1579" s="86"/>
      <c r="U1579" s="86"/>
      <c r="V1579" s="86"/>
      <c r="W1579" s="86"/>
      <c r="X1579" s="86"/>
      <c r="Y1579" s="86"/>
      <c r="Z1579" s="86"/>
      <c r="AA1579" s="86"/>
      <c r="AB1579" s="86"/>
      <c r="AC1579" s="86"/>
    </row>
    <row r="1580" spans="1:29" ht="33" customHeight="1">
      <c r="A1580" s="189">
        <v>23</v>
      </c>
      <c r="B1580" s="188" t="s">
        <v>69</v>
      </c>
      <c r="C1580" s="307" t="s">
        <v>104</v>
      </c>
      <c r="D1580" s="308"/>
      <c r="E1580" s="179"/>
      <c r="F1580" s="191" t="s">
        <v>71</v>
      </c>
      <c r="G1580" s="201">
        <v>5</v>
      </c>
      <c r="H1580" s="201">
        <v>1</v>
      </c>
      <c r="I1580" s="201">
        <v>1</v>
      </c>
      <c r="J1580" s="201">
        <v>5</v>
      </c>
      <c r="K1580" s="201">
        <v>1</v>
      </c>
      <c r="L1580" s="201">
        <v>1</v>
      </c>
      <c r="M1580" s="89"/>
      <c r="N1580" s="219"/>
      <c r="O1580" s="199"/>
      <c r="P1580" s="200"/>
      <c r="Q1580" s="309"/>
      <c r="R1580" s="309"/>
      <c r="S1580" s="86"/>
      <c r="T1580" s="86"/>
      <c r="U1580" s="86"/>
      <c r="V1580" s="86"/>
      <c r="W1580" s="86"/>
      <c r="X1580" s="86"/>
      <c r="Y1580" s="86"/>
      <c r="Z1580" s="86"/>
      <c r="AA1580" s="86"/>
      <c r="AB1580" s="86"/>
      <c r="AC1580" s="86"/>
    </row>
    <row r="1581" spans="1:29" ht="27.75" customHeight="1">
      <c r="A1581" s="317" t="s">
        <v>135</v>
      </c>
      <c r="B1581" s="318"/>
      <c r="C1581" s="317" t="s">
        <v>68</v>
      </c>
      <c r="D1581" s="318"/>
      <c r="E1581" s="183"/>
      <c r="F1581" s="321" t="s">
        <v>136</v>
      </c>
      <c r="G1581" s="322" t="s">
        <v>155</v>
      </c>
      <c r="H1581" s="323"/>
      <c r="I1581" s="323"/>
      <c r="J1581" s="322" t="s">
        <v>154</v>
      </c>
      <c r="K1581" s="323"/>
      <c r="L1581" s="324"/>
      <c r="M1581" s="92"/>
      <c r="O1581" s="325"/>
      <c r="P1581" s="325"/>
      <c r="Q1581" s="325"/>
      <c r="R1581" s="325"/>
      <c r="S1581" s="316"/>
      <c r="T1581" s="316"/>
      <c r="U1581" s="316"/>
      <c r="V1581" s="316"/>
      <c r="W1581" s="316"/>
      <c r="X1581" s="316"/>
      <c r="Y1581" s="316"/>
      <c r="Z1581" s="316"/>
      <c r="AA1581" s="316"/>
      <c r="AB1581" s="316"/>
      <c r="AC1581" s="316"/>
    </row>
    <row r="1582" spans="1:29" ht="125.25" customHeight="1">
      <c r="A1582" s="319"/>
      <c r="B1582" s="320"/>
      <c r="C1582" s="319"/>
      <c r="D1582" s="320"/>
      <c r="E1582" s="184"/>
      <c r="F1582" s="321"/>
      <c r="G1582" s="153" t="s">
        <v>151</v>
      </c>
      <c r="H1582" s="153" t="s">
        <v>152</v>
      </c>
      <c r="I1582" s="153" t="s">
        <v>153</v>
      </c>
      <c r="J1582" s="153" t="s">
        <v>151</v>
      </c>
      <c r="K1582" s="153" t="s">
        <v>152</v>
      </c>
      <c r="L1582" s="153" t="s">
        <v>153</v>
      </c>
      <c r="O1582" s="325"/>
      <c r="P1582" s="325"/>
      <c r="Q1582" s="325"/>
      <c r="R1582" s="325"/>
      <c r="S1582" s="193"/>
      <c r="T1582" s="193"/>
      <c r="U1582" s="193"/>
      <c r="V1582" s="193"/>
      <c r="W1582" s="193"/>
      <c r="X1582" s="193"/>
      <c r="Y1582" s="193"/>
      <c r="Z1582" s="193"/>
      <c r="AA1582" s="193"/>
      <c r="AB1582" s="193"/>
      <c r="AC1582" s="193"/>
    </row>
    <row r="1583" spans="1:29" ht="30" customHeight="1">
      <c r="A1583" s="189">
        <v>24</v>
      </c>
      <c r="B1583" s="188" t="s">
        <v>69</v>
      </c>
      <c r="C1583" s="307" t="s">
        <v>131</v>
      </c>
      <c r="D1583" s="308"/>
      <c r="E1583" s="179"/>
      <c r="F1583" s="191" t="s">
        <v>71</v>
      </c>
      <c r="G1583" s="202" t="s">
        <v>156</v>
      </c>
      <c r="H1583" s="202" t="s">
        <v>156</v>
      </c>
      <c r="I1583" s="202" t="s">
        <v>156</v>
      </c>
      <c r="J1583" s="202" t="s">
        <v>156</v>
      </c>
      <c r="K1583" s="202" t="s">
        <v>156</v>
      </c>
      <c r="L1583" s="202" t="s">
        <v>156</v>
      </c>
      <c r="M1583" s="89"/>
      <c r="N1583" s="219"/>
      <c r="O1583" s="199"/>
      <c r="P1583" s="200"/>
      <c r="Q1583" s="309"/>
      <c r="R1583" s="309"/>
      <c r="S1583" s="86"/>
      <c r="T1583" s="86"/>
      <c r="U1583" s="86"/>
      <c r="V1583" s="86"/>
      <c r="W1583" s="86"/>
      <c r="X1583" s="86"/>
      <c r="Y1583" s="86"/>
      <c r="Z1583" s="86"/>
      <c r="AA1583" s="86"/>
      <c r="AB1583" s="86"/>
      <c r="AC1583" s="86"/>
    </row>
    <row r="1584" spans="1:29" ht="30" customHeight="1">
      <c r="A1584" s="189">
        <v>25</v>
      </c>
      <c r="B1584" s="188" t="s">
        <v>69</v>
      </c>
      <c r="C1584" s="307" t="s">
        <v>83</v>
      </c>
      <c r="D1584" s="308"/>
      <c r="E1584" s="179"/>
      <c r="F1584" s="191" t="s">
        <v>71</v>
      </c>
      <c r="G1584" s="201">
        <v>25</v>
      </c>
      <c r="H1584" s="201">
        <v>40</v>
      </c>
      <c r="I1584" s="201">
        <v>22</v>
      </c>
      <c r="J1584" s="201">
        <v>25</v>
      </c>
      <c r="K1584" s="201">
        <v>40</v>
      </c>
      <c r="L1584" s="201">
        <v>22</v>
      </c>
      <c r="M1584" s="89"/>
      <c r="N1584" s="219"/>
      <c r="O1584" s="199"/>
      <c r="P1584" s="200"/>
      <c r="Q1584" s="309"/>
      <c r="R1584" s="309"/>
      <c r="S1584" s="86"/>
      <c r="T1584" s="86"/>
      <c r="U1584" s="86"/>
      <c r="V1584" s="86"/>
      <c r="W1584" s="86"/>
      <c r="X1584" s="86"/>
      <c r="Y1584" s="86"/>
      <c r="Z1584" s="86"/>
      <c r="AA1584" s="86"/>
      <c r="AB1584" s="86"/>
      <c r="AC1584" s="86"/>
    </row>
    <row r="1585" spans="1:29" ht="30" customHeight="1">
      <c r="A1585" s="189">
        <v>26</v>
      </c>
      <c r="B1585" s="188" t="s">
        <v>69</v>
      </c>
      <c r="C1585" s="307" t="s">
        <v>84</v>
      </c>
      <c r="D1585" s="308"/>
      <c r="E1585" s="179"/>
      <c r="F1585" s="191" t="s">
        <v>71</v>
      </c>
      <c r="G1585" s="201">
        <v>5</v>
      </c>
      <c r="H1585" s="202" t="s">
        <v>156</v>
      </c>
      <c r="I1585" s="202" t="s">
        <v>156</v>
      </c>
      <c r="J1585" s="201">
        <v>5</v>
      </c>
      <c r="K1585" s="202" t="s">
        <v>156</v>
      </c>
      <c r="L1585" s="202" t="s">
        <v>156</v>
      </c>
      <c r="M1585" s="89"/>
      <c r="N1585" s="219"/>
      <c r="O1585" s="199"/>
      <c r="P1585" s="200"/>
      <c r="Q1585" s="309"/>
      <c r="R1585" s="309"/>
      <c r="S1585" s="86"/>
      <c r="T1585" s="86"/>
      <c r="U1585" s="86"/>
      <c r="V1585" s="86"/>
      <c r="W1585" s="86"/>
      <c r="X1585" s="86"/>
      <c r="Y1585" s="86"/>
      <c r="Z1585" s="86"/>
      <c r="AA1585" s="86"/>
      <c r="AB1585" s="86"/>
      <c r="AC1585" s="86"/>
    </row>
    <row r="1586" spans="1:29" ht="30" customHeight="1">
      <c r="A1586" s="189">
        <v>27</v>
      </c>
      <c r="B1586" s="188" t="s">
        <v>69</v>
      </c>
      <c r="C1586" s="307" t="s">
        <v>85</v>
      </c>
      <c r="D1586" s="308"/>
      <c r="E1586" s="179"/>
      <c r="F1586" s="191" t="s">
        <v>71</v>
      </c>
      <c r="G1586" s="201">
        <v>3</v>
      </c>
      <c r="H1586" s="201">
        <v>1</v>
      </c>
      <c r="I1586" s="201">
        <v>8</v>
      </c>
      <c r="J1586" s="201">
        <v>3</v>
      </c>
      <c r="K1586" s="201">
        <v>1</v>
      </c>
      <c r="L1586" s="201">
        <v>8</v>
      </c>
      <c r="M1586" s="89"/>
      <c r="N1586" s="219"/>
      <c r="O1586" s="199"/>
      <c r="P1586" s="200"/>
      <c r="Q1586" s="309"/>
      <c r="R1586" s="309"/>
      <c r="S1586" s="86"/>
      <c r="T1586" s="86"/>
      <c r="U1586" s="86"/>
      <c r="V1586" s="86"/>
      <c r="W1586" s="86"/>
      <c r="X1586" s="86"/>
      <c r="Y1586" s="86"/>
      <c r="Z1586" s="86"/>
      <c r="AA1586" s="86"/>
      <c r="AB1586" s="86"/>
      <c r="AC1586" s="86"/>
    </row>
    <row r="1587" spans="1:29" ht="30" customHeight="1">
      <c r="A1587" s="189">
        <v>28</v>
      </c>
      <c r="B1587" s="188" t="s">
        <v>69</v>
      </c>
      <c r="C1587" s="307" t="s">
        <v>132</v>
      </c>
      <c r="D1587" s="308"/>
      <c r="E1587" s="179"/>
      <c r="F1587" s="191" t="s">
        <v>71</v>
      </c>
      <c r="G1587" s="202" t="s">
        <v>156</v>
      </c>
      <c r="H1587" s="202" t="s">
        <v>156</v>
      </c>
      <c r="I1587" s="202" t="s">
        <v>156</v>
      </c>
      <c r="J1587" s="202" t="s">
        <v>156</v>
      </c>
      <c r="K1587" s="202" t="s">
        <v>156</v>
      </c>
      <c r="L1587" s="202" t="s">
        <v>156</v>
      </c>
      <c r="M1587" s="89"/>
      <c r="N1587" s="219"/>
      <c r="O1587" s="199"/>
      <c r="P1587" s="200"/>
      <c r="Q1587" s="309"/>
      <c r="R1587" s="309"/>
      <c r="S1587" s="86"/>
      <c r="T1587" s="86"/>
      <c r="U1587" s="86"/>
      <c r="V1587" s="86"/>
      <c r="W1587" s="86"/>
      <c r="X1587" s="86"/>
      <c r="Y1587" s="86"/>
      <c r="Z1587" s="86"/>
      <c r="AA1587" s="86"/>
      <c r="AB1587" s="86"/>
      <c r="AC1587" s="86"/>
    </row>
    <row r="1588" spans="1:29" ht="30" customHeight="1">
      <c r="A1588" s="189">
        <v>29</v>
      </c>
      <c r="B1588" s="188" t="s">
        <v>69</v>
      </c>
      <c r="C1588" s="307" t="s">
        <v>86</v>
      </c>
      <c r="D1588" s="308"/>
      <c r="E1588" s="179"/>
      <c r="F1588" s="191" t="s">
        <v>71</v>
      </c>
      <c r="G1588" s="201">
        <v>10</v>
      </c>
      <c r="H1588" s="201">
        <v>12</v>
      </c>
      <c r="I1588" s="201">
        <v>9</v>
      </c>
      <c r="J1588" s="201">
        <v>10</v>
      </c>
      <c r="K1588" s="201">
        <v>12</v>
      </c>
      <c r="L1588" s="201">
        <v>9</v>
      </c>
      <c r="M1588" s="89"/>
      <c r="N1588" s="219"/>
      <c r="O1588" s="199"/>
      <c r="P1588" s="200"/>
      <c r="Q1588" s="309"/>
      <c r="R1588" s="309"/>
      <c r="S1588" s="86"/>
      <c r="T1588" s="86"/>
      <c r="U1588" s="86"/>
      <c r="V1588" s="86"/>
      <c r="W1588" s="86"/>
      <c r="X1588" s="86"/>
      <c r="Y1588" s="86"/>
      <c r="Z1588" s="86"/>
      <c r="AA1588" s="86"/>
      <c r="AB1588" s="86"/>
      <c r="AC1588" s="86"/>
    </row>
    <row r="1589" spans="1:29" ht="30" customHeight="1">
      <c r="A1589" s="189">
        <v>30</v>
      </c>
      <c r="B1589" s="188" t="s">
        <v>69</v>
      </c>
      <c r="C1589" s="307" t="s">
        <v>87</v>
      </c>
      <c r="D1589" s="308"/>
      <c r="E1589" s="179"/>
      <c r="F1589" s="191" t="s">
        <v>71</v>
      </c>
      <c r="G1589" s="202" t="s">
        <v>156</v>
      </c>
      <c r="H1589" s="202" t="s">
        <v>156</v>
      </c>
      <c r="I1589" s="202" t="s">
        <v>156</v>
      </c>
      <c r="J1589" s="202" t="s">
        <v>156</v>
      </c>
      <c r="K1589" s="202" t="s">
        <v>156</v>
      </c>
      <c r="L1589" s="202" t="s">
        <v>156</v>
      </c>
      <c r="M1589" s="89"/>
      <c r="N1589" s="219"/>
      <c r="O1589" s="199"/>
      <c r="P1589" s="200"/>
      <c r="Q1589" s="309"/>
      <c r="R1589" s="309"/>
      <c r="S1589" s="86"/>
      <c r="T1589" s="86"/>
      <c r="U1589" s="86"/>
      <c r="V1589" s="86"/>
      <c r="W1589" s="86"/>
      <c r="X1589" s="86"/>
      <c r="Y1589" s="86"/>
      <c r="Z1589" s="86"/>
      <c r="AA1589" s="86"/>
      <c r="AB1589" s="86"/>
      <c r="AC1589" s="86"/>
    </row>
    <row r="1590" spans="1:29" ht="30" customHeight="1">
      <c r="A1590" s="189">
        <v>31</v>
      </c>
      <c r="B1590" s="188" t="s">
        <v>69</v>
      </c>
      <c r="C1590" s="307" t="s">
        <v>105</v>
      </c>
      <c r="D1590" s="308"/>
      <c r="E1590" s="179"/>
      <c r="F1590" s="191" t="s">
        <v>71</v>
      </c>
      <c r="G1590" s="201">
        <v>2</v>
      </c>
      <c r="H1590" s="203" t="s">
        <v>156</v>
      </c>
      <c r="I1590" s="201">
        <v>8</v>
      </c>
      <c r="J1590" s="201">
        <v>2</v>
      </c>
      <c r="K1590" s="203" t="s">
        <v>156</v>
      </c>
      <c r="L1590" s="201">
        <v>8</v>
      </c>
      <c r="M1590" s="89"/>
      <c r="N1590" s="219"/>
      <c r="O1590" s="199"/>
      <c r="P1590" s="200"/>
      <c r="Q1590" s="309"/>
      <c r="R1590" s="309"/>
      <c r="S1590" s="86"/>
      <c r="T1590" s="86"/>
      <c r="U1590" s="86"/>
      <c r="V1590" s="86"/>
      <c r="W1590" s="86"/>
      <c r="X1590" s="86"/>
      <c r="Y1590" s="86"/>
      <c r="Z1590" s="86"/>
      <c r="AA1590" s="86"/>
      <c r="AB1590" s="86"/>
      <c r="AC1590" s="86"/>
    </row>
    <row r="1591" spans="1:29" ht="30" customHeight="1">
      <c r="A1591" s="189">
        <v>32</v>
      </c>
      <c r="B1591" s="188" t="s">
        <v>69</v>
      </c>
      <c r="C1591" s="307" t="s">
        <v>133</v>
      </c>
      <c r="D1591" s="308"/>
      <c r="E1591" s="179"/>
      <c r="F1591" s="191" t="s">
        <v>71</v>
      </c>
      <c r="G1591" s="202" t="s">
        <v>156</v>
      </c>
      <c r="H1591" s="202" t="s">
        <v>156</v>
      </c>
      <c r="I1591" s="202" t="s">
        <v>156</v>
      </c>
      <c r="J1591" s="202" t="s">
        <v>156</v>
      </c>
      <c r="K1591" s="202" t="s">
        <v>156</v>
      </c>
      <c r="L1591" s="202" t="s">
        <v>156</v>
      </c>
      <c r="M1591" s="89"/>
      <c r="N1591" s="219"/>
      <c r="O1591" s="199"/>
      <c r="P1591" s="200"/>
      <c r="Q1591" s="309"/>
      <c r="R1591" s="309"/>
      <c r="S1591" s="86"/>
      <c r="T1591" s="86"/>
      <c r="U1591" s="86"/>
      <c r="V1591" s="86"/>
      <c r="W1591" s="86"/>
      <c r="X1591" s="86"/>
      <c r="Y1591" s="86"/>
      <c r="Z1591" s="86"/>
      <c r="AA1591" s="86"/>
      <c r="AB1591" s="86"/>
      <c r="AC1591" s="86"/>
    </row>
    <row r="1592" spans="1:29" ht="30" customHeight="1">
      <c r="A1592" s="189">
        <v>33</v>
      </c>
      <c r="B1592" s="188" t="s">
        <v>69</v>
      </c>
      <c r="C1592" s="307" t="s">
        <v>88</v>
      </c>
      <c r="D1592" s="308"/>
      <c r="E1592" s="179"/>
      <c r="F1592" s="191" t="s">
        <v>71</v>
      </c>
      <c r="G1592" s="201">
        <v>3</v>
      </c>
      <c r="H1592" s="201">
        <v>7</v>
      </c>
      <c r="I1592" s="201">
        <v>7</v>
      </c>
      <c r="J1592" s="201">
        <v>3</v>
      </c>
      <c r="K1592" s="201">
        <v>7</v>
      </c>
      <c r="L1592" s="201">
        <v>7</v>
      </c>
      <c r="M1592" s="89"/>
      <c r="N1592" s="219"/>
      <c r="O1592" s="199"/>
      <c r="P1592" s="200"/>
      <c r="Q1592" s="309"/>
      <c r="R1592" s="309"/>
      <c r="S1592" s="86"/>
      <c r="T1592" s="86"/>
      <c r="U1592" s="86"/>
      <c r="V1592" s="86"/>
      <c r="W1592" s="86"/>
      <c r="X1592" s="86"/>
      <c r="Y1592" s="86"/>
      <c r="Z1592" s="86"/>
      <c r="AA1592" s="86"/>
      <c r="AB1592" s="86"/>
      <c r="AC1592" s="86"/>
    </row>
    <row r="1593" spans="1:29" ht="30" customHeight="1">
      <c r="A1593" s="189">
        <v>34</v>
      </c>
      <c r="B1593" s="188" t="s">
        <v>69</v>
      </c>
      <c r="C1593" s="307" t="s">
        <v>89</v>
      </c>
      <c r="D1593" s="308"/>
      <c r="E1593" s="179"/>
      <c r="F1593" s="191" t="s">
        <v>71</v>
      </c>
      <c r="G1593" s="202" t="s">
        <v>156</v>
      </c>
      <c r="H1593" s="202" t="s">
        <v>156</v>
      </c>
      <c r="I1593" s="202" t="s">
        <v>156</v>
      </c>
      <c r="J1593" s="202" t="s">
        <v>156</v>
      </c>
      <c r="K1593" s="202" t="s">
        <v>156</v>
      </c>
      <c r="L1593" s="202" t="s">
        <v>156</v>
      </c>
      <c r="M1593" s="89"/>
      <c r="N1593" s="219"/>
      <c r="O1593" s="199"/>
      <c r="P1593" s="200"/>
      <c r="Q1593" s="309"/>
      <c r="R1593" s="309"/>
      <c r="S1593" s="86"/>
      <c r="T1593" s="86"/>
      <c r="U1593" s="86"/>
      <c r="V1593" s="86"/>
      <c r="W1593" s="86"/>
      <c r="X1593" s="86"/>
      <c r="Y1593" s="86"/>
      <c r="Z1593" s="86"/>
      <c r="AA1593" s="86"/>
      <c r="AB1593" s="86"/>
      <c r="AC1593" s="86"/>
    </row>
    <row r="1594" spans="1:29" ht="30" customHeight="1">
      <c r="A1594" s="189">
        <v>35</v>
      </c>
      <c r="B1594" s="188" t="s">
        <v>69</v>
      </c>
      <c r="C1594" s="307" t="s">
        <v>140</v>
      </c>
      <c r="D1594" s="308"/>
      <c r="E1594" s="179"/>
      <c r="F1594" s="191" t="s">
        <v>71</v>
      </c>
      <c r="G1594" s="202" t="s">
        <v>156</v>
      </c>
      <c r="H1594" s="202" t="s">
        <v>156</v>
      </c>
      <c r="I1594" s="201">
        <v>3</v>
      </c>
      <c r="J1594" s="202" t="s">
        <v>156</v>
      </c>
      <c r="K1594" s="202" t="s">
        <v>156</v>
      </c>
      <c r="L1594" s="201">
        <v>3</v>
      </c>
      <c r="M1594" s="89"/>
      <c r="N1594" s="220"/>
      <c r="O1594" s="199"/>
      <c r="P1594" s="200"/>
      <c r="Q1594" s="309"/>
      <c r="R1594" s="309"/>
      <c r="S1594" s="86"/>
      <c r="T1594" s="86"/>
      <c r="U1594" s="86"/>
      <c r="V1594" s="86"/>
      <c r="W1594" s="86"/>
      <c r="X1594" s="86"/>
      <c r="Y1594" s="86"/>
      <c r="Z1594" s="86"/>
      <c r="AA1594" s="86"/>
      <c r="AB1594" s="86"/>
      <c r="AC1594" s="86"/>
    </row>
    <row r="1595" spans="1:29" ht="30" customHeight="1">
      <c r="A1595" s="189">
        <v>36</v>
      </c>
      <c r="B1595" s="188" t="s">
        <v>69</v>
      </c>
      <c r="C1595" s="307" t="s">
        <v>134</v>
      </c>
      <c r="D1595" s="308"/>
      <c r="E1595" s="179"/>
      <c r="F1595" s="191" t="s">
        <v>71</v>
      </c>
      <c r="G1595" s="202" t="s">
        <v>156</v>
      </c>
      <c r="H1595" s="202" t="s">
        <v>156</v>
      </c>
      <c r="I1595" s="202" t="s">
        <v>156</v>
      </c>
      <c r="J1595" s="202" t="s">
        <v>156</v>
      </c>
      <c r="K1595" s="202" t="s">
        <v>156</v>
      </c>
      <c r="L1595" s="202" t="s">
        <v>156</v>
      </c>
      <c r="M1595" s="89"/>
      <c r="N1595" s="220"/>
      <c r="O1595" s="199"/>
      <c r="P1595" s="200"/>
      <c r="Q1595" s="309"/>
      <c r="R1595" s="309"/>
      <c r="S1595" s="86"/>
      <c r="T1595" s="86"/>
      <c r="U1595" s="86"/>
      <c r="V1595" s="86"/>
      <c r="W1595" s="86"/>
      <c r="X1595" s="86"/>
      <c r="Y1595" s="86"/>
      <c r="Z1595" s="86"/>
      <c r="AA1595" s="86"/>
      <c r="AB1595" s="86"/>
      <c r="AC1595" s="86"/>
    </row>
    <row r="1596" spans="1:29" ht="30" customHeight="1">
      <c r="A1596" s="189">
        <v>37</v>
      </c>
      <c r="B1596" s="188" t="s">
        <v>69</v>
      </c>
      <c r="C1596" s="307" t="s">
        <v>90</v>
      </c>
      <c r="D1596" s="308"/>
      <c r="E1596" s="179"/>
      <c r="F1596" s="191" t="s">
        <v>71</v>
      </c>
      <c r="G1596" s="202" t="s">
        <v>156</v>
      </c>
      <c r="H1596" s="202" t="s">
        <v>156</v>
      </c>
      <c r="I1596" s="202" t="s">
        <v>156</v>
      </c>
      <c r="J1596" s="202" t="s">
        <v>156</v>
      </c>
      <c r="K1596" s="202" t="s">
        <v>156</v>
      </c>
      <c r="L1596" s="202" t="s">
        <v>156</v>
      </c>
      <c r="M1596" s="89"/>
      <c r="N1596" s="220"/>
      <c r="O1596" s="199"/>
      <c r="P1596" s="200"/>
      <c r="Q1596" s="309"/>
      <c r="R1596" s="309"/>
      <c r="S1596" s="86"/>
      <c r="T1596" s="86"/>
      <c r="U1596" s="86"/>
      <c r="V1596" s="86"/>
      <c r="W1596" s="86"/>
      <c r="X1596" s="86"/>
      <c r="Y1596" s="86"/>
      <c r="Z1596" s="86"/>
      <c r="AA1596" s="86"/>
      <c r="AB1596" s="86"/>
      <c r="AC1596" s="86"/>
    </row>
    <row r="1597" spans="1:29" ht="30" customHeight="1">
      <c r="A1597" s="189">
        <v>38</v>
      </c>
      <c r="B1597" s="188" t="s">
        <v>69</v>
      </c>
      <c r="C1597" s="307" t="s">
        <v>106</v>
      </c>
      <c r="D1597" s="308"/>
      <c r="E1597" s="150"/>
      <c r="F1597" s="191" t="s">
        <v>71</v>
      </c>
      <c r="G1597" s="202" t="s">
        <v>156</v>
      </c>
      <c r="H1597" s="202" t="s">
        <v>156</v>
      </c>
      <c r="I1597" s="202" t="s">
        <v>156</v>
      </c>
      <c r="J1597" s="202" t="s">
        <v>156</v>
      </c>
      <c r="K1597" s="202" t="s">
        <v>156</v>
      </c>
      <c r="L1597" s="202" t="s">
        <v>156</v>
      </c>
      <c r="M1597" s="89"/>
      <c r="N1597" s="220"/>
      <c r="O1597" s="199"/>
      <c r="P1597" s="200"/>
      <c r="Q1597" s="309"/>
      <c r="R1597" s="309"/>
      <c r="S1597" s="86"/>
      <c r="T1597" s="86"/>
      <c r="U1597" s="86"/>
      <c r="V1597" s="86"/>
      <c r="W1597" s="86"/>
      <c r="X1597" s="86"/>
      <c r="Y1597" s="86"/>
      <c r="Z1597" s="86"/>
      <c r="AA1597" s="86"/>
      <c r="AB1597" s="86"/>
      <c r="AC1597" s="86"/>
    </row>
    <row r="1598" spans="1:29" ht="25.5" customHeight="1">
      <c r="A1598" s="310" t="s">
        <v>92</v>
      </c>
      <c r="B1598" s="310"/>
      <c r="C1598" s="310"/>
      <c r="D1598" s="310"/>
      <c r="E1598" s="310"/>
      <c r="F1598" s="310"/>
      <c r="G1598" s="310"/>
      <c r="H1598" s="310"/>
      <c r="I1598" s="310"/>
      <c r="J1598" s="310"/>
      <c r="K1598" s="310"/>
      <c r="L1598" s="310"/>
      <c r="M1598" s="92"/>
    </row>
    <row r="1599" spans="1:29" ht="19.5" customHeight="1">
      <c r="A1599" s="139"/>
      <c r="B1599" s="139"/>
      <c r="C1599" s="140"/>
      <c r="D1599" s="140" t="s">
        <v>145</v>
      </c>
      <c r="E1599" s="140"/>
      <c r="F1599" s="152" t="s">
        <v>54</v>
      </c>
      <c r="G1599" s="152"/>
      <c r="H1599" s="152"/>
      <c r="I1599" s="152"/>
      <c r="J1599" s="152" t="s">
        <v>144</v>
      </c>
      <c r="K1599" s="152"/>
      <c r="L1599" s="140"/>
      <c r="M1599" s="94"/>
    </row>
    <row r="1600" spans="1:29" ht="28.5" customHeight="1">
      <c r="A1600" s="310" t="s">
        <v>93</v>
      </c>
      <c r="B1600" s="310"/>
      <c r="C1600" s="310"/>
      <c r="D1600" s="310"/>
      <c r="E1600" s="310"/>
      <c r="F1600" s="310"/>
      <c r="G1600" s="310"/>
      <c r="H1600" s="310"/>
      <c r="I1600" s="310"/>
      <c r="J1600" s="310"/>
      <c r="K1600" s="310"/>
      <c r="L1600" s="310"/>
      <c r="M1600" s="92"/>
      <c r="N1600" s="311"/>
      <c r="O1600" s="311"/>
      <c r="P1600" s="311"/>
    </row>
    <row r="1601" spans="1:16" ht="20.25" customHeight="1">
      <c r="A1601" s="139"/>
      <c r="B1601" s="139"/>
      <c r="C1601" s="139"/>
      <c r="D1601" s="140" t="s">
        <v>145</v>
      </c>
      <c r="E1601" s="140"/>
      <c r="F1601" s="152" t="s">
        <v>54</v>
      </c>
      <c r="G1601" s="152"/>
      <c r="H1601" s="152"/>
      <c r="I1601" s="152"/>
      <c r="J1601" s="152" t="s">
        <v>144</v>
      </c>
      <c r="K1601" s="152"/>
      <c r="L1601" s="139"/>
      <c r="M1601" s="94"/>
      <c r="N1601" s="221"/>
      <c r="O1601" s="95"/>
      <c r="P1601" s="95"/>
    </row>
    <row r="1602" spans="1:16" ht="26.25" customHeight="1">
      <c r="A1602" s="312" t="s">
        <v>94</v>
      </c>
      <c r="B1602" s="312"/>
      <c r="C1602" s="312"/>
      <c r="D1602" s="312"/>
      <c r="E1602" s="312"/>
      <c r="F1602" s="312"/>
      <c r="G1602" s="312"/>
      <c r="H1602" s="312"/>
      <c r="I1602" s="312"/>
      <c r="J1602" s="312"/>
      <c r="K1602" s="312"/>
      <c r="L1602" s="312"/>
      <c r="M1602" s="92"/>
    </row>
    <row r="1603" spans="1:16" ht="22.5" customHeight="1">
      <c r="A1603" s="120"/>
      <c r="B1603" s="120"/>
      <c r="C1603" s="120"/>
      <c r="D1603" s="120"/>
      <c r="E1603" s="120"/>
      <c r="F1603" s="120"/>
      <c r="G1603" s="120"/>
      <c r="H1603" s="120"/>
      <c r="I1603" s="120"/>
      <c r="J1603" s="120"/>
      <c r="K1603" s="120"/>
      <c r="L1603" s="120"/>
      <c r="M1603" s="94"/>
    </row>
    <row r="1604" spans="1:16" ht="22.5" customHeight="1">
      <c r="A1604" s="313" t="s">
        <v>95</v>
      </c>
      <c r="B1604" s="313"/>
      <c r="C1604" s="313"/>
      <c r="D1604" s="313"/>
      <c r="E1604" s="313"/>
      <c r="F1604" s="313"/>
      <c r="G1604" s="313"/>
      <c r="H1604" s="313"/>
      <c r="I1604" s="313"/>
      <c r="J1604" s="313"/>
      <c r="K1604" s="313"/>
      <c r="L1604" s="313"/>
      <c r="M1604" s="92"/>
    </row>
    <row r="1605" spans="1:16" ht="19.5" customHeight="1">
      <c r="A1605" s="97"/>
      <c r="B1605" s="97"/>
      <c r="C1605" s="145"/>
      <c r="D1605" s="97"/>
      <c r="E1605" s="97"/>
      <c r="F1605" s="97"/>
      <c r="G1605" s="97"/>
      <c r="H1605" s="97"/>
      <c r="I1605" s="97"/>
      <c r="J1605" s="97"/>
      <c r="K1605" s="97"/>
      <c r="L1605" s="97"/>
      <c r="M1605" s="94"/>
    </row>
    <row r="1606" spans="1:16" ht="5.25" customHeight="1">
      <c r="A1606" s="94"/>
      <c r="B1606" s="94"/>
      <c r="C1606" s="146"/>
      <c r="D1606" s="94"/>
      <c r="E1606" s="94"/>
      <c r="F1606" s="94"/>
      <c r="G1606" s="94"/>
      <c r="H1606" s="94"/>
      <c r="I1606" s="94"/>
      <c r="J1606" s="94"/>
      <c r="K1606" s="94"/>
      <c r="L1606" s="94"/>
      <c r="M1606" s="94"/>
    </row>
    <row r="1607" spans="1:16" ht="16.5" customHeight="1">
      <c r="A1607" s="314" t="s">
        <v>96</v>
      </c>
      <c r="B1607" s="314"/>
      <c r="C1607" s="314"/>
      <c r="D1607" s="314"/>
      <c r="E1607" s="98"/>
      <c r="F1607" s="98"/>
      <c r="G1607" s="98"/>
      <c r="H1607" s="315" t="s">
        <v>97</v>
      </c>
      <c r="I1607" s="315"/>
      <c r="J1607" s="315"/>
      <c r="K1607" s="315"/>
      <c r="L1607" s="315"/>
      <c r="M1607" s="94"/>
    </row>
    <row r="1608" spans="1:16" ht="95.1" customHeight="1">
      <c r="A1608" s="99"/>
      <c r="B1608" s="101" t="str">
        <f>B1538</f>
        <v>Ông Huỳnh Phước Hải        ….............</v>
      </c>
      <c r="C1608" s="147"/>
      <c r="D1608" s="99"/>
      <c r="E1608" s="81"/>
      <c r="F1608" s="100"/>
      <c r="G1608" s="100"/>
      <c r="H1608" s="306" t="str">
        <f>H1538</f>
        <v>Ông Phạm Tấn Việt          …..................</v>
      </c>
      <c r="I1608" s="306"/>
      <c r="J1608" s="306"/>
      <c r="K1608" s="306"/>
      <c r="L1608" s="306"/>
      <c r="M1608" s="94"/>
    </row>
    <row r="1609" spans="1:16" ht="49.5" customHeight="1">
      <c r="A1609" s="99"/>
      <c r="B1609" s="99"/>
      <c r="C1609" s="147"/>
      <c r="D1609" s="99"/>
      <c r="E1609" s="81"/>
      <c r="F1609" s="100"/>
      <c r="G1609" s="100"/>
      <c r="H1609" s="100"/>
      <c r="I1609" s="100"/>
      <c r="J1609" s="99"/>
      <c r="K1609" s="99"/>
      <c r="L1609" s="99"/>
      <c r="M1609" s="94"/>
    </row>
    <row r="1610" spans="1:16" ht="21.75" customHeight="1">
      <c r="A1610" s="346" t="s">
        <v>165</v>
      </c>
      <c r="B1610" s="346"/>
      <c r="C1610" s="346"/>
      <c r="D1610" s="346"/>
      <c r="E1610" s="346"/>
      <c r="F1610" s="346"/>
      <c r="G1610" s="346"/>
      <c r="H1610" s="346"/>
      <c r="I1610" s="346"/>
      <c r="J1610" s="346"/>
      <c r="K1610" s="346"/>
      <c r="L1610" s="346"/>
      <c r="M1610" s="82"/>
    </row>
    <row r="1611" spans="1:16" ht="19.5">
      <c r="A1611" s="84" t="str">
        <f>"Ngày "&amp;N1612&amp;" tháng "&amp;O3&amp;" năm "&amp;P3&amp;""</f>
        <v>Ngày 24 tháng 07 năm 2026</v>
      </c>
      <c r="B1611" s="84"/>
      <c r="C1611" s="85"/>
      <c r="N1611" s="216"/>
      <c r="O1611" s="20"/>
      <c r="P1611" s="20"/>
    </row>
    <row r="1612" spans="1:16" ht="16.5">
      <c r="A1612" s="337" t="s">
        <v>57</v>
      </c>
      <c r="B1612" s="337"/>
      <c r="C1612" s="337"/>
      <c r="D1612" s="311"/>
      <c r="E1612" s="311"/>
      <c r="F1612" s="311"/>
      <c r="G1612" s="95"/>
      <c r="H1612" s="95"/>
      <c r="I1612" s="95"/>
      <c r="J1612" s="95"/>
      <c r="K1612" s="95"/>
      <c r="L1612" s="95"/>
      <c r="N1612" s="217" t="s">
        <v>186</v>
      </c>
      <c r="O1612" s="214"/>
      <c r="P1612" s="17"/>
    </row>
    <row r="1613" spans="1:16" ht="15.75" customHeight="1">
      <c r="A1613" s="338"/>
      <c r="B1613" s="338"/>
      <c r="C1613" s="338"/>
      <c r="D1613" s="339" t="s">
        <v>58</v>
      </c>
      <c r="E1613" s="340"/>
      <c r="F1613" s="340"/>
      <c r="G1613" s="340"/>
      <c r="H1613" s="341"/>
      <c r="I1613" s="339" t="s">
        <v>59</v>
      </c>
      <c r="J1613" s="340"/>
      <c r="K1613" s="340"/>
      <c r="L1613" s="341"/>
    </row>
    <row r="1614" spans="1:16" ht="19.5" customHeight="1">
      <c r="A1614" s="342" t="s">
        <v>60</v>
      </c>
      <c r="B1614" s="342"/>
      <c r="C1614" s="342"/>
      <c r="D1614" s="343" t="s">
        <v>54</v>
      </c>
      <c r="E1614" s="344"/>
      <c r="F1614" s="344"/>
      <c r="G1614" s="344"/>
      <c r="H1614" s="345"/>
      <c r="I1614" s="343" t="s">
        <v>54</v>
      </c>
      <c r="J1614" s="344"/>
      <c r="K1614" s="344"/>
      <c r="L1614" s="345"/>
    </row>
    <row r="1615" spans="1:16" ht="22.5" customHeight="1">
      <c r="A1615" s="342" t="s">
        <v>61</v>
      </c>
      <c r="B1615" s="342"/>
      <c r="C1615" s="342"/>
      <c r="D1615" s="343" t="s">
        <v>163</v>
      </c>
      <c r="E1615" s="344"/>
      <c r="F1615" s="344"/>
      <c r="G1615" s="344"/>
      <c r="H1615" s="345"/>
      <c r="I1615" s="343" t="str">
        <f>D1615</f>
        <v>31° - 34°</v>
      </c>
      <c r="J1615" s="344"/>
      <c r="K1615" s="344"/>
      <c r="L1615" s="345"/>
    </row>
    <row r="1616" spans="1:16" s="87" customFormat="1" ht="15.75">
      <c r="A1616" s="310" t="s">
        <v>62</v>
      </c>
      <c r="B1616" s="310"/>
      <c r="C1616" s="310"/>
      <c r="D1616" s="310"/>
      <c r="E1616" s="310"/>
      <c r="F1616" s="310"/>
      <c r="G1616" s="310"/>
      <c r="H1616" s="310"/>
      <c r="I1616" s="310"/>
      <c r="J1616" s="310"/>
      <c r="K1616" s="310"/>
      <c r="L1616" s="310"/>
      <c r="M1616" s="85"/>
      <c r="N1616" s="218"/>
    </row>
    <row r="1617" spans="1:29" s="87" customFormat="1" ht="15.75">
      <c r="A1617" s="332" t="s">
        <v>63</v>
      </c>
      <c r="B1617" s="332"/>
      <c r="C1617" s="332"/>
      <c r="D1617" s="332"/>
      <c r="E1617" s="332"/>
      <c r="F1617" s="332"/>
      <c r="G1617" s="332"/>
      <c r="H1617" s="332"/>
      <c r="I1617" s="332"/>
      <c r="J1617" s="332"/>
      <c r="K1617" s="332"/>
      <c r="L1617" s="332"/>
      <c r="M1617" s="85"/>
      <c r="N1617" s="218"/>
    </row>
    <row r="1618" spans="1:29" s="87" customFormat="1" ht="20.100000000000001" customHeight="1">
      <c r="A1618" s="88"/>
      <c r="B1618" s="88"/>
      <c r="C1618" s="333" t="s">
        <v>64</v>
      </c>
      <c r="D1618" s="334"/>
      <c r="E1618" s="334"/>
      <c r="F1618" s="334"/>
      <c r="G1618" s="334"/>
      <c r="H1618" s="334"/>
      <c r="I1618" s="334"/>
      <c r="J1618" s="334"/>
      <c r="K1618" s="334"/>
      <c r="L1618" s="334"/>
      <c r="M1618" s="85"/>
      <c r="N1618" s="218"/>
    </row>
    <row r="1619" spans="1:29" s="87" customFormat="1" ht="20.100000000000001" customHeight="1">
      <c r="A1619" s="88"/>
      <c r="B1619" s="88"/>
      <c r="C1619" s="333" t="s">
        <v>65</v>
      </c>
      <c r="D1619" s="334"/>
      <c r="E1619" s="334"/>
      <c r="F1619" s="334"/>
      <c r="G1619" s="334"/>
      <c r="H1619" s="334"/>
      <c r="I1619" s="334"/>
      <c r="J1619" s="334"/>
      <c r="K1619" s="334"/>
      <c r="L1619" s="334"/>
      <c r="M1619" s="85"/>
      <c r="N1619" s="218"/>
    </row>
    <row r="1620" spans="1:29" s="87" customFormat="1" ht="17.25" customHeight="1">
      <c r="A1620" s="335" t="s">
        <v>66</v>
      </c>
      <c r="B1620" s="335"/>
      <c r="C1620" s="335"/>
      <c r="D1620" s="335"/>
      <c r="E1620" s="335"/>
      <c r="F1620" s="335"/>
      <c r="G1620" s="335"/>
      <c r="H1620" s="335"/>
      <c r="I1620" s="335"/>
      <c r="J1620" s="335"/>
      <c r="K1620" s="335"/>
      <c r="L1620" s="335"/>
      <c r="M1620" s="85"/>
      <c r="N1620" s="218"/>
    </row>
    <row r="1621" spans="1:29" s="87" customFormat="1" ht="7.5" customHeight="1">
      <c r="A1621" s="119"/>
      <c r="B1621" s="119"/>
      <c r="C1621" s="119"/>
      <c r="D1621" s="119"/>
      <c r="E1621" s="119"/>
      <c r="F1621" s="119"/>
      <c r="G1621" s="119"/>
      <c r="H1621" s="119"/>
      <c r="I1621" s="119"/>
      <c r="J1621" s="119"/>
      <c r="K1621" s="119"/>
      <c r="L1621" s="119"/>
      <c r="M1621" s="85"/>
      <c r="N1621" s="218"/>
    </row>
    <row r="1622" spans="1:29" ht="15.75">
      <c r="A1622" s="336" t="s">
        <v>67</v>
      </c>
      <c r="B1622" s="336"/>
      <c r="C1622" s="336"/>
      <c r="D1622" s="336"/>
      <c r="E1622" s="336"/>
      <c r="F1622" s="336"/>
      <c r="G1622" s="336"/>
      <c r="H1622" s="336"/>
      <c r="I1622" s="336"/>
      <c r="J1622" s="336"/>
      <c r="K1622" s="336"/>
      <c r="L1622" s="336"/>
    </row>
    <row r="1623" spans="1:29" ht="2.25" customHeight="1">
      <c r="A1623" s="141"/>
      <c r="B1623" s="141"/>
      <c r="C1623" s="141"/>
      <c r="D1623" s="141"/>
      <c r="E1623" s="141"/>
      <c r="F1623" s="141"/>
      <c r="G1623" s="155"/>
      <c r="H1623" s="155"/>
      <c r="I1623" s="155"/>
      <c r="J1623" s="155"/>
      <c r="K1623" s="155"/>
      <c r="L1623" s="155"/>
    </row>
    <row r="1624" spans="1:29" ht="27.75" customHeight="1">
      <c r="A1624" s="317" t="s">
        <v>135</v>
      </c>
      <c r="B1624" s="318"/>
      <c r="C1624" s="317" t="s">
        <v>68</v>
      </c>
      <c r="D1624" s="318"/>
      <c r="E1624" s="183"/>
      <c r="F1624" s="321" t="s">
        <v>136</v>
      </c>
      <c r="G1624" s="322" t="s">
        <v>155</v>
      </c>
      <c r="H1624" s="323"/>
      <c r="I1624" s="323"/>
      <c r="J1624" s="322" t="s">
        <v>154</v>
      </c>
      <c r="K1624" s="323"/>
      <c r="L1624" s="324"/>
      <c r="M1624" s="92"/>
      <c r="O1624" s="325"/>
      <c r="P1624" s="325"/>
      <c r="Q1624" s="325"/>
      <c r="R1624" s="325"/>
      <c r="S1624" s="316"/>
      <c r="T1624" s="316"/>
      <c r="U1624" s="316"/>
      <c r="V1624" s="316"/>
      <c r="W1624" s="316"/>
      <c r="X1624" s="316"/>
      <c r="Y1624" s="316"/>
      <c r="Z1624" s="316"/>
      <c r="AA1624" s="316"/>
      <c r="AB1624" s="316"/>
      <c r="AC1624" s="316"/>
    </row>
    <row r="1625" spans="1:29" ht="125.25" customHeight="1">
      <c r="A1625" s="319"/>
      <c r="B1625" s="320"/>
      <c r="C1625" s="319"/>
      <c r="D1625" s="320"/>
      <c r="E1625" s="184"/>
      <c r="F1625" s="321"/>
      <c r="G1625" s="153" t="s">
        <v>151</v>
      </c>
      <c r="H1625" s="153" t="s">
        <v>152</v>
      </c>
      <c r="I1625" s="153" t="s">
        <v>153</v>
      </c>
      <c r="J1625" s="153" t="s">
        <v>151</v>
      </c>
      <c r="K1625" s="153" t="s">
        <v>152</v>
      </c>
      <c r="L1625" s="153" t="s">
        <v>153</v>
      </c>
      <c r="O1625" s="325"/>
      <c r="P1625" s="325"/>
      <c r="Q1625" s="325"/>
      <c r="R1625" s="325"/>
      <c r="S1625" s="193"/>
      <c r="T1625" s="193"/>
      <c r="U1625" s="193"/>
      <c r="V1625" s="193"/>
      <c r="W1625" s="193"/>
      <c r="X1625" s="193"/>
      <c r="Y1625" s="193"/>
      <c r="Z1625" s="193"/>
      <c r="AA1625" s="193"/>
      <c r="AB1625" s="193"/>
      <c r="AC1625" s="193"/>
    </row>
    <row r="1626" spans="1:29" ht="24.75" customHeight="1">
      <c r="A1626" s="190" t="s">
        <v>128</v>
      </c>
      <c r="B1626" s="142"/>
      <c r="C1626" s="330" t="s">
        <v>129</v>
      </c>
      <c r="D1626" s="330"/>
      <c r="E1626" s="330"/>
      <c r="F1626" s="330"/>
      <c r="G1626" s="330"/>
      <c r="H1626" s="330"/>
      <c r="I1626" s="330"/>
      <c r="J1626" s="330"/>
      <c r="K1626" s="330"/>
      <c r="L1626" s="330"/>
      <c r="M1626" s="93"/>
      <c r="O1626" s="156"/>
      <c r="P1626" s="142"/>
      <c r="Q1626" s="331"/>
      <c r="R1626" s="331"/>
      <c r="S1626" s="331"/>
      <c r="T1626" s="331"/>
      <c r="U1626" s="331"/>
      <c r="V1626" s="331"/>
      <c r="W1626" s="331"/>
      <c r="X1626" s="331"/>
      <c r="Y1626" s="331"/>
      <c r="Z1626" s="331"/>
      <c r="AA1626" s="331"/>
      <c r="AB1626" s="331"/>
      <c r="AC1626" s="331"/>
    </row>
    <row r="1627" spans="1:29" ht="21" customHeight="1">
      <c r="A1627" s="187">
        <v>1</v>
      </c>
      <c r="B1627" s="185" t="s">
        <v>69</v>
      </c>
      <c r="C1627" s="326" t="s">
        <v>70</v>
      </c>
      <c r="D1627" s="326"/>
      <c r="E1627" s="176"/>
      <c r="F1627" s="144" t="s">
        <v>71</v>
      </c>
      <c r="G1627" s="203" t="s">
        <v>156</v>
      </c>
      <c r="H1627" s="202" t="s">
        <v>156</v>
      </c>
      <c r="I1627" s="201">
        <v>1</v>
      </c>
      <c r="J1627" s="202" t="s">
        <v>156</v>
      </c>
      <c r="K1627" s="202" t="s">
        <v>156</v>
      </c>
      <c r="L1627" s="201">
        <v>1</v>
      </c>
      <c r="M1627" s="93"/>
      <c r="O1627" s="195"/>
      <c r="P1627" s="196"/>
      <c r="Q1627" s="327"/>
      <c r="R1627" s="327"/>
      <c r="S1627" s="86"/>
      <c r="T1627" s="86"/>
      <c r="U1627" s="86"/>
      <c r="V1627" s="86"/>
      <c r="W1627" s="194"/>
      <c r="X1627" s="194"/>
      <c r="Y1627" s="194"/>
      <c r="Z1627" s="194"/>
      <c r="AA1627" s="194"/>
      <c r="AB1627" s="194"/>
      <c r="AC1627" s="194"/>
    </row>
    <row r="1628" spans="1:29" ht="21" customHeight="1">
      <c r="A1628" s="187">
        <v>2</v>
      </c>
      <c r="B1628" s="185" t="s">
        <v>69</v>
      </c>
      <c r="C1628" s="326" t="s">
        <v>72</v>
      </c>
      <c r="D1628" s="326"/>
      <c r="E1628" s="176"/>
      <c r="F1628" s="144" t="s">
        <v>71</v>
      </c>
      <c r="G1628" s="203" t="s">
        <v>156</v>
      </c>
      <c r="H1628" s="202" t="s">
        <v>156</v>
      </c>
      <c r="I1628" s="202" t="s">
        <v>156</v>
      </c>
      <c r="J1628" s="202" t="s">
        <v>156</v>
      </c>
      <c r="K1628" s="202" t="s">
        <v>156</v>
      </c>
      <c r="L1628" s="202" t="s">
        <v>156</v>
      </c>
      <c r="M1628" s="93"/>
      <c r="O1628" s="195"/>
      <c r="P1628" s="196"/>
      <c r="Q1628" s="327"/>
      <c r="R1628" s="327"/>
      <c r="S1628" s="194"/>
      <c r="T1628" s="194"/>
      <c r="U1628" s="194"/>
      <c r="V1628" s="86"/>
      <c r="W1628" s="86"/>
      <c r="X1628" s="86"/>
      <c r="Y1628" s="86"/>
      <c r="Z1628" s="194"/>
      <c r="AA1628" s="194"/>
      <c r="AB1628" s="194"/>
      <c r="AC1628" s="194"/>
    </row>
    <row r="1629" spans="1:29" ht="21" customHeight="1">
      <c r="A1629" s="187">
        <v>3</v>
      </c>
      <c r="B1629" s="185" t="s">
        <v>69</v>
      </c>
      <c r="C1629" s="326" t="s">
        <v>73</v>
      </c>
      <c r="D1629" s="326"/>
      <c r="E1629" s="176"/>
      <c r="F1629" s="144" t="s">
        <v>71</v>
      </c>
      <c r="G1629" s="203" t="s">
        <v>156</v>
      </c>
      <c r="H1629" s="202" t="s">
        <v>156</v>
      </c>
      <c r="I1629" s="202" t="s">
        <v>156</v>
      </c>
      <c r="J1629" s="202" t="s">
        <v>156</v>
      </c>
      <c r="K1629" s="202" t="s">
        <v>156</v>
      </c>
      <c r="L1629" s="202" t="s">
        <v>156</v>
      </c>
      <c r="M1629" s="93"/>
      <c r="O1629" s="195"/>
      <c r="P1629" s="196"/>
      <c r="Q1629" s="327"/>
      <c r="R1629" s="327"/>
      <c r="S1629" s="194"/>
      <c r="T1629" s="86"/>
      <c r="U1629" s="86"/>
      <c r="V1629" s="86"/>
      <c r="W1629" s="86"/>
      <c r="X1629" s="194"/>
      <c r="Y1629" s="194"/>
      <c r="Z1629" s="194"/>
      <c r="AA1629" s="194"/>
      <c r="AB1629" s="194"/>
      <c r="AC1629" s="194"/>
    </row>
    <row r="1630" spans="1:29" ht="21" customHeight="1">
      <c r="A1630" s="187">
        <v>4</v>
      </c>
      <c r="B1630" s="185" t="s">
        <v>69</v>
      </c>
      <c r="C1630" s="326" t="s">
        <v>98</v>
      </c>
      <c r="D1630" s="326"/>
      <c r="E1630" s="176"/>
      <c r="F1630" s="144" t="s">
        <v>71</v>
      </c>
      <c r="G1630" s="203" t="s">
        <v>156</v>
      </c>
      <c r="H1630" s="202" t="s">
        <v>156</v>
      </c>
      <c r="I1630" s="202" t="s">
        <v>156</v>
      </c>
      <c r="J1630" s="202" t="s">
        <v>156</v>
      </c>
      <c r="K1630" s="202" t="s">
        <v>156</v>
      </c>
      <c r="L1630" s="202" t="s">
        <v>156</v>
      </c>
      <c r="M1630" s="93"/>
      <c r="O1630" s="195"/>
      <c r="P1630" s="196"/>
      <c r="Q1630" s="327"/>
      <c r="R1630" s="327"/>
      <c r="S1630" s="194"/>
      <c r="T1630" s="194"/>
      <c r="U1630" s="194"/>
      <c r="V1630" s="194"/>
      <c r="W1630" s="194"/>
      <c r="X1630" s="194"/>
      <c r="Y1630" s="194"/>
      <c r="Z1630" s="86"/>
      <c r="AA1630" s="86"/>
      <c r="AB1630" s="86"/>
      <c r="AC1630" s="86"/>
    </row>
    <row r="1631" spans="1:29" ht="21" customHeight="1">
      <c r="A1631" s="187">
        <v>5</v>
      </c>
      <c r="B1631" s="185" t="s">
        <v>69</v>
      </c>
      <c r="C1631" s="326" t="s">
        <v>74</v>
      </c>
      <c r="D1631" s="326"/>
      <c r="E1631" s="176"/>
      <c r="F1631" s="144" t="s">
        <v>71</v>
      </c>
      <c r="G1631" s="203" t="s">
        <v>156</v>
      </c>
      <c r="H1631" s="202" t="s">
        <v>156</v>
      </c>
      <c r="I1631" s="202" t="s">
        <v>156</v>
      </c>
      <c r="J1631" s="202" t="s">
        <v>156</v>
      </c>
      <c r="K1631" s="202" t="s">
        <v>156</v>
      </c>
      <c r="L1631" s="202" t="s">
        <v>156</v>
      </c>
      <c r="M1631" s="93"/>
      <c r="O1631" s="195"/>
      <c r="P1631" s="196"/>
      <c r="Q1631" s="327"/>
      <c r="R1631" s="327"/>
      <c r="S1631" s="194"/>
      <c r="T1631" s="194"/>
      <c r="U1631" s="194"/>
      <c r="V1631" s="194"/>
      <c r="W1631" s="194"/>
      <c r="X1631" s="194"/>
      <c r="Y1631" s="194"/>
      <c r="Z1631" s="194"/>
      <c r="AA1631" s="194"/>
      <c r="AB1631" s="194"/>
      <c r="AC1631" s="194"/>
    </row>
    <row r="1632" spans="1:29" ht="21" customHeight="1">
      <c r="A1632" s="187">
        <v>6</v>
      </c>
      <c r="B1632" s="185" t="s">
        <v>69</v>
      </c>
      <c r="C1632" s="326" t="s">
        <v>75</v>
      </c>
      <c r="D1632" s="326"/>
      <c r="E1632" s="176"/>
      <c r="F1632" s="144" t="s">
        <v>71</v>
      </c>
      <c r="G1632" s="203" t="s">
        <v>156</v>
      </c>
      <c r="H1632" s="202" t="s">
        <v>156</v>
      </c>
      <c r="I1632" s="202" t="s">
        <v>156</v>
      </c>
      <c r="J1632" s="202" t="s">
        <v>156</v>
      </c>
      <c r="K1632" s="202" t="s">
        <v>156</v>
      </c>
      <c r="L1632" s="202" t="s">
        <v>156</v>
      </c>
      <c r="M1632" s="93"/>
      <c r="O1632" s="195"/>
      <c r="P1632" s="196"/>
      <c r="Q1632" s="327"/>
      <c r="R1632" s="327"/>
      <c r="S1632" s="194"/>
      <c r="T1632" s="194"/>
      <c r="U1632" s="194"/>
      <c r="V1632" s="194"/>
      <c r="W1632" s="194"/>
      <c r="X1632" s="194"/>
      <c r="Y1632" s="194"/>
      <c r="Z1632" s="194"/>
      <c r="AA1632" s="194"/>
      <c r="AB1632" s="194"/>
      <c r="AC1632" s="194"/>
    </row>
    <row r="1633" spans="1:29" ht="21" customHeight="1">
      <c r="A1633" s="187">
        <v>7</v>
      </c>
      <c r="B1633" s="185" t="s">
        <v>69</v>
      </c>
      <c r="C1633" s="326" t="s">
        <v>76</v>
      </c>
      <c r="D1633" s="326"/>
      <c r="E1633" s="176"/>
      <c r="F1633" s="144" t="s">
        <v>71</v>
      </c>
      <c r="G1633" s="203" t="s">
        <v>156</v>
      </c>
      <c r="H1633" s="202" t="s">
        <v>156</v>
      </c>
      <c r="I1633" s="202" t="s">
        <v>156</v>
      </c>
      <c r="J1633" s="202" t="s">
        <v>156</v>
      </c>
      <c r="K1633" s="202" t="s">
        <v>156</v>
      </c>
      <c r="L1633" s="202" t="s">
        <v>156</v>
      </c>
      <c r="M1633" s="93"/>
      <c r="O1633" s="195"/>
      <c r="P1633" s="196"/>
      <c r="Q1633" s="327"/>
      <c r="R1633" s="327"/>
      <c r="S1633" s="194"/>
      <c r="T1633" s="194"/>
      <c r="U1633" s="194"/>
      <c r="V1633" s="194"/>
      <c r="W1633" s="194"/>
      <c r="X1633" s="194"/>
      <c r="Y1633" s="194"/>
      <c r="Z1633" s="194"/>
      <c r="AA1633" s="194"/>
      <c r="AB1633" s="194"/>
      <c r="AC1633" s="194"/>
    </row>
    <row r="1634" spans="1:29" ht="21" customHeight="1">
      <c r="A1634" s="187">
        <v>8</v>
      </c>
      <c r="B1634" s="185" t="s">
        <v>69</v>
      </c>
      <c r="C1634" s="326" t="s">
        <v>99</v>
      </c>
      <c r="D1634" s="326"/>
      <c r="E1634" s="176"/>
      <c r="F1634" s="144" t="s">
        <v>71</v>
      </c>
      <c r="G1634" s="203" t="s">
        <v>156</v>
      </c>
      <c r="H1634" s="202" t="s">
        <v>156</v>
      </c>
      <c r="I1634" s="202" t="s">
        <v>156</v>
      </c>
      <c r="J1634" s="202" t="s">
        <v>156</v>
      </c>
      <c r="K1634" s="202" t="s">
        <v>156</v>
      </c>
      <c r="L1634" s="202" t="s">
        <v>156</v>
      </c>
      <c r="M1634" s="93"/>
      <c r="O1634" s="195"/>
      <c r="P1634" s="196"/>
      <c r="Q1634" s="327"/>
      <c r="R1634" s="327"/>
      <c r="S1634" s="194"/>
      <c r="T1634" s="194"/>
      <c r="U1634" s="194"/>
      <c r="V1634" s="194"/>
      <c r="W1634" s="194"/>
      <c r="X1634" s="194"/>
      <c r="Y1634" s="194"/>
      <c r="Z1634" s="194"/>
      <c r="AA1634" s="194"/>
      <c r="AB1634" s="194"/>
      <c r="AC1634" s="194"/>
    </row>
    <row r="1635" spans="1:29" ht="21" customHeight="1">
      <c r="A1635" s="187">
        <v>9</v>
      </c>
      <c r="B1635" s="185" t="s">
        <v>69</v>
      </c>
      <c r="C1635" s="326" t="s">
        <v>77</v>
      </c>
      <c r="D1635" s="326"/>
      <c r="E1635" s="176"/>
      <c r="F1635" s="144" t="s">
        <v>71</v>
      </c>
      <c r="G1635" s="203" t="s">
        <v>156</v>
      </c>
      <c r="H1635" s="202" t="s">
        <v>156</v>
      </c>
      <c r="I1635" s="202" t="s">
        <v>156</v>
      </c>
      <c r="J1635" s="202" t="s">
        <v>156</v>
      </c>
      <c r="K1635" s="202" t="s">
        <v>156</v>
      </c>
      <c r="L1635" s="202" t="s">
        <v>156</v>
      </c>
      <c r="M1635" s="93"/>
      <c r="O1635" s="195"/>
      <c r="P1635" s="196"/>
      <c r="Q1635" s="327"/>
      <c r="R1635" s="327"/>
      <c r="S1635" s="194"/>
      <c r="T1635" s="194"/>
      <c r="U1635" s="194"/>
      <c r="V1635" s="194"/>
      <c r="W1635" s="194"/>
      <c r="X1635" s="194"/>
      <c r="Y1635" s="194"/>
      <c r="Z1635" s="194"/>
      <c r="AA1635" s="194"/>
      <c r="AB1635" s="194"/>
      <c r="AC1635" s="194"/>
    </row>
    <row r="1636" spans="1:29" ht="21" customHeight="1">
      <c r="A1636" s="187">
        <v>10</v>
      </c>
      <c r="B1636" s="185" t="s">
        <v>69</v>
      </c>
      <c r="C1636" s="326" t="s">
        <v>78</v>
      </c>
      <c r="D1636" s="326"/>
      <c r="E1636" s="176"/>
      <c r="F1636" s="144" t="s">
        <v>71</v>
      </c>
      <c r="G1636" s="203" t="s">
        <v>156</v>
      </c>
      <c r="H1636" s="202" t="s">
        <v>156</v>
      </c>
      <c r="I1636" s="202" t="s">
        <v>156</v>
      </c>
      <c r="J1636" s="202" t="s">
        <v>156</v>
      </c>
      <c r="K1636" s="202" t="s">
        <v>156</v>
      </c>
      <c r="L1636" s="202" t="s">
        <v>156</v>
      </c>
      <c r="M1636" s="93"/>
      <c r="O1636" s="195"/>
      <c r="P1636" s="196"/>
      <c r="Q1636" s="327"/>
      <c r="R1636" s="327"/>
      <c r="S1636" s="194"/>
      <c r="T1636" s="194"/>
      <c r="U1636" s="194"/>
      <c r="V1636" s="194"/>
      <c r="W1636" s="194"/>
      <c r="X1636" s="194"/>
      <c r="Y1636" s="194"/>
      <c r="Z1636" s="194"/>
      <c r="AA1636" s="194"/>
      <c r="AB1636" s="194"/>
      <c r="AC1636" s="194"/>
    </row>
    <row r="1637" spans="1:29" ht="21" customHeight="1">
      <c r="A1637" s="187">
        <v>11</v>
      </c>
      <c r="B1637" s="185" t="s">
        <v>69</v>
      </c>
      <c r="C1637" s="326" t="s">
        <v>79</v>
      </c>
      <c r="D1637" s="326"/>
      <c r="E1637" s="176"/>
      <c r="F1637" s="144" t="s">
        <v>71</v>
      </c>
      <c r="G1637" s="203" t="s">
        <v>156</v>
      </c>
      <c r="H1637" s="202" t="s">
        <v>156</v>
      </c>
      <c r="I1637" s="202" t="s">
        <v>156</v>
      </c>
      <c r="J1637" s="202" t="s">
        <v>156</v>
      </c>
      <c r="K1637" s="202" t="s">
        <v>156</v>
      </c>
      <c r="L1637" s="202" t="s">
        <v>156</v>
      </c>
      <c r="M1637" s="93"/>
      <c r="O1637" s="195"/>
      <c r="P1637" s="196"/>
      <c r="Q1637" s="327"/>
      <c r="R1637" s="327"/>
      <c r="S1637" s="194"/>
      <c r="T1637" s="194"/>
      <c r="U1637" s="194"/>
      <c r="V1637" s="194"/>
      <c r="W1637" s="194"/>
      <c r="X1637" s="194"/>
      <c r="Y1637" s="194"/>
      <c r="Z1637" s="194"/>
      <c r="AA1637" s="194"/>
      <c r="AB1637" s="194"/>
      <c r="AC1637" s="194"/>
    </row>
    <row r="1638" spans="1:29" ht="21" customHeight="1">
      <c r="A1638" s="187">
        <v>12</v>
      </c>
      <c r="B1638" s="185" t="s">
        <v>69</v>
      </c>
      <c r="C1638" s="326" t="s">
        <v>100</v>
      </c>
      <c r="D1638" s="326"/>
      <c r="E1638" s="176"/>
      <c r="F1638" s="144" t="s">
        <v>71</v>
      </c>
      <c r="G1638" s="203" t="s">
        <v>156</v>
      </c>
      <c r="H1638" s="202" t="s">
        <v>156</v>
      </c>
      <c r="I1638" s="202" t="s">
        <v>156</v>
      </c>
      <c r="J1638" s="202" t="s">
        <v>156</v>
      </c>
      <c r="K1638" s="202" t="s">
        <v>156</v>
      </c>
      <c r="L1638" s="202" t="s">
        <v>156</v>
      </c>
      <c r="M1638" s="93"/>
      <c r="O1638" s="195"/>
      <c r="P1638" s="196"/>
      <c r="Q1638" s="327"/>
      <c r="R1638" s="327"/>
      <c r="S1638" s="194"/>
      <c r="T1638" s="194"/>
      <c r="U1638" s="194"/>
      <c r="V1638" s="194"/>
      <c r="W1638" s="194"/>
      <c r="X1638" s="194"/>
      <c r="Y1638" s="194"/>
      <c r="Z1638" s="194"/>
      <c r="AA1638" s="194"/>
      <c r="AB1638" s="194"/>
      <c r="AC1638" s="194"/>
    </row>
    <row r="1639" spans="1:29" ht="21" customHeight="1">
      <c r="A1639" s="187">
        <v>13</v>
      </c>
      <c r="B1639" s="185" t="s">
        <v>69</v>
      </c>
      <c r="C1639" s="326" t="s">
        <v>80</v>
      </c>
      <c r="D1639" s="326"/>
      <c r="E1639" s="176"/>
      <c r="F1639" s="144" t="s">
        <v>71</v>
      </c>
      <c r="G1639" s="203" t="s">
        <v>156</v>
      </c>
      <c r="H1639" s="202" t="s">
        <v>156</v>
      </c>
      <c r="I1639" s="202" t="s">
        <v>156</v>
      </c>
      <c r="J1639" s="202" t="s">
        <v>156</v>
      </c>
      <c r="K1639" s="202" t="s">
        <v>156</v>
      </c>
      <c r="L1639" s="202" t="s">
        <v>156</v>
      </c>
      <c r="M1639" s="93"/>
      <c r="O1639" s="195"/>
      <c r="P1639" s="196"/>
      <c r="Q1639" s="327"/>
      <c r="R1639" s="327"/>
      <c r="S1639" s="194"/>
      <c r="T1639" s="194"/>
      <c r="U1639" s="194"/>
      <c r="V1639" s="194"/>
      <c r="W1639" s="194"/>
      <c r="X1639" s="194"/>
      <c r="Y1639" s="194"/>
      <c r="Z1639" s="194"/>
      <c r="AA1639" s="194"/>
      <c r="AB1639" s="194"/>
      <c r="AC1639" s="194"/>
    </row>
    <row r="1640" spans="1:29" ht="21" customHeight="1">
      <c r="A1640" s="187">
        <v>14</v>
      </c>
      <c r="B1640" s="185" t="s">
        <v>69</v>
      </c>
      <c r="C1640" s="326" t="s">
        <v>91</v>
      </c>
      <c r="D1640" s="326"/>
      <c r="E1640" s="176"/>
      <c r="F1640" s="144" t="s">
        <v>71</v>
      </c>
      <c r="G1640" s="203" t="s">
        <v>156</v>
      </c>
      <c r="H1640" s="202" t="s">
        <v>156</v>
      </c>
      <c r="I1640" s="202" t="s">
        <v>156</v>
      </c>
      <c r="J1640" s="202" t="s">
        <v>156</v>
      </c>
      <c r="K1640" s="202" t="s">
        <v>156</v>
      </c>
      <c r="L1640" s="202" t="s">
        <v>156</v>
      </c>
      <c r="M1640" s="93"/>
      <c r="O1640" s="195"/>
      <c r="P1640" s="196"/>
      <c r="Q1640" s="327"/>
      <c r="R1640" s="327"/>
      <c r="S1640" s="194"/>
      <c r="T1640" s="194"/>
      <c r="U1640" s="194"/>
      <c r="V1640" s="194"/>
      <c r="W1640" s="194"/>
      <c r="X1640" s="194"/>
      <c r="Y1640" s="194"/>
      <c r="Z1640" s="194"/>
      <c r="AA1640" s="194"/>
      <c r="AB1640" s="194"/>
      <c r="AC1640" s="194"/>
    </row>
    <row r="1641" spans="1:29" ht="21" customHeight="1">
      <c r="A1641" s="187">
        <v>15</v>
      </c>
      <c r="B1641" s="185" t="s">
        <v>69</v>
      </c>
      <c r="C1641" s="326" t="s">
        <v>81</v>
      </c>
      <c r="D1641" s="326"/>
      <c r="E1641" s="176"/>
      <c r="F1641" s="144" t="s">
        <v>71</v>
      </c>
      <c r="G1641" s="203" t="s">
        <v>156</v>
      </c>
      <c r="H1641" s="202" t="s">
        <v>156</v>
      </c>
      <c r="I1641" s="202" t="s">
        <v>156</v>
      </c>
      <c r="J1641" s="202" t="s">
        <v>156</v>
      </c>
      <c r="K1641" s="202" t="s">
        <v>156</v>
      </c>
      <c r="L1641" s="202" t="s">
        <v>156</v>
      </c>
      <c r="M1641" s="93"/>
      <c r="O1641" s="195"/>
      <c r="P1641" s="196"/>
      <c r="Q1641" s="327"/>
      <c r="R1641" s="327"/>
      <c r="S1641" s="194"/>
      <c r="T1641" s="194"/>
      <c r="U1641" s="194"/>
      <c r="V1641" s="194"/>
      <c r="W1641" s="194"/>
      <c r="X1641" s="194"/>
      <c r="Y1641" s="194"/>
      <c r="Z1641" s="194"/>
      <c r="AA1641" s="194"/>
      <c r="AB1641" s="194"/>
      <c r="AC1641" s="194"/>
    </row>
    <row r="1642" spans="1:29" ht="21" customHeight="1">
      <c r="A1642" s="187">
        <v>16</v>
      </c>
      <c r="B1642" s="185" t="s">
        <v>69</v>
      </c>
      <c r="C1642" s="326" t="s">
        <v>101</v>
      </c>
      <c r="D1642" s="326"/>
      <c r="E1642" s="151"/>
      <c r="F1642" s="144" t="s">
        <v>71</v>
      </c>
      <c r="G1642" s="203" t="s">
        <v>156</v>
      </c>
      <c r="H1642" s="202" t="s">
        <v>156</v>
      </c>
      <c r="I1642" s="202" t="s">
        <v>156</v>
      </c>
      <c r="J1642" s="202" t="s">
        <v>156</v>
      </c>
      <c r="K1642" s="202" t="s">
        <v>156</v>
      </c>
      <c r="L1642" s="202" t="s">
        <v>156</v>
      </c>
      <c r="M1642" s="93"/>
      <c r="N1642" s="219"/>
      <c r="O1642" s="195"/>
      <c r="P1642" s="196"/>
      <c r="Q1642" s="327"/>
      <c r="R1642" s="327"/>
      <c r="S1642" s="197"/>
      <c r="T1642" s="197"/>
      <c r="U1642" s="197"/>
      <c r="V1642" s="197"/>
      <c r="W1642" s="197"/>
      <c r="X1642" s="197"/>
      <c r="Y1642" s="197"/>
      <c r="Z1642" s="197"/>
      <c r="AA1642" s="197"/>
      <c r="AB1642" s="197"/>
      <c r="AC1642" s="197"/>
    </row>
    <row r="1643" spans="1:29" ht="21" customHeight="1">
      <c r="A1643" s="187">
        <v>17</v>
      </c>
      <c r="B1643" s="186" t="s">
        <v>69</v>
      </c>
      <c r="C1643" s="326" t="s">
        <v>141</v>
      </c>
      <c r="D1643" s="326"/>
      <c r="E1643" s="151"/>
      <c r="F1643" s="144" t="s">
        <v>71</v>
      </c>
      <c r="G1643" s="203" t="s">
        <v>156</v>
      </c>
      <c r="H1643" s="202" t="s">
        <v>156</v>
      </c>
      <c r="I1643" s="202" t="s">
        <v>156</v>
      </c>
      <c r="J1643" s="202" t="s">
        <v>156</v>
      </c>
      <c r="K1643" s="202" t="s">
        <v>156</v>
      </c>
      <c r="L1643" s="202" t="s">
        <v>156</v>
      </c>
      <c r="M1643" s="93"/>
      <c r="N1643" s="219"/>
      <c r="O1643" s="195"/>
      <c r="P1643" s="104"/>
      <c r="Q1643" s="327"/>
      <c r="R1643" s="327"/>
      <c r="S1643" s="197"/>
      <c r="T1643" s="197"/>
      <c r="U1643" s="197"/>
      <c r="V1643" s="197"/>
      <c r="W1643" s="197"/>
      <c r="X1643" s="197"/>
      <c r="Y1643" s="197"/>
      <c r="Z1643" s="197"/>
      <c r="AA1643" s="197"/>
      <c r="AB1643" s="197"/>
      <c r="AC1643" s="197"/>
    </row>
    <row r="1644" spans="1:29" ht="21" customHeight="1">
      <c r="A1644" s="187">
        <v>18</v>
      </c>
      <c r="B1644" s="186" t="s">
        <v>69</v>
      </c>
      <c r="C1644" s="326" t="s">
        <v>142</v>
      </c>
      <c r="D1644" s="326"/>
      <c r="E1644" s="151"/>
      <c r="F1644" s="144" t="s">
        <v>71</v>
      </c>
      <c r="G1644" s="203" t="s">
        <v>156</v>
      </c>
      <c r="H1644" s="202" t="s">
        <v>156</v>
      </c>
      <c r="I1644" s="202" t="s">
        <v>156</v>
      </c>
      <c r="J1644" s="202" t="s">
        <v>156</v>
      </c>
      <c r="K1644" s="202" t="s">
        <v>156</v>
      </c>
      <c r="L1644" s="202" t="s">
        <v>156</v>
      </c>
      <c r="M1644" s="93"/>
      <c r="N1644" s="219"/>
      <c r="O1644" s="195"/>
      <c r="P1644" s="104"/>
      <c r="Q1644" s="327"/>
      <c r="R1644" s="327"/>
      <c r="S1644" s="197"/>
      <c r="T1644" s="197"/>
      <c r="U1644" s="197"/>
      <c r="V1644" s="197"/>
      <c r="W1644" s="197"/>
      <c r="X1644" s="197"/>
      <c r="Y1644" s="197"/>
      <c r="Z1644" s="197"/>
      <c r="AA1644" s="197"/>
      <c r="AB1644" s="197"/>
      <c r="AC1644" s="197"/>
    </row>
    <row r="1645" spans="1:29" ht="21" customHeight="1">
      <c r="A1645" s="187">
        <v>19</v>
      </c>
      <c r="B1645" s="186" t="s">
        <v>69</v>
      </c>
      <c r="C1645" s="326" t="s">
        <v>143</v>
      </c>
      <c r="D1645" s="326"/>
      <c r="E1645" s="151"/>
      <c r="F1645" s="144" t="s">
        <v>71</v>
      </c>
      <c r="G1645" s="203" t="s">
        <v>156</v>
      </c>
      <c r="H1645" s="202" t="s">
        <v>156</v>
      </c>
      <c r="I1645" s="202" t="s">
        <v>156</v>
      </c>
      <c r="J1645" s="202" t="s">
        <v>156</v>
      </c>
      <c r="K1645" s="202" t="s">
        <v>156</v>
      </c>
      <c r="L1645" s="202" t="s">
        <v>156</v>
      </c>
      <c r="M1645" s="93"/>
      <c r="N1645" s="219"/>
      <c r="O1645" s="195"/>
      <c r="P1645" s="104"/>
      <c r="Q1645" s="327"/>
      <c r="R1645" s="327"/>
      <c r="S1645" s="197"/>
      <c r="T1645" s="197"/>
      <c r="U1645" s="197"/>
      <c r="V1645" s="197"/>
      <c r="W1645" s="197"/>
      <c r="X1645" s="197"/>
      <c r="Y1645" s="197"/>
      <c r="Z1645" s="197"/>
      <c r="AA1645" s="197"/>
      <c r="AB1645" s="197"/>
      <c r="AC1645" s="197"/>
    </row>
    <row r="1646" spans="1:29" ht="21" customHeight="1">
      <c r="A1646" s="187">
        <v>20</v>
      </c>
      <c r="B1646" s="186" t="s">
        <v>69</v>
      </c>
      <c r="C1646" s="326" t="s">
        <v>102</v>
      </c>
      <c r="D1646" s="326"/>
      <c r="E1646" s="150"/>
      <c r="F1646" s="154" t="s">
        <v>71</v>
      </c>
      <c r="G1646" s="203" t="s">
        <v>156</v>
      </c>
      <c r="H1646" s="202" t="s">
        <v>156</v>
      </c>
      <c r="I1646" s="202" t="s">
        <v>156</v>
      </c>
      <c r="J1646" s="202" t="s">
        <v>156</v>
      </c>
      <c r="K1646" s="202" t="s">
        <v>156</v>
      </c>
      <c r="L1646" s="202" t="s">
        <v>156</v>
      </c>
      <c r="M1646" s="93"/>
      <c r="N1646" s="219"/>
      <c r="O1646" s="195"/>
      <c r="P1646" s="104"/>
      <c r="Q1646" s="327"/>
      <c r="R1646" s="327"/>
      <c r="S1646" s="197"/>
      <c r="T1646" s="197"/>
      <c r="U1646" s="197"/>
      <c r="V1646" s="197"/>
      <c r="W1646" s="197"/>
      <c r="X1646" s="197"/>
      <c r="Y1646" s="197"/>
      <c r="Z1646" s="197"/>
      <c r="AA1646" s="197"/>
      <c r="AB1646" s="197"/>
      <c r="AC1646" s="197"/>
    </row>
    <row r="1647" spans="1:29" ht="24.75" customHeight="1">
      <c r="A1647" s="190" t="s">
        <v>128</v>
      </c>
      <c r="B1647" s="142"/>
      <c r="C1647" s="330" t="s">
        <v>130</v>
      </c>
      <c r="D1647" s="330"/>
      <c r="E1647" s="330"/>
      <c r="F1647" s="330"/>
      <c r="G1647" s="330"/>
      <c r="H1647" s="330"/>
      <c r="I1647" s="330"/>
      <c r="J1647" s="330"/>
      <c r="K1647" s="330"/>
      <c r="L1647" s="330"/>
      <c r="M1647" s="93"/>
      <c r="O1647" s="156"/>
      <c r="P1647" s="142"/>
      <c r="Q1647" s="331"/>
      <c r="R1647" s="331"/>
      <c r="S1647" s="331"/>
      <c r="T1647" s="331"/>
      <c r="U1647" s="331"/>
      <c r="V1647" s="331"/>
      <c r="W1647" s="331"/>
      <c r="X1647" s="331"/>
      <c r="Y1647" s="331"/>
      <c r="Z1647" s="331"/>
      <c r="AA1647" s="331"/>
      <c r="AB1647" s="331"/>
      <c r="AC1647" s="331"/>
    </row>
    <row r="1648" spans="1:29" ht="33" customHeight="1">
      <c r="A1648" s="189">
        <v>21</v>
      </c>
      <c r="B1648" s="188" t="s">
        <v>69</v>
      </c>
      <c r="C1648" s="307" t="s">
        <v>82</v>
      </c>
      <c r="D1648" s="308"/>
      <c r="E1648" s="182"/>
      <c r="F1648" s="191" t="s">
        <v>71</v>
      </c>
      <c r="G1648" s="201">
        <v>58</v>
      </c>
      <c r="H1648" s="201">
        <v>40</v>
      </c>
      <c r="I1648" s="201">
        <v>21</v>
      </c>
      <c r="J1648" s="201">
        <v>58</v>
      </c>
      <c r="K1648" s="201">
        <v>40</v>
      </c>
      <c r="L1648" s="201">
        <v>21</v>
      </c>
      <c r="M1648" s="89"/>
      <c r="N1648" s="219"/>
      <c r="O1648" s="199"/>
      <c r="P1648" s="200"/>
      <c r="Q1648" s="309"/>
      <c r="R1648" s="309"/>
      <c r="S1648" s="86"/>
      <c r="T1648" s="86"/>
      <c r="U1648" s="86"/>
      <c r="V1648" s="86"/>
      <c r="W1648" s="86"/>
      <c r="X1648" s="86"/>
      <c r="Y1648" s="86"/>
      <c r="Z1648" s="86"/>
      <c r="AA1648" s="86"/>
      <c r="AB1648" s="86"/>
      <c r="AC1648" s="86"/>
    </row>
    <row r="1649" spans="1:29" ht="33" customHeight="1">
      <c r="A1649" s="189">
        <v>22</v>
      </c>
      <c r="B1649" s="188" t="s">
        <v>69</v>
      </c>
      <c r="C1649" s="307" t="s">
        <v>103</v>
      </c>
      <c r="D1649" s="308"/>
      <c r="E1649" s="179"/>
      <c r="F1649" s="191" t="s">
        <v>71</v>
      </c>
      <c r="G1649" s="201">
        <v>9</v>
      </c>
      <c r="H1649" s="201">
        <v>9</v>
      </c>
      <c r="I1649" s="201">
        <v>7</v>
      </c>
      <c r="J1649" s="201">
        <v>9</v>
      </c>
      <c r="K1649" s="201">
        <v>9</v>
      </c>
      <c r="L1649" s="201">
        <v>7</v>
      </c>
      <c r="M1649" s="89"/>
      <c r="N1649" s="219"/>
      <c r="O1649" s="199"/>
      <c r="P1649" s="200"/>
      <c r="Q1649" s="309"/>
      <c r="R1649" s="309"/>
      <c r="S1649" s="86"/>
      <c r="T1649" s="86"/>
      <c r="U1649" s="86"/>
      <c r="V1649" s="86"/>
      <c r="W1649" s="86"/>
      <c r="X1649" s="86"/>
      <c r="Y1649" s="86"/>
      <c r="Z1649" s="86"/>
      <c r="AA1649" s="86"/>
      <c r="AB1649" s="86"/>
      <c r="AC1649" s="86"/>
    </row>
    <row r="1650" spans="1:29" ht="33" customHeight="1">
      <c r="A1650" s="189">
        <v>23</v>
      </c>
      <c r="B1650" s="188" t="s">
        <v>69</v>
      </c>
      <c r="C1650" s="307" t="s">
        <v>104</v>
      </c>
      <c r="D1650" s="308"/>
      <c r="E1650" s="179"/>
      <c r="F1650" s="191" t="s">
        <v>71</v>
      </c>
      <c r="G1650" s="201">
        <v>5</v>
      </c>
      <c r="H1650" s="201">
        <v>1</v>
      </c>
      <c r="I1650" s="201">
        <v>1</v>
      </c>
      <c r="J1650" s="201">
        <v>5</v>
      </c>
      <c r="K1650" s="201">
        <v>1</v>
      </c>
      <c r="L1650" s="201">
        <v>1</v>
      </c>
      <c r="M1650" s="89"/>
      <c r="N1650" s="219"/>
      <c r="O1650" s="199"/>
      <c r="P1650" s="200"/>
      <c r="Q1650" s="309"/>
      <c r="R1650" s="309"/>
      <c r="S1650" s="86"/>
      <c r="T1650" s="86"/>
      <c r="U1650" s="86"/>
      <c r="V1650" s="86"/>
      <c r="W1650" s="86"/>
      <c r="X1650" s="86"/>
      <c r="Y1650" s="86"/>
      <c r="Z1650" s="86"/>
      <c r="AA1650" s="86"/>
      <c r="AB1650" s="86"/>
      <c r="AC1650" s="86"/>
    </row>
    <row r="1651" spans="1:29" ht="27.75" customHeight="1">
      <c r="A1651" s="317" t="s">
        <v>135</v>
      </c>
      <c r="B1651" s="318"/>
      <c r="C1651" s="317" t="s">
        <v>68</v>
      </c>
      <c r="D1651" s="318"/>
      <c r="E1651" s="183"/>
      <c r="F1651" s="321" t="s">
        <v>136</v>
      </c>
      <c r="G1651" s="322" t="s">
        <v>155</v>
      </c>
      <c r="H1651" s="323"/>
      <c r="I1651" s="323"/>
      <c r="J1651" s="322" t="s">
        <v>154</v>
      </c>
      <c r="K1651" s="323"/>
      <c r="L1651" s="324"/>
      <c r="M1651" s="92"/>
      <c r="O1651" s="325"/>
      <c r="P1651" s="325"/>
      <c r="Q1651" s="325"/>
      <c r="R1651" s="325"/>
      <c r="S1651" s="316"/>
      <c r="T1651" s="316"/>
      <c r="U1651" s="316"/>
      <c r="V1651" s="316"/>
      <c r="W1651" s="316"/>
      <c r="X1651" s="316"/>
      <c r="Y1651" s="316"/>
      <c r="Z1651" s="316"/>
      <c r="AA1651" s="316"/>
      <c r="AB1651" s="316"/>
      <c r="AC1651" s="316"/>
    </row>
    <row r="1652" spans="1:29" ht="125.25" customHeight="1">
      <c r="A1652" s="319"/>
      <c r="B1652" s="320"/>
      <c r="C1652" s="319"/>
      <c r="D1652" s="320"/>
      <c r="E1652" s="184"/>
      <c r="F1652" s="321"/>
      <c r="G1652" s="153" t="s">
        <v>151</v>
      </c>
      <c r="H1652" s="153" t="s">
        <v>152</v>
      </c>
      <c r="I1652" s="153" t="s">
        <v>153</v>
      </c>
      <c r="J1652" s="153" t="s">
        <v>151</v>
      </c>
      <c r="K1652" s="153" t="s">
        <v>152</v>
      </c>
      <c r="L1652" s="153" t="s">
        <v>153</v>
      </c>
      <c r="O1652" s="325"/>
      <c r="P1652" s="325"/>
      <c r="Q1652" s="325"/>
      <c r="R1652" s="325"/>
      <c r="S1652" s="193"/>
      <c r="T1652" s="193"/>
      <c r="U1652" s="193"/>
      <c r="V1652" s="193"/>
      <c r="W1652" s="193"/>
      <c r="X1652" s="193"/>
      <c r="Y1652" s="193"/>
      <c r="Z1652" s="193"/>
      <c r="AA1652" s="193"/>
      <c r="AB1652" s="193"/>
      <c r="AC1652" s="193"/>
    </row>
    <row r="1653" spans="1:29" ht="30" customHeight="1">
      <c r="A1653" s="189">
        <v>24</v>
      </c>
      <c r="B1653" s="188" t="s">
        <v>69</v>
      </c>
      <c r="C1653" s="307" t="s">
        <v>131</v>
      </c>
      <c r="D1653" s="308"/>
      <c r="E1653" s="179"/>
      <c r="F1653" s="191" t="s">
        <v>71</v>
      </c>
      <c r="G1653" s="202" t="s">
        <v>156</v>
      </c>
      <c r="H1653" s="202" t="s">
        <v>156</v>
      </c>
      <c r="I1653" s="202" t="s">
        <v>156</v>
      </c>
      <c r="J1653" s="202" t="s">
        <v>156</v>
      </c>
      <c r="K1653" s="202" t="s">
        <v>156</v>
      </c>
      <c r="L1653" s="202" t="s">
        <v>156</v>
      </c>
      <c r="M1653" s="89"/>
      <c r="N1653" s="219"/>
      <c r="O1653" s="199"/>
      <c r="P1653" s="200"/>
      <c r="Q1653" s="309"/>
      <c r="R1653" s="309"/>
      <c r="S1653" s="86"/>
      <c r="T1653" s="86"/>
      <c r="U1653" s="86"/>
      <c r="V1653" s="86"/>
      <c r="W1653" s="86"/>
      <c r="X1653" s="86"/>
      <c r="Y1653" s="86"/>
      <c r="Z1653" s="86"/>
      <c r="AA1653" s="86"/>
      <c r="AB1653" s="86"/>
      <c r="AC1653" s="86"/>
    </row>
    <row r="1654" spans="1:29" ht="30" customHeight="1">
      <c r="A1654" s="189">
        <v>25</v>
      </c>
      <c r="B1654" s="188" t="s">
        <v>69</v>
      </c>
      <c r="C1654" s="307" t="s">
        <v>83</v>
      </c>
      <c r="D1654" s="308"/>
      <c r="E1654" s="179"/>
      <c r="F1654" s="191" t="s">
        <v>71</v>
      </c>
      <c r="G1654" s="201">
        <v>25</v>
      </c>
      <c r="H1654" s="201">
        <v>40</v>
      </c>
      <c r="I1654" s="201">
        <v>22</v>
      </c>
      <c r="J1654" s="201">
        <v>25</v>
      </c>
      <c r="K1654" s="201">
        <v>40</v>
      </c>
      <c r="L1654" s="201">
        <v>22</v>
      </c>
      <c r="M1654" s="89"/>
      <c r="N1654" s="219"/>
      <c r="O1654" s="199"/>
      <c r="P1654" s="200"/>
      <c r="Q1654" s="309"/>
      <c r="R1654" s="309"/>
      <c r="S1654" s="86"/>
      <c r="T1654" s="86"/>
      <c r="U1654" s="86"/>
      <c r="V1654" s="86"/>
      <c r="W1654" s="86"/>
      <c r="X1654" s="86"/>
      <c r="Y1654" s="86"/>
      <c r="Z1654" s="86"/>
      <c r="AA1654" s="86"/>
      <c r="AB1654" s="86"/>
      <c r="AC1654" s="86"/>
    </row>
    <row r="1655" spans="1:29" ht="30" customHeight="1">
      <c r="A1655" s="189">
        <v>26</v>
      </c>
      <c r="B1655" s="188" t="s">
        <v>69</v>
      </c>
      <c r="C1655" s="307" t="s">
        <v>84</v>
      </c>
      <c r="D1655" s="308"/>
      <c r="E1655" s="179"/>
      <c r="F1655" s="191" t="s">
        <v>71</v>
      </c>
      <c r="G1655" s="201">
        <v>5</v>
      </c>
      <c r="H1655" s="202" t="s">
        <v>156</v>
      </c>
      <c r="I1655" s="202" t="s">
        <v>156</v>
      </c>
      <c r="J1655" s="201">
        <v>5</v>
      </c>
      <c r="K1655" s="202" t="s">
        <v>156</v>
      </c>
      <c r="L1655" s="202" t="s">
        <v>156</v>
      </c>
      <c r="M1655" s="89"/>
      <c r="N1655" s="219"/>
      <c r="O1655" s="199"/>
      <c r="P1655" s="200"/>
      <c r="Q1655" s="309"/>
      <c r="R1655" s="309"/>
      <c r="S1655" s="86"/>
      <c r="T1655" s="86"/>
      <c r="U1655" s="86"/>
      <c r="V1655" s="86"/>
      <c r="W1655" s="86"/>
      <c r="X1655" s="86"/>
      <c r="Y1655" s="86"/>
      <c r="Z1655" s="86"/>
      <c r="AA1655" s="86"/>
      <c r="AB1655" s="86"/>
      <c r="AC1655" s="86"/>
    </row>
    <row r="1656" spans="1:29" ht="30" customHeight="1">
      <c r="A1656" s="189">
        <v>27</v>
      </c>
      <c r="B1656" s="188" t="s">
        <v>69</v>
      </c>
      <c r="C1656" s="307" t="s">
        <v>85</v>
      </c>
      <c r="D1656" s="308"/>
      <c r="E1656" s="179"/>
      <c r="F1656" s="191" t="s">
        <v>71</v>
      </c>
      <c r="G1656" s="201">
        <v>3</v>
      </c>
      <c r="H1656" s="201">
        <v>1</v>
      </c>
      <c r="I1656" s="201">
        <v>8</v>
      </c>
      <c r="J1656" s="201">
        <v>3</v>
      </c>
      <c r="K1656" s="201">
        <v>1</v>
      </c>
      <c r="L1656" s="201">
        <v>8</v>
      </c>
      <c r="M1656" s="89"/>
      <c r="N1656" s="219"/>
      <c r="O1656" s="199"/>
      <c r="P1656" s="200"/>
      <c r="Q1656" s="309"/>
      <c r="R1656" s="309"/>
      <c r="S1656" s="86"/>
      <c r="T1656" s="86"/>
      <c r="U1656" s="86"/>
      <c r="V1656" s="86"/>
      <c r="W1656" s="86"/>
      <c r="X1656" s="86"/>
      <c r="Y1656" s="86"/>
      <c r="Z1656" s="86"/>
      <c r="AA1656" s="86"/>
      <c r="AB1656" s="86"/>
      <c r="AC1656" s="86"/>
    </row>
    <row r="1657" spans="1:29" ht="30" customHeight="1">
      <c r="A1657" s="189">
        <v>28</v>
      </c>
      <c r="B1657" s="188" t="s">
        <v>69</v>
      </c>
      <c r="C1657" s="307" t="s">
        <v>132</v>
      </c>
      <c r="D1657" s="308"/>
      <c r="E1657" s="179"/>
      <c r="F1657" s="191" t="s">
        <v>71</v>
      </c>
      <c r="G1657" s="202" t="s">
        <v>156</v>
      </c>
      <c r="H1657" s="202" t="s">
        <v>156</v>
      </c>
      <c r="I1657" s="202" t="s">
        <v>156</v>
      </c>
      <c r="J1657" s="202" t="s">
        <v>156</v>
      </c>
      <c r="K1657" s="202" t="s">
        <v>156</v>
      </c>
      <c r="L1657" s="202" t="s">
        <v>156</v>
      </c>
      <c r="M1657" s="89"/>
      <c r="N1657" s="219"/>
      <c r="O1657" s="199"/>
      <c r="P1657" s="200"/>
      <c r="Q1657" s="309"/>
      <c r="R1657" s="309"/>
      <c r="S1657" s="86"/>
      <c r="T1657" s="86"/>
      <c r="U1657" s="86"/>
      <c r="V1657" s="86"/>
      <c r="W1657" s="86"/>
      <c r="X1657" s="86"/>
      <c r="Y1657" s="86"/>
      <c r="Z1657" s="86"/>
      <c r="AA1657" s="86"/>
      <c r="AB1657" s="86"/>
      <c r="AC1657" s="86"/>
    </row>
    <row r="1658" spans="1:29" ht="30" customHeight="1">
      <c r="A1658" s="189">
        <v>29</v>
      </c>
      <c r="B1658" s="188" t="s">
        <v>69</v>
      </c>
      <c r="C1658" s="307" t="s">
        <v>86</v>
      </c>
      <c r="D1658" s="308"/>
      <c r="E1658" s="179"/>
      <c r="F1658" s="191" t="s">
        <v>71</v>
      </c>
      <c r="G1658" s="201">
        <v>10</v>
      </c>
      <c r="H1658" s="201">
        <v>12</v>
      </c>
      <c r="I1658" s="201">
        <v>9</v>
      </c>
      <c r="J1658" s="201">
        <v>10</v>
      </c>
      <c r="K1658" s="201">
        <v>12</v>
      </c>
      <c r="L1658" s="201">
        <v>9</v>
      </c>
      <c r="M1658" s="89"/>
      <c r="N1658" s="219"/>
      <c r="O1658" s="199"/>
      <c r="P1658" s="200"/>
      <c r="Q1658" s="309"/>
      <c r="R1658" s="309"/>
      <c r="S1658" s="86"/>
      <c r="T1658" s="86"/>
      <c r="U1658" s="86"/>
      <c r="V1658" s="86"/>
      <c r="W1658" s="86"/>
      <c r="X1658" s="86"/>
      <c r="Y1658" s="86"/>
      <c r="Z1658" s="86"/>
      <c r="AA1658" s="86"/>
      <c r="AB1658" s="86"/>
      <c r="AC1658" s="86"/>
    </row>
    <row r="1659" spans="1:29" ht="30" customHeight="1">
      <c r="A1659" s="189">
        <v>30</v>
      </c>
      <c r="B1659" s="188" t="s">
        <v>69</v>
      </c>
      <c r="C1659" s="307" t="s">
        <v>87</v>
      </c>
      <c r="D1659" s="308"/>
      <c r="E1659" s="179"/>
      <c r="F1659" s="191" t="s">
        <v>71</v>
      </c>
      <c r="G1659" s="202" t="s">
        <v>156</v>
      </c>
      <c r="H1659" s="202" t="s">
        <v>156</v>
      </c>
      <c r="I1659" s="202" t="s">
        <v>156</v>
      </c>
      <c r="J1659" s="202" t="s">
        <v>156</v>
      </c>
      <c r="K1659" s="202" t="s">
        <v>156</v>
      </c>
      <c r="L1659" s="202" t="s">
        <v>156</v>
      </c>
      <c r="M1659" s="89"/>
      <c r="N1659" s="219"/>
      <c r="O1659" s="199"/>
      <c r="P1659" s="200"/>
      <c r="Q1659" s="309"/>
      <c r="R1659" s="309"/>
      <c r="S1659" s="86"/>
      <c r="T1659" s="86"/>
      <c r="U1659" s="86"/>
      <c r="V1659" s="86"/>
      <c r="W1659" s="86"/>
      <c r="X1659" s="86"/>
      <c r="Y1659" s="86"/>
      <c r="Z1659" s="86"/>
      <c r="AA1659" s="86"/>
      <c r="AB1659" s="86"/>
      <c r="AC1659" s="86"/>
    </row>
    <row r="1660" spans="1:29" ht="30" customHeight="1">
      <c r="A1660" s="189">
        <v>31</v>
      </c>
      <c r="B1660" s="188" t="s">
        <v>69</v>
      </c>
      <c r="C1660" s="307" t="s">
        <v>105</v>
      </c>
      <c r="D1660" s="308"/>
      <c r="E1660" s="179"/>
      <c r="F1660" s="191" t="s">
        <v>71</v>
      </c>
      <c r="G1660" s="201">
        <v>2</v>
      </c>
      <c r="H1660" s="203" t="s">
        <v>156</v>
      </c>
      <c r="I1660" s="201">
        <v>8</v>
      </c>
      <c r="J1660" s="201">
        <v>2</v>
      </c>
      <c r="K1660" s="203" t="s">
        <v>156</v>
      </c>
      <c r="L1660" s="201">
        <v>8</v>
      </c>
      <c r="M1660" s="89"/>
      <c r="N1660" s="219"/>
      <c r="O1660" s="199"/>
      <c r="P1660" s="200"/>
      <c r="Q1660" s="309"/>
      <c r="R1660" s="309"/>
      <c r="S1660" s="86"/>
      <c r="T1660" s="86"/>
      <c r="U1660" s="86"/>
      <c r="V1660" s="86"/>
      <c r="W1660" s="86"/>
      <c r="X1660" s="86"/>
      <c r="Y1660" s="86"/>
      <c r="Z1660" s="86"/>
      <c r="AA1660" s="86"/>
      <c r="AB1660" s="86"/>
      <c r="AC1660" s="86"/>
    </row>
    <row r="1661" spans="1:29" ht="30" customHeight="1">
      <c r="A1661" s="189">
        <v>32</v>
      </c>
      <c r="B1661" s="188" t="s">
        <v>69</v>
      </c>
      <c r="C1661" s="307" t="s">
        <v>133</v>
      </c>
      <c r="D1661" s="308"/>
      <c r="E1661" s="179"/>
      <c r="F1661" s="191" t="s">
        <v>71</v>
      </c>
      <c r="G1661" s="202" t="s">
        <v>156</v>
      </c>
      <c r="H1661" s="202" t="s">
        <v>156</v>
      </c>
      <c r="I1661" s="202" t="s">
        <v>156</v>
      </c>
      <c r="J1661" s="202" t="s">
        <v>156</v>
      </c>
      <c r="K1661" s="202" t="s">
        <v>156</v>
      </c>
      <c r="L1661" s="202" t="s">
        <v>156</v>
      </c>
      <c r="M1661" s="89"/>
      <c r="N1661" s="219"/>
      <c r="O1661" s="199"/>
      <c r="P1661" s="200"/>
      <c r="Q1661" s="309"/>
      <c r="R1661" s="309"/>
      <c r="S1661" s="86"/>
      <c r="T1661" s="86"/>
      <c r="U1661" s="86"/>
      <c r="V1661" s="86"/>
      <c r="W1661" s="86"/>
      <c r="X1661" s="86"/>
      <c r="Y1661" s="86"/>
      <c r="Z1661" s="86"/>
      <c r="AA1661" s="86"/>
      <c r="AB1661" s="86"/>
      <c r="AC1661" s="86"/>
    </row>
    <row r="1662" spans="1:29" ht="30" customHeight="1">
      <c r="A1662" s="189">
        <v>33</v>
      </c>
      <c r="B1662" s="188" t="s">
        <v>69</v>
      </c>
      <c r="C1662" s="307" t="s">
        <v>88</v>
      </c>
      <c r="D1662" s="308"/>
      <c r="E1662" s="179"/>
      <c r="F1662" s="191" t="s">
        <v>71</v>
      </c>
      <c r="G1662" s="201">
        <v>3</v>
      </c>
      <c r="H1662" s="201">
        <v>7</v>
      </c>
      <c r="I1662" s="201">
        <v>7</v>
      </c>
      <c r="J1662" s="201">
        <v>3</v>
      </c>
      <c r="K1662" s="201">
        <v>7</v>
      </c>
      <c r="L1662" s="201">
        <v>7</v>
      </c>
      <c r="M1662" s="89"/>
      <c r="N1662" s="219"/>
      <c r="O1662" s="199"/>
      <c r="P1662" s="200"/>
      <c r="Q1662" s="309"/>
      <c r="R1662" s="309"/>
      <c r="S1662" s="86"/>
      <c r="T1662" s="86"/>
      <c r="U1662" s="86"/>
      <c r="V1662" s="86"/>
      <c r="W1662" s="86"/>
      <c r="X1662" s="86"/>
      <c r="Y1662" s="86"/>
      <c r="Z1662" s="86"/>
      <c r="AA1662" s="86"/>
      <c r="AB1662" s="86"/>
      <c r="AC1662" s="86"/>
    </row>
    <row r="1663" spans="1:29" ht="30" customHeight="1">
      <c r="A1663" s="189">
        <v>34</v>
      </c>
      <c r="B1663" s="188" t="s">
        <v>69</v>
      </c>
      <c r="C1663" s="307" t="s">
        <v>89</v>
      </c>
      <c r="D1663" s="308"/>
      <c r="E1663" s="179"/>
      <c r="F1663" s="191" t="s">
        <v>71</v>
      </c>
      <c r="G1663" s="202" t="s">
        <v>156</v>
      </c>
      <c r="H1663" s="202" t="s">
        <v>156</v>
      </c>
      <c r="I1663" s="202" t="s">
        <v>156</v>
      </c>
      <c r="J1663" s="202" t="s">
        <v>156</v>
      </c>
      <c r="K1663" s="202" t="s">
        <v>156</v>
      </c>
      <c r="L1663" s="202" t="s">
        <v>156</v>
      </c>
      <c r="M1663" s="89"/>
      <c r="N1663" s="219"/>
      <c r="O1663" s="199"/>
      <c r="P1663" s="200"/>
      <c r="Q1663" s="309"/>
      <c r="R1663" s="309"/>
      <c r="S1663" s="86"/>
      <c r="T1663" s="86"/>
      <c r="U1663" s="86"/>
      <c r="V1663" s="86"/>
      <c r="W1663" s="86"/>
      <c r="X1663" s="86"/>
      <c r="Y1663" s="86"/>
      <c r="Z1663" s="86"/>
      <c r="AA1663" s="86"/>
      <c r="AB1663" s="86"/>
      <c r="AC1663" s="86"/>
    </row>
    <row r="1664" spans="1:29" ht="30" customHeight="1">
      <c r="A1664" s="189">
        <v>35</v>
      </c>
      <c r="B1664" s="188" t="s">
        <v>69</v>
      </c>
      <c r="C1664" s="307" t="s">
        <v>140</v>
      </c>
      <c r="D1664" s="308"/>
      <c r="E1664" s="179"/>
      <c r="F1664" s="191" t="s">
        <v>71</v>
      </c>
      <c r="G1664" s="202" t="s">
        <v>156</v>
      </c>
      <c r="H1664" s="202" t="s">
        <v>156</v>
      </c>
      <c r="I1664" s="201">
        <v>3</v>
      </c>
      <c r="J1664" s="202" t="s">
        <v>156</v>
      </c>
      <c r="K1664" s="202" t="s">
        <v>156</v>
      </c>
      <c r="L1664" s="201">
        <v>3</v>
      </c>
      <c r="M1664" s="89"/>
      <c r="N1664" s="220"/>
      <c r="O1664" s="199"/>
      <c r="P1664" s="200"/>
      <c r="Q1664" s="309"/>
      <c r="R1664" s="309"/>
      <c r="S1664" s="86"/>
      <c r="T1664" s="86"/>
      <c r="U1664" s="86"/>
      <c r="V1664" s="86"/>
      <c r="W1664" s="86"/>
      <c r="X1664" s="86"/>
      <c r="Y1664" s="86"/>
      <c r="Z1664" s="86"/>
      <c r="AA1664" s="86"/>
      <c r="AB1664" s="86"/>
      <c r="AC1664" s="86"/>
    </row>
    <row r="1665" spans="1:29" ht="30" customHeight="1">
      <c r="A1665" s="189">
        <v>36</v>
      </c>
      <c r="B1665" s="188" t="s">
        <v>69</v>
      </c>
      <c r="C1665" s="307" t="s">
        <v>134</v>
      </c>
      <c r="D1665" s="308"/>
      <c r="E1665" s="179"/>
      <c r="F1665" s="191" t="s">
        <v>71</v>
      </c>
      <c r="G1665" s="202" t="s">
        <v>156</v>
      </c>
      <c r="H1665" s="202" t="s">
        <v>156</v>
      </c>
      <c r="I1665" s="202" t="s">
        <v>156</v>
      </c>
      <c r="J1665" s="202" t="s">
        <v>156</v>
      </c>
      <c r="K1665" s="202" t="s">
        <v>156</v>
      </c>
      <c r="L1665" s="202" t="s">
        <v>156</v>
      </c>
      <c r="M1665" s="89"/>
      <c r="N1665" s="220"/>
      <c r="O1665" s="199"/>
      <c r="P1665" s="200"/>
      <c r="Q1665" s="309"/>
      <c r="R1665" s="309"/>
      <c r="S1665" s="86"/>
      <c r="T1665" s="86"/>
      <c r="U1665" s="86"/>
      <c r="V1665" s="86"/>
      <c r="W1665" s="86"/>
      <c r="X1665" s="86"/>
      <c r="Y1665" s="86"/>
      <c r="Z1665" s="86"/>
      <c r="AA1665" s="86"/>
      <c r="AB1665" s="86"/>
      <c r="AC1665" s="86"/>
    </row>
    <row r="1666" spans="1:29" ht="30" customHeight="1">
      <c r="A1666" s="189">
        <v>37</v>
      </c>
      <c r="B1666" s="188" t="s">
        <v>69</v>
      </c>
      <c r="C1666" s="307" t="s">
        <v>90</v>
      </c>
      <c r="D1666" s="308"/>
      <c r="E1666" s="179"/>
      <c r="F1666" s="191" t="s">
        <v>71</v>
      </c>
      <c r="G1666" s="202" t="s">
        <v>156</v>
      </c>
      <c r="H1666" s="202" t="s">
        <v>156</v>
      </c>
      <c r="I1666" s="202" t="s">
        <v>156</v>
      </c>
      <c r="J1666" s="202" t="s">
        <v>156</v>
      </c>
      <c r="K1666" s="202" t="s">
        <v>156</v>
      </c>
      <c r="L1666" s="202" t="s">
        <v>156</v>
      </c>
      <c r="M1666" s="89"/>
      <c r="N1666" s="220"/>
      <c r="O1666" s="199"/>
      <c r="P1666" s="200"/>
      <c r="Q1666" s="309"/>
      <c r="R1666" s="309"/>
      <c r="S1666" s="86"/>
      <c r="T1666" s="86"/>
      <c r="U1666" s="86"/>
      <c r="V1666" s="86"/>
      <c r="W1666" s="86"/>
      <c r="X1666" s="86"/>
      <c r="Y1666" s="86"/>
      <c r="Z1666" s="86"/>
      <c r="AA1666" s="86"/>
      <c r="AB1666" s="86"/>
      <c r="AC1666" s="86"/>
    </row>
    <row r="1667" spans="1:29" ht="30" customHeight="1">
      <c r="A1667" s="189">
        <v>38</v>
      </c>
      <c r="B1667" s="188" t="s">
        <v>69</v>
      </c>
      <c r="C1667" s="307" t="s">
        <v>106</v>
      </c>
      <c r="D1667" s="308"/>
      <c r="E1667" s="150"/>
      <c r="F1667" s="191" t="s">
        <v>71</v>
      </c>
      <c r="G1667" s="202" t="s">
        <v>156</v>
      </c>
      <c r="H1667" s="202" t="s">
        <v>156</v>
      </c>
      <c r="I1667" s="202" t="s">
        <v>156</v>
      </c>
      <c r="J1667" s="202" t="s">
        <v>156</v>
      </c>
      <c r="K1667" s="202" t="s">
        <v>156</v>
      </c>
      <c r="L1667" s="202" t="s">
        <v>156</v>
      </c>
      <c r="M1667" s="89"/>
      <c r="N1667" s="220"/>
      <c r="O1667" s="199"/>
      <c r="P1667" s="200"/>
      <c r="Q1667" s="309"/>
      <c r="R1667" s="309"/>
      <c r="S1667" s="86"/>
      <c r="T1667" s="86"/>
      <c r="U1667" s="86"/>
      <c r="V1667" s="86"/>
      <c r="W1667" s="86"/>
      <c r="X1667" s="86"/>
      <c r="Y1667" s="86"/>
      <c r="Z1667" s="86"/>
      <c r="AA1667" s="86"/>
      <c r="AB1667" s="86"/>
      <c r="AC1667" s="86"/>
    </row>
    <row r="1668" spans="1:29" ht="25.5" customHeight="1">
      <c r="A1668" s="310" t="s">
        <v>92</v>
      </c>
      <c r="B1668" s="310"/>
      <c r="C1668" s="310"/>
      <c r="D1668" s="310"/>
      <c r="E1668" s="310"/>
      <c r="F1668" s="310"/>
      <c r="G1668" s="310"/>
      <c r="H1668" s="310"/>
      <c r="I1668" s="310"/>
      <c r="J1668" s="310"/>
      <c r="K1668" s="310"/>
      <c r="L1668" s="310"/>
      <c r="M1668" s="92"/>
    </row>
    <row r="1669" spans="1:29" ht="19.5" customHeight="1">
      <c r="A1669" s="139"/>
      <c r="B1669" s="139"/>
      <c r="C1669" s="140"/>
      <c r="D1669" s="140" t="s">
        <v>145</v>
      </c>
      <c r="E1669" s="140"/>
      <c r="F1669" s="152" t="s">
        <v>54</v>
      </c>
      <c r="G1669" s="152"/>
      <c r="H1669" s="152"/>
      <c r="I1669" s="152"/>
      <c r="J1669" s="152" t="s">
        <v>144</v>
      </c>
      <c r="K1669" s="152"/>
      <c r="L1669" s="140"/>
      <c r="M1669" s="94"/>
    </row>
    <row r="1670" spans="1:29" ht="28.5" customHeight="1">
      <c r="A1670" s="310" t="s">
        <v>93</v>
      </c>
      <c r="B1670" s="310"/>
      <c r="C1670" s="310"/>
      <c r="D1670" s="310"/>
      <c r="E1670" s="310"/>
      <c r="F1670" s="310"/>
      <c r="G1670" s="310"/>
      <c r="H1670" s="310"/>
      <c r="I1670" s="310"/>
      <c r="J1670" s="310"/>
      <c r="K1670" s="310"/>
      <c r="L1670" s="310"/>
      <c r="M1670" s="92"/>
      <c r="N1670" s="311"/>
      <c r="O1670" s="311"/>
      <c r="P1670" s="311"/>
    </row>
    <row r="1671" spans="1:29" ht="20.25" customHeight="1">
      <c r="A1671" s="139"/>
      <c r="B1671" s="139"/>
      <c r="C1671" s="139"/>
      <c r="D1671" s="140" t="s">
        <v>145</v>
      </c>
      <c r="E1671" s="140"/>
      <c r="F1671" s="152" t="s">
        <v>54</v>
      </c>
      <c r="G1671" s="152"/>
      <c r="H1671" s="152"/>
      <c r="I1671" s="152"/>
      <c r="J1671" s="152" t="s">
        <v>144</v>
      </c>
      <c r="K1671" s="152"/>
      <c r="L1671" s="139"/>
      <c r="M1671" s="94"/>
      <c r="N1671" s="221"/>
      <c r="O1671" s="95"/>
      <c r="P1671" s="95"/>
    </row>
    <row r="1672" spans="1:29" ht="26.25" customHeight="1">
      <c r="A1672" s="312" t="s">
        <v>94</v>
      </c>
      <c r="B1672" s="312"/>
      <c r="C1672" s="312"/>
      <c r="D1672" s="312"/>
      <c r="E1672" s="312"/>
      <c r="F1672" s="312"/>
      <c r="G1672" s="312"/>
      <c r="H1672" s="312"/>
      <c r="I1672" s="312"/>
      <c r="J1672" s="312"/>
      <c r="K1672" s="312"/>
      <c r="L1672" s="312"/>
      <c r="M1672" s="92"/>
    </row>
    <row r="1673" spans="1:29" ht="22.5" customHeight="1">
      <c r="A1673" s="120"/>
      <c r="B1673" s="120"/>
      <c r="C1673" s="120"/>
      <c r="D1673" s="120"/>
      <c r="E1673" s="120"/>
      <c r="F1673" s="120"/>
      <c r="G1673" s="120"/>
      <c r="H1673" s="120"/>
      <c r="I1673" s="120"/>
      <c r="J1673" s="120"/>
      <c r="K1673" s="120"/>
      <c r="L1673" s="120"/>
      <c r="M1673" s="94"/>
    </row>
    <row r="1674" spans="1:29" ht="22.5" customHeight="1">
      <c r="A1674" s="313" t="s">
        <v>95</v>
      </c>
      <c r="B1674" s="313"/>
      <c r="C1674" s="313"/>
      <c r="D1674" s="313"/>
      <c r="E1674" s="313"/>
      <c r="F1674" s="313"/>
      <c r="G1674" s="313"/>
      <c r="H1674" s="313"/>
      <c r="I1674" s="313"/>
      <c r="J1674" s="313"/>
      <c r="K1674" s="313"/>
      <c r="L1674" s="313"/>
      <c r="M1674" s="92"/>
    </row>
    <row r="1675" spans="1:29" ht="19.5" customHeight="1">
      <c r="A1675" s="97"/>
      <c r="B1675" s="97"/>
      <c r="C1675" s="145"/>
      <c r="D1675" s="97"/>
      <c r="E1675" s="97"/>
      <c r="F1675" s="97"/>
      <c r="G1675" s="97"/>
      <c r="H1675" s="97"/>
      <c r="I1675" s="97"/>
      <c r="J1675" s="97"/>
      <c r="K1675" s="97"/>
      <c r="L1675" s="97"/>
      <c r="M1675" s="94"/>
    </row>
    <row r="1676" spans="1:29" ht="15.75">
      <c r="A1676" s="94"/>
      <c r="B1676" s="94"/>
      <c r="C1676" s="146"/>
      <c r="D1676" s="94"/>
      <c r="E1676" s="94"/>
      <c r="F1676" s="94"/>
      <c r="G1676" s="94"/>
      <c r="H1676" s="94"/>
      <c r="I1676" s="94"/>
      <c r="J1676" s="94"/>
      <c r="K1676" s="94"/>
      <c r="L1676" s="94"/>
      <c r="M1676" s="94"/>
    </row>
    <row r="1677" spans="1:29" ht="31.5" customHeight="1">
      <c r="A1677" s="314" t="s">
        <v>96</v>
      </c>
      <c r="B1677" s="314"/>
      <c r="C1677" s="314"/>
      <c r="D1677" s="314"/>
      <c r="E1677" s="98"/>
      <c r="F1677" s="98"/>
      <c r="G1677" s="98"/>
      <c r="H1677" s="315" t="s">
        <v>97</v>
      </c>
      <c r="I1677" s="315"/>
      <c r="J1677" s="315"/>
      <c r="K1677" s="315"/>
      <c r="L1677" s="315"/>
      <c r="M1677" s="94"/>
    </row>
    <row r="1678" spans="1:29" ht="95.1" customHeight="1">
      <c r="A1678" s="99"/>
      <c r="B1678" s="101" t="str">
        <f>B1608</f>
        <v>Ông Huỳnh Phước Hải        ….............</v>
      </c>
      <c r="C1678" s="147"/>
      <c r="D1678" s="99"/>
      <c r="E1678" s="81"/>
      <c r="F1678" s="100"/>
      <c r="G1678" s="100"/>
      <c r="H1678" s="306" t="str">
        <f>H1608</f>
        <v>Ông Phạm Tấn Việt          …..................</v>
      </c>
      <c r="I1678" s="306"/>
      <c r="J1678" s="306"/>
      <c r="K1678" s="306"/>
      <c r="L1678" s="306"/>
      <c r="M1678" s="94"/>
    </row>
    <row r="1679" spans="1:29" ht="21.75" customHeight="1">
      <c r="A1679" s="99"/>
      <c r="B1679" s="101"/>
      <c r="C1679" s="147"/>
      <c r="D1679" s="99"/>
      <c r="E1679" s="81"/>
      <c r="F1679" s="100"/>
      <c r="G1679" s="100"/>
      <c r="H1679" s="204"/>
      <c r="I1679" s="204"/>
      <c r="J1679" s="204"/>
      <c r="K1679" s="204"/>
      <c r="L1679" s="204"/>
      <c r="M1679" s="94"/>
    </row>
    <row r="1680" spans="1:29" ht="21.75" customHeight="1">
      <c r="A1680" s="348" t="s">
        <v>165</v>
      </c>
      <c r="B1680" s="348"/>
      <c r="C1680" s="348"/>
      <c r="D1680" s="348"/>
      <c r="E1680" s="348"/>
      <c r="F1680" s="348"/>
      <c r="G1680" s="348"/>
      <c r="H1680" s="348"/>
      <c r="I1680" s="348"/>
      <c r="J1680" s="348"/>
      <c r="K1680" s="348"/>
      <c r="L1680" s="348"/>
      <c r="M1680" s="82"/>
    </row>
    <row r="1681" spans="1:29" ht="19.5">
      <c r="A1681" s="84" t="str">
        <f>"Ngày "&amp;N1682&amp;" tháng "&amp;O3&amp;" năm "&amp;P3&amp;""</f>
        <v>Ngày 25 tháng 07 năm 2026</v>
      </c>
      <c r="B1681" s="84"/>
      <c r="C1681" s="85"/>
      <c r="N1681" s="216"/>
      <c r="O1681" s="20"/>
      <c r="P1681" s="20"/>
    </row>
    <row r="1682" spans="1:29" ht="16.5">
      <c r="A1682" s="337" t="s">
        <v>57</v>
      </c>
      <c r="B1682" s="337"/>
      <c r="C1682" s="337"/>
      <c r="D1682" s="311"/>
      <c r="E1682" s="311"/>
      <c r="F1682" s="311"/>
      <c r="G1682" s="95"/>
      <c r="H1682" s="95"/>
      <c r="I1682" s="95"/>
      <c r="J1682" s="95"/>
      <c r="K1682" s="95"/>
      <c r="L1682" s="95"/>
      <c r="N1682" s="217" t="s">
        <v>187</v>
      </c>
      <c r="O1682" s="214"/>
      <c r="P1682" s="17"/>
    </row>
    <row r="1683" spans="1:29" ht="15.75" customHeight="1">
      <c r="A1683" s="338"/>
      <c r="B1683" s="338"/>
      <c r="C1683" s="338"/>
      <c r="D1683" s="339" t="s">
        <v>58</v>
      </c>
      <c r="E1683" s="340"/>
      <c r="F1683" s="340"/>
      <c r="G1683" s="340"/>
      <c r="H1683" s="341"/>
      <c r="I1683" s="339" t="s">
        <v>59</v>
      </c>
      <c r="J1683" s="340"/>
      <c r="K1683" s="340"/>
      <c r="L1683" s="341"/>
    </row>
    <row r="1684" spans="1:29" ht="19.5" customHeight="1">
      <c r="A1684" s="342" t="s">
        <v>60</v>
      </c>
      <c r="B1684" s="342"/>
      <c r="C1684" s="342"/>
      <c r="D1684" s="343" t="s">
        <v>54</v>
      </c>
      <c r="E1684" s="344"/>
      <c r="F1684" s="344"/>
      <c r="G1684" s="344"/>
      <c r="H1684" s="345"/>
      <c r="I1684" s="343" t="s">
        <v>54</v>
      </c>
      <c r="J1684" s="344"/>
      <c r="K1684" s="344"/>
      <c r="L1684" s="345"/>
    </row>
    <row r="1685" spans="1:29" ht="22.5" customHeight="1">
      <c r="A1685" s="342" t="s">
        <v>61</v>
      </c>
      <c r="B1685" s="342"/>
      <c r="C1685" s="342"/>
      <c r="D1685" s="343" t="s">
        <v>163</v>
      </c>
      <c r="E1685" s="344"/>
      <c r="F1685" s="344"/>
      <c r="G1685" s="344"/>
      <c r="H1685" s="345"/>
      <c r="I1685" s="343" t="str">
        <f>D1685</f>
        <v>31° - 34°</v>
      </c>
      <c r="J1685" s="344"/>
      <c r="K1685" s="344"/>
      <c r="L1685" s="345"/>
    </row>
    <row r="1686" spans="1:29" s="87" customFormat="1" ht="19.5" customHeight="1">
      <c r="A1686" s="310" t="s">
        <v>62</v>
      </c>
      <c r="B1686" s="310"/>
      <c r="C1686" s="310"/>
      <c r="D1686" s="310"/>
      <c r="E1686" s="310"/>
      <c r="F1686" s="310"/>
      <c r="G1686" s="310"/>
      <c r="H1686" s="310"/>
      <c r="I1686" s="310"/>
      <c r="J1686" s="310"/>
      <c r="K1686" s="310"/>
      <c r="L1686" s="310"/>
      <c r="M1686" s="85"/>
      <c r="N1686" s="218"/>
    </row>
    <row r="1687" spans="1:29" s="87" customFormat="1" ht="15.75">
      <c r="A1687" s="332" t="s">
        <v>63</v>
      </c>
      <c r="B1687" s="332"/>
      <c r="C1687" s="332"/>
      <c r="D1687" s="332"/>
      <c r="E1687" s="332"/>
      <c r="F1687" s="332"/>
      <c r="G1687" s="332"/>
      <c r="H1687" s="332"/>
      <c r="I1687" s="332"/>
      <c r="J1687" s="332"/>
      <c r="K1687" s="332"/>
      <c r="L1687" s="332"/>
      <c r="M1687" s="85"/>
      <c r="N1687" s="218"/>
    </row>
    <row r="1688" spans="1:29" s="87" customFormat="1" ht="20.100000000000001" customHeight="1">
      <c r="A1688" s="88"/>
      <c r="B1688" s="88"/>
      <c r="C1688" s="333" t="s">
        <v>64</v>
      </c>
      <c r="D1688" s="334"/>
      <c r="E1688" s="334"/>
      <c r="F1688" s="334"/>
      <c r="G1688" s="334"/>
      <c r="H1688" s="334"/>
      <c r="I1688" s="334"/>
      <c r="J1688" s="334"/>
      <c r="K1688" s="334"/>
      <c r="L1688" s="334"/>
      <c r="M1688" s="85"/>
      <c r="N1688" s="218"/>
    </row>
    <row r="1689" spans="1:29" s="87" customFormat="1" ht="20.100000000000001" customHeight="1">
      <c r="A1689" s="88"/>
      <c r="B1689" s="88"/>
      <c r="C1689" s="333" t="s">
        <v>65</v>
      </c>
      <c r="D1689" s="334"/>
      <c r="E1689" s="334"/>
      <c r="F1689" s="334"/>
      <c r="G1689" s="334"/>
      <c r="H1689" s="334"/>
      <c r="I1689" s="334"/>
      <c r="J1689" s="334"/>
      <c r="K1689" s="334"/>
      <c r="L1689" s="334"/>
      <c r="M1689" s="85"/>
      <c r="N1689" s="218"/>
    </row>
    <row r="1690" spans="1:29" s="87" customFormat="1" ht="17.25" customHeight="1">
      <c r="A1690" s="335" t="s">
        <v>66</v>
      </c>
      <c r="B1690" s="335"/>
      <c r="C1690" s="335"/>
      <c r="D1690" s="335"/>
      <c r="E1690" s="335"/>
      <c r="F1690" s="335"/>
      <c r="G1690" s="335"/>
      <c r="H1690" s="335"/>
      <c r="I1690" s="335"/>
      <c r="J1690" s="335"/>
      <c r="K1690" s="335"/>
      <c r="L1690" s="335"/>
      <c r="M1690" s="85"/>
      <c r="N1690" s="218"/>
    </row>
    <row r="1691" spans="1:29" s="87" customFormat="1" ht="7.5" customHeight="1">
      <c r="A1691" s="119"/>
      <c r="B1691" s="119"/>
      <c r="C1691" s="119"/>
      <c r="D1691" s="119"/>
      <c r="E1691" s="119"/>
      <c r="F1691" s="119"/>
      <c r="G1691" s="119"/>
      <c r="H1691" s="119"/>
      <c r="I1691" s="119"/>
      <c r="J1691" s="119"/>
      <c r="K1691" s="119"/>
      <c r="L1691" s="119"/>
      <c r="M1691" s="85"/>
      <c r="N1691" s="218"/>
    </row>
    <row r="1692" spans="1:29" ht="15.75">
      <c r="A1692" s="336" t="s">
        <v>67</v>
      </c>
      <c r="B1692" s="336"/>
      <c r="C1692" s="336"/>
      <c r="D1692" s="336"/>
      <c r="E1692" s="336"/>
      <c r="F1692" s="336"/>
      <c r="G1692" s="336"/>
      <c r="H1692" s="336"/>
      <c r="I1692" s="336"/>
      <c r="J1692" s="336"/>
      <c r="K1692" s="336"/>
      <c r="L1692" s="336"/>
    </row>
    <row r="1693" spans="1:29" ht="2.25" customHeight="1">
      <c r="A1693" s="141"/>
      <c r="B1693" s="141"/>
      <c r="C1693" s="141"/>
      <c r="D1693" s="141"/>
      <c r="E1693" s="141"/>
      <c r="F1693" s="141"/>
      <c r="G1693" s="155"/>
      <c r="H1693" s="155"/>
      <c r="I1693" s="155"/>
      <c r="J1693" s="155"/>
      <c r="K1693" s="155"/>
      <c r="L1693" s="155"/>
    </row>
    <row r="1694" spans="1:29" ht="27.75" customHeight="1">
      <c r="A1694" s="317" t="s">
        <v>135</v>
      </c>
      <c r="B1694" s="318"/>
      <c r="C1694" s="317" t="s">
        <v>68</v>
      </c>
      <c r="D1694" s="318"/>
      <c r="E1694" s="183"/>
      <c r="F1694" s="321" t="s">
        <v>136</v>
      </c>
      <c r="G1694" s="322" t="s">
        <v>155</v>
      </c>
      <c r="H1694" s="323"/>
      <c r="I1694" s="323"/>
      <c r="J1694" s="322" t="s">
        <v>154</v>
      </c>
      <c r="K1694" s="323"/>
      <c r="L1694" s="324"/>
      <c r="M1694" s="92"/>
      <c r="O1694" s="325"/>
      <c r="P1694" s="325"/>
      <c r="Q1694" s="325"/>
      <c r="R1694" s="325"/>
      <c r="S1694" s="316"/>
      <c r="T1694" s="316"/>
      <c r="U1694" s="316"/>
      <c r="V1694" s="316"/>
      <c r="W1694" s="316"/>
      <c r="X1694" s="316"/>
      <c r="Y1694" s="316"/>
      <c r="Z1694" s="316"/>
      <c r="AA1694" s="316"/>
      <c r="AB1694" s="316"/>
      <c r="AC1694" s="316"/>
    </row>
    <row r="1695" spans="1:29" ht="125.25" customHeight="1">
      <c r="A1695" s="319"/>
      <c r="B1695" s="320"/>
      <c r="C1695" s="319"/>
      <c r="D1695" s="320"/>
      <c r="E1695" s="184"/>
      <c r="F1695" s="321"/>
      <c r="G1695" s="153" t="s">
        <v>151</v>
      </c>
      <c r="H1695" s="153" t="s">
        <v>152</v>
      </c>
      <c r="I1695" s="153" t="s">
        <v>153</v>
      </c>
      <c r="J1695" s="153" t="s">
        <v>151</v>
      </c>
      <c r="K1695" s="153" t="s">
        <v>152</v>
      </c>
      <c r="L1695" s="153" t="s">
        <v>153</v>
      </c>
      <c r="O1695" s="325"/>
      <c r="P1695" s="325"/>
      <c r="Q1695" s="325"/>
      <c r="R1695" s="325"/>
      <c r="S1695" s="193"/>
      <c r="T1695" s="193"/>
      <c r="U1695" s="193"/>
      <c r="V1695" s="193"/>
      <c r="W1695" s="193"/>
      <c r="X1695" s="193"/>
      <c r="Y1695" s="193"/>
      <c r="Z1695" s="193"/>
      <c r="AA1695" s="193"/>
      <c r="AB1695" s="193"/>
      <c r="AC1695" s="193"/>
    </row>
    <row r="1696" spans="1:29" ht="24.75" customHeight="1">
      <c r="A1696" s="190" t="s">
        <v>128</v>
      </c>
      <c r="B1696" s="142"/>
      <c r="C1696" s="330" t="s">
        <v>129</v>
      </c>
      <c r="D1696" s="330"/>
      <c r="E1696" s="330"/>
      <c r="F1696" s="330"/>
      <c r="G1696" s="330"/>
      <c r="H1696" s="330"/>
      <c r="I1696" s="330"/>
      <c r="J1696" s="330"/>
      <c r="K1696" s="330"/>
      <c r="L1696" s="330"/>
      <c r="M1696" s="93"/>
      <c r="O1696" s="156"/>
      <c r="P1696" s="142"/>
      <c r="Q1696" s="331"/>
      <c r="R1696" s="331"/>
      <c r="S1696" s="331"/>
      <c r="T1696" s="331"/>
      <c r="U1696" s="331"/>
      <c r="V1696" s="331"/>
      <c r="W1696" s="331"/>
      <c r="X1696" s="331"/>
      <c r="Y1696" s="331"/>
      <c r="Z1696" s="331"/>
      <c r="AA1696" s="331"/>
      <c r="AB1696" s="331"/>
      <c r="AC1696" s="331"/>
    </row>
    <row r="1697" spans="1:29" ht="20.100000000000001" customHeight="1">
      <c r="A1697" s="187">
        <v>1</v>
      </c>
      <c r="B1697" s="185" t="s">
        <v>69</v>
      </c>
      <c r="C1697" s="326" t="s">
        <v>70</v>
      </c>
      <c r="D1697" s="326"/>
      <c r="E1697" s="176"/>
      <c r="F1697" s="144" t="s">
        <v>71</v>
      </c>
      <c r="G1697" s="203" t="s">
        <v>156</v>
      </c>
      <c r="H1697" s="202" t="s">
        <v>156</v>
      </c>
      <c r="I1697" s="201">
        <v>1</v>
      </c>
      <c r="J1697" s="202" t="s">
        <v>156</v>
      </c>
      <c r="K1697" s="202" t="s">
        <v>156</v>
      </c>
      <c r="L1697" s="201">
        <v>1</v>
      </c>
      <c r="M1697" s="93"/>
      <c r="O1697" s="195"/>
      <c r="P1697" s="196"/>
      <c r="Q1697" s="327"/>
      <c r="R1697" s="327"/>
      <c r="S1697" s="86"/>
      <c r="T1697" s="86"/>
      <c r="U1697" s="86"/>
      <c r="V1697" s="86"/>
      <c r="W1697" s="194"/>
      <c r="X1697" s="194"/>
      <c r="Y1697" s="194"/>
      <c r="Z1697" s="194"/>
      <c r="AA1697" s="194"/>
      <c r="AB1697" s="194"/>
      <c r="AC1697" s="194"/>
    </row>
    <row r="1698" spans="1:29" ht="20.100000000000001" customHeight="1">
      <c r="A1698" s="187">
        <v>2</v>
      </c>
      <c r="B1698" s="185" t="s">
        <v>69</v>
      </c>
      <c r="C1698" s="326" t="s">
        <v>72</v>
      </c>
      <c r="D1698" s="326"/>
      <c r="E1698" s="176"/>
      <c r="F1698" s="144" t="s">
        <v>71</v>
      </c>
      <c r="G1698" s="203" t="s">
        <v>156</v>
      </c>
      <c r="H1698" s="202" t="s">
        <v>156</v>
      </c>
      <c r="I1698" s="202" t="s">
        <v>156</v>
      </c>
      <c r="J1698" s="202" t="s">
        <v>156</v>
      </c>
      <c r="K1698" s="202" t="s">
        <v>156</v>
      </c>
      <c r="L1698" s="202" t="s">
        <v>156</v>
      </c>
      <c r="M1698" s="93"/>
      <c r="O1698" s="195"/>
      <c r="P1698" s="196"/>
      <c r="Q1698" s="327"/>
      <c r="R1698" s="327"/>
      <c r="S1698" s="194"/>
      <c r="T1698" s="194"/>
      <c r="U1698" s="194"/>
      <c r="V1698" s="86"/>
      <c r="W1698" s="86"/>
      <c r="X1698" s="86"/>
      <c r="Y1698" s="86"/>
      <c r="Z1698" s="194"/>
      <c r="AA1698" s="194"/>
      <c r="AB1698" s="194"/>
      <c r="AC1698" s="194"/>
    </row>
    <row r="1699" spans="1:29" ht="20.100000000000001" customHeight="1">
      <c r="A1699" s="187">
        <v>3</v>
      </c>
      <c r="B1699" s="185" t="s">
        <v>69</v>
      </c>
      <c r="C1699" s="326" t="s">
        <v>73</v>
      </c>
      <c r="D1699" s="326"/>
      <c r="E1699" s="176"/>
      <c r="F1699" s="144" t="s">
        <v>71</v>
      </c>
      <c r="G1699" s="203" t="s">
        <v>156</v>
      </c>
      <c r="H1699" s="202" t="s">
        <v>156</v>
      </c>
      <c r="I1699" s="202" t="s">
        <v>156</v>
      </c>
      <c r="J1699" s="202" t="s">
        <v>156</v>
      </c>
      <c r="K1699" s="202" t="s">
        <v>156</v>
      </c>
      <c r="L1699" s="202" t="s">
        <v>156</v>
      </c>
      <c r="M1699" s="93"/>
      <c r="O1699" s="195"/>
      <c r="P1699" s="196"/>
      <c r="Q1699" s="327"/>
      <c r="R1699" s="327"/>
      <c r="S1699" s="194"/>
      <c r="T1699" s="86"/>
      <c r="U1699" s="86"/>
      <c r="V1699" s="86"/>
      <c r="W1699" s="86"/>
      <c r="X1699" s="194"/>
      <c r="Y1699" s="194"/>
      <c r="Z1699" s="194"/>
      <c r="AA1699" s="194"/>
      <c r="AB1699" s="194"/>
      <c r="AC1699" s="194"/>
    </row>
    <row r="1700" spans="1:29" ht="20.100000000000001" customHeight="1">
      <c r="A1700" s="187">
        <v>4</v>
      </c>
      <c r="B1700" s="185" t="s">
        <v>69</v>
      </c>
      <c r="C1700" s="326" t="s">
        <v>98</v>
      </c>
      <c r="D1700" s="326"/>
      <c r="E1700" s="176"/>
      <c r="F1700" s="144" t="s">
        <v>71</v>
      </c>
      <c r="G1700" s="203" t="s">
        <v>156</v>
      </c>
      <c r="H1700" s="202" t="s">
        <v>156</v>
      </c>
      <c r="I1700" s="202" t="s">
        <v>156</v>
      </c>
      <c r="J1700" s="202" t="s">
        <v>156</v>
      </c>
      <c r="K1700" s="202" t="s">
        <v>156</v>
      </c>
      <c r="L1700" s="202" t="s">
        <v>156</v>
      </c>
      <c r="M1700" s="93"/>
      <c r="O1700" s="195"/>
      <c r="P1700" s="196"/>
      <c r="Q1700" s="327"/>
      <c r="R1700" s="327"/>
      <c r="S1700" s="194"/>
      <c r="T1700" s="194"/>
      <c r="U1700" s="194"/>
      <c r="V1700" s="194"/>
      <c r="W1700" s="194"/>
      <c r="X1700" s="194"/>
      <c r="Y1700" s="194"/>
      <c r="Z1700" s="86"/>
      <c r="AA1700" s="86"/>
      <c r="AB1700" s="86"/>
      <c r="AC1700" s="86"/>
    </row>
    <row r="1701" spans="1:29" ht="20.100000000000001" customHeight="1">
      <c r="A1701" s="187">
        <v>5</v>
      </c>
      <c r="B1701" s="185" t="s">
        <v>69</v>
      </c>
      <c r="C1701" s="326" t="s">
        <v>74</v>
      </c>
      <c r="D1701" s="326"/>
      <c r="E1701" s="176"/>
      <c r="F1701" s="144" t="s">
        <v>71</v>
      </c>
      <c r="G1701" s="203" t="s">
        <v>156</v>
      </c>
      <c r="H1701" s="202" t="s">
        <v>156</v>
      </c>
      <c r="I1701" s="202" t="s">
        <v>156</v>
      </c>
      <c r="J1701" s="202" t="s">
        <v>156</v>
      </c>
      <c r="K1701" s="202" t="s">
        <v>156</v>
      </c>
      <c r="L1701" s="202" t="s">
        <v>156</v>
      </c>
      <c r="M1701" s="93"/>
      <c r="O1701" s="195"/>
      <c r="P1701" s="196"/>
      <c r="Q1701" s="327"/>
      <c r="R1701" s="327"/>
      <c r="S1701" s="194"/>
      <c r="T1701" s="194"/>
      <c r="U1701" s="194"/>
      <c r="V1701" s="194"/>
      <c r="W1701" s="194"/>
      <c r="X1701" s="194"/>
      <c r="Y1701" s="194"/>
      <c r="Z1701" s="194"/>
      <c r="AA1701" s="194"/>
      <c r="AB1701" s="194"/>
      <c r="AC1701" s="194"/>
    </row>
    <row r="1702" spans="1:29" ht="20.100000000000001" customHeight="1">
      <c r="A1702" s="187">
        <v>6</v>
      </c>
      <c r="B1702" s="185" t="s">
        <v>69</v>
      </c>
      <c r="C1702" s="326" t="s">
        <v>75</v>
      </c>
      <c r="D1702" s="326"/>
      <c r="E1702" s="176"/>
      <c r="F1702" s="144" t="s">
        <v>71</v>
      </c>
      <c r="G1702" s="203" t="s">
        <v>156</v>
      </c>
      <c r="H1702" s="202" t="s">
        <v>156</v>
      </c>
      <c r="I1702" s="202" t="s">
        <v>156</v>
      </c>
      <c r="J1702" s="202" t="s">
        <v>156</v>
      </c>
      <c r="K1702" s="202" t="s">
        <v>156</v>
      </c>
      <c r="L1702" s="202" t="s">
        <v>156</v>
      </c>
      <c r="M1702" s="93"/>
      <c r="O1702" s="195"/>
      <c r="P1702" s="196"/>
      <c r="Q1702" s="327"/>
      <c r="R1702" s="327"/>
      <c r="S1702" s="194"/>
      <c r="T1702" s="194"/>
      <c r="U1702" s="194"/>
      <c r="V1702" s="194"/>
      <c r="W1702" s="194"/>
      <c r="X1702" s="194"/>
      <c r="Y1702" s="194"/>
      <c r="Z1702" s="194"/>
      <c r="AA1702" s="194"/>
      <c r="AB1702" s="194"/>
      <c r="AC1702" s="194"/>
    </row>
    <row r="1703" spans="1:29" ht="20.100000000000001" customHeight="1">
      <c r="A1703" s="187">
        <v>7</v>
      </c>
      <c r="B1703" s="185" t="s">
        <v>69</v>
      </c>
      <c r="C1703" s="326" t="s">
        <v>76</v>
      </c>
      <c r="D1703" s="326"/>
      <c r="E1703" s="176"/>
      <c r="F1703" s="144" t="s">
        <v>71</v>
      </c>
      <c r="G1703" s="203" t="s">
        <v>156</v>
      </c>
      <c r="H1703" s="202" t="s">
        <v>156</v>
      </c>
      <c r="I1703" s="202" t="s">
        <v>156</v>
      </c>
      <c r="J1703" s="202" t="s">
        <v>156</v>
      </c>
      <c r="K1703" s="202" t="s">
        <v>156</v>
      </c>
      <c r="L1703" s="202" t="s">
        <v>156</v>
      </c>
      <c r="M1703" s="93"/>
      <c r="O1703" s="195"/>
      <c r="P1703" s="196"/>
      <c r="Q1703" s="327"/>
      <c r="R1703" s="327"/>
      <c r="S1703" s="194"/>
      <c r="T1703" s="194"/>
      <c r="U1703" s="194"/>
      <c r="V1703" s="194"/>
      <c r="W1703" s="194"/>
      <c r="X1703" s="194"/>
      <c r="Y1703" s="194"/>
      <c r="Z1703" s="194"/>
      <c r="AA1703" s="194"/>
      <c r="AB1703" s="194"/>
      <c r="AC1703" s="194"/>
    </row>
    <row r="1704" spans="1:29" ht="20.100000000000001" customHeight="1">
      <c r="A1704" s="187">
        <v>8</v>
      </c>
      <c r="B1704" s="185" t="s">
        <v>69</v>
      </c>
      <c r="C1704" s="326" t="s">
        <v>99</v>
      </c>
      <c r="D1704" s="326"/>
      <c r="E1704" s="176"/>
      <c r="F1704" s="144" t="s">
        <v>71</v>
      </c>
      <c r="G1704" s="203" t="s">
        <v>156</v>
      </c>
      <c r="H1704" s="202" t="s">
        <v>156</v>
      </c>
      <c r="I1704" s="202" t="s">
        <v>156</v>
      </c>
      <c r="J1704" s="202" t="s">
        <v>156</v>
      </c>
      <c r="K1704" s="202" t="s">
        <v>156</v>
      </c>
      <c r="L1704" s="202" t="s">
        <v>156</v>
      </c>
      <c r="M1704" s="93"/>
      <c r="O1704" s="195"/>
      <c r="P1704" s="196"/>
      <c r="Q1704" s="327"/>
      <c r="R1704" s="327"/>
      <c r="S1704" s="194"/>
      <c r="T1704" s="194"/>
      <c r="U1704" s="194"/>
      <c r="V1704" s="194"/>
      <c r="W1704" s="194"/>
      <c r="X1704" s="194"/>
      <c r="Y1704" s="194"/>
      <c r="Z1704" s="194"/>
      <c r="AA1704" s="194"/>
      <c r="AB1704" s="194"/>
      <c r="AC1704" s="194"/>
    </row>
    <row r="1705" spans="1:29" ht="20.100000000000001" customHeight="1">
      <c r="A1705" s="187">
        <v>9</v>
      </c>
      <c r="B1705" s="185" t="s">
        <v>69</v>
      </c>
      <c r="C1705" s="326" t="s">
        <v>77</v>
      </c>
      <c r="D1705" s="326"/>
      <c r="E1705" s="176"/>
      <c r="F1705" s="144" t="s">
        <v>71</v>
      </c>
      <c r="G1705" s="203" t="s">
        <v>156</v>
      </c>
      <c r="H1705" s="202" t="s">
        <v>156</v>
      </c>
      <c r="I1705" s="202" t="s">
        <v>156</v>
      </c>
      <c r="J1705" s="202" t="s">
        <v>156</v>
      </c>
      <c r="K1705" s="202" t="s">
        <v>156</v>
      </c>
      <c r="L1705" s="202" t="s">
        <v>156</v>
      </c>
      <c r="M1705" s="93"/>
      <c r="O1705" s="195"/>
      <c r="P1705" s="196"/>
      <c r="Q1705" s="327"/>
      <c r="R1705" s="327"/>
      <c r="S1705" s="194"/>
      <c r="T1705" s="194"/>
      <c r="U1705" s="194"/>
      <c r="V1705" s="194"/>
      <c r="W1705" s="194"/>
      <c r="X1705" s="194"/>
      <c r="Y1705" s="194"/>
      <c r="Z1705" s="194"/>
      <c r="AA1705" s="194"/>
      <c r="AB1705" s="194"/>
      <c r="AC1705" s="194"/>
    </row>
    <row r="1706" spans="1:29" ht="20.100000000000001" customHeight="1">
      <c r="A1706" s="187">
        <v>10</v>
      </c>
      <c r="B1706" s="185" t="s">
        <v>69</v>
      </c>
      <c r="C1706" s="326" t="s">
        <v>78</v>
      </c>
      <c r="D1706" s="326"/>
      <c r="E1706" s="176"/>
      <c r="F1706" s="144" t="s">
        <v>71</v>
      </c>
      <c r="G1706" s="203" t="s">
        <v>156</v>
      </c>
      <c r="H1706" s="202" t="s">
        <v>156</v>
      </c>
      <c r="I1706" s="202" t="s">
        <v>156</v>
      </c>
      <c r="J1706" s="202" t="s">
        <v>156</v>
      </c>
      <c r="K1706" s="202" t="s">
        <v>156</v>
      </c>
      <c r="L1706" s="202" t="s">
        <v>156</v>
      </c>
      <c r="M1706" s="93"/>
      <c r="O1706" s="195"/>
      <c r="P1706" s="196"/>
      <c r="Q1706" s="327"/>
      <c r="R1706" s="327"/>
      <c r="S1706" s="194"/>
      <c r="T1706" s="194"/>
      <c r="U1706" s="194"/>
      <c r="V1706" s="194"/>
      <c r="W1706" s="194"/>
      <c r="X1706" s="194"/>
      <c r="Y1706" s="194"/>
      <c r="Z1706" s="194"/>
      <c r="AA1706" s="194"/>
      <c r="AB1706" s="194"/>
      <c r="AC1706" s="194"/>
    </row>
    <row r="1707" spans="1:29" ht="20.100000000000001" customHeight="1">
      <c r="A1707" s="187">
        <v>11</v>
      </c>
      <c r="B1707" s="185" t="s">
        <v>69</v>
      </c>
      <c r="C1707" s="326" t="s">
        <v>79</v>
      </c>
      <c r="D1707" s="326"/>
      <c r="E1707" s="176"/>
      <c r="F1707" s="144" t="s">
        <v>71</v>
      </c>
      <c r="G1707" s="203" t="s">
        <v>156</v>
      </c>
      <c r="H1707" s="202" t="s">
        <v>156</v>
      </c>
      <c r="I1707" s="202" t="s">
        <v>156</v>
      </c>
      <c r="J1707" s="202" t="s">
        <v>156</v>
      </c>
      <c r="K1707" s="202" t="s">
        <v>156</v>
      </c>
      <c r="L1707" s="202" t="s">
        <v>156</v>
      </c>
      <c r="M1707" s="93"/>
      <c r="O1707" s="195"/>
      <c r="P1707" s="196"/>
      <c r="Q1707" s="327"/>
      <c r="R1707" s="327"/>
      <c r="S1707" s="194"/>
      <c r="T1707" s="194"/>
      <c r="U1707" s="194"/>
      <c r="V1707" s="194"/>
      <c r="W1707" s="194"/>
      <c r="X1707" s="194"/>
      <c r="Y1707" s="194"/>
      <c r="Z1707" s="194"/>
      <c r="AA1707" s="194"/>
      <c r="AB1707" s="194"/>
      <c r="AC1707" s="194"/>
    </row>
    <row r="1708" spans="1:29" ht="20.100000000000001" customHeight="1">
      <c r="A1708" s="187">
        <v>12</v>
      </c>
      <c r="B1708" s="185" t="s">
        <v>69</v>
      </c>
      <c r="C1708" s="326" t="s">
        <v>100</v>
      </c>
      <c r="D1708" s="326"/>
      <c r="E1708" s="176"/>
      <c r="F1708" s="144" t="s">
        <v>71</v>
      </c>
      <c r="G1708" s="203" t="s">
        <v>156</v>
      </c>
      <c r="H1708" s="202" t="s">
        <v>156</v>
      </c>
      <c r="I1708" s="202" t="s">
        <v>156</v>
      </c>
      <c r="J1708" s="202" t="s">
        <v>156</v>
      </c>
      <c r="K1708" s="202" t="s">
        <v>156</v>
      </c>
      <c r="L1708" s="202" t="s">
        <v>156</v>
      </c>
      <c r="M1708" s="93"/>
      <c r="O1708" s="195"/>
      <c r="P1708" s="196"/>
      <c r="Q1708" s="327"/>
      <c r="R1708" s="327"/>
      <c r="S1708" s="194"/>
      <c r="T1708" s="194"/>
      <c r="U1708" s="194"/>
      <c r="V1708" s="194"/>
      <c r="W1708" s="194"/>
      <c r="X1708" s="194"/>
      <c r="Y1708" s="194"/>
      <c r="Z1708" s="194"/>
      <c r="AA1708" s="194"/>
      <c r="AB1708" s="194"/>
      <c r="AC1708" s="194"/>
    </row>
    <row r="1709" spans="1:29" ht="20.100000000000001" customHeight="1">
      <c r="A1709" s="187">
        <v>13</v>
      </c>
      <c r="B1709" s="185" t="s">
        <v>69</v>
      </c>
      <c r="C1709" s="326" t="s">
        <v>80</v>
      </c>
      <c r="D1709" s="326"/>
      <c r="E1709" s="176"/>
      <c r="F1709" s="144" t="s">
        <v>71</v>
      </c>
      <c r="G1709" s="203" t="s">
        <v>156</v>
      </c>
      <c r="H1709" s="202" t="s">
        <v>156</v>
      </c>
      <c r="I1709" s="202" t="s">
        <v>156</v>
      </c>
      <c r="J1709" s="202" t="s">
        <v>156</v>
      </c>
      <c r="K1709" s="202" t="s">
        <v>156</v>
      </c>
      <c r="L1709" s="202" t="s">
        <v>156</v>
      </c>
      <c r="M1709" s="93"/>
      <c r="O1709" s="195"/>
      <c r="P1709" s="196"/>
      <c r="Q1709" s="327"/>
      <c r="R1709" s="327"/>
      <c r="S1709" s="194"/>
      <c r="T1709" s="194"/>
      <c r="U1709" s="194"/>
      <c r="V1709" s="194"/>
      <c r="W1709" s="194"/>
      <c r="X1709" s="194"/>
      <c r="Y1709" s="194"/>
      <c r="Z1709" s="194"/>
      <c r="AA1709" s="194"/>
      <c r="AB1709" s="194"/>
      <c r="AC1709" s="194"/>
    </row>
    <row r="1710" spans="1:29" ht="20.100000000000001" customHeight="1">
      <c r="A1710" s="187">
        <v>14</v>
      </c>
      <c r="B1710" s="185" t="s">
        <v>69</v>
      </c>
      <c r="C1710" s="326" t="s">
        <v>91</v>
      </c>
      <c r="D1710" s="326"/>
      <c r="E1710" s="176"/>
      <c r="F1710" s="144" t="s">
        <v>71</v>
      </c>
      <c r="G1710" s="203" t="s">
        <v>156</v>
      </c>
      <c r="H1710" s="202" t="s">
        <v>156</v>
      </c>
      <c r="I1710" s="202" t="s">
        <v>156</v>
      </c>
      <c r="J1710" s="202" t="s">
        <v>156</v>
      </c>
      <c r="K1710" s="202" t="s">
        <v>156</v>
      </c>
      <c r="L1710" s="202" t="s">
        <v>156</v>
      </c>
      <c r="M1710" s="93"/>
      <c r="O1710" s="195"/>
      <c r="P1710" s="196"/>
      <c r="Q1710" s="327"/>
      <c r="R1710" s="327"/>
      <c r="S1710" s="194"/>
      <c r="T1710" s="194"/>
      <c r="U1710" s="194"/>
      <c r="V1710" s="194"/>
      <c r="W1710" s="194"/>
      <c r="X1710" s="194"/>
      <c r="Y1710" s="194"/>
      <c r="Z1710" s="194"/>
      <c r="AA1710" s="194"/>
      <c r="AB1710" s="194"/>
      <c r="AC1710" s="194"/>
    </row>
    <row r="1711" spans="1:29" ht="20.100000000000001" customHeight="1">
      <c r="A1711" s="187">
        <v>15</v>
      </c>
      <c r="B1711" s="185" t="s">
        <v>69</v>
      </c>
      <c r="C1711" s="326" t="s">
        <v>81</v>
      </c>
      <c r="D1711" s="326"/>
      <c r="E1711" s="176"/>
      <c r="F1711" s="144" t="s">
        <v>71</v>
      </c>
      <c r="G1711" s="203" t="s">
        <v>156</v>
      </c>
      <c r="H1711" s="202" t="s">
        <v>156</v>
      </c>
      <c r="I1711" s="202" t="s">
        <v>156</v>
      </c>
      <c r="J1711" s="202" t="s">
        <v>156</v>
      </c>
      <c r="K1711" s="202" t="s">
        <v>156</v>
      </c>
      <c r="L1711" s="202" t="s">
        <v>156</v>
      </c>
      <c r="M1711" s="93"/>
      <c r="O1711" s="195"/>
      <c r="P1711" s="196"/>
      <c r="Q1711" s="327"/>
      <c r="R1711" s="327"/>
      <c r="S1711" s="194"/>
      <c r="T1711" s="194"/>
      <c r="U1711" s="194"/>
      <c r="V1711" s="194"/>
      <c r="W1711" s="194"/>
      <c r="X1711" s="194"/>
      <c r="Y1711" s="194"/>
      <c r="Z1711" s="194"/>
      <c r="AA1711" s="194"/>
      <c r="AB1711" s="194"/>
      <c r="AC1711" s="194"/>
    </row>
    <row r="1712" spans="1:29" ht="20.100000000000001" customHeight="1">
      <c r="A1712" s="187">
        <v>16</v>
      </c>
      <c r="B1712" s="185" t="s">
        <v>69</v>
      </c>
      <c r="C1712" s="326" t="s">
        <v>101</v>
      </c>
      <c r="D1712" s="326"/>
      <c r="E1712" s="151"/>
      <c r="F1712" s="144" t="s">
        <v>71</v>
      </c>
      <c r="G1712" s="203" t="s">
        <v>156</v>
      </c>
      <c r="H1712" s="202" t="s">
        <v>156</v>
      </c>
      <c r="I1712" s="202" t="s">
        <v>156</v>
      </c>
      <c r="J1712" s="202" t="s">
        <v>156</v>
      </c>
      <c r="K1712" s="202" t="s">
        <v>156</v>
      </c>
      <c r="L1712" s="202" t="s">
        <v>156</v>
      </c>
      <c r="M1712" s="93"/>
      <c r="N1712" s="219"/>
      <c r="O1712" s="195"/>
      <c r="P1712" s="196"/>
      <c r="Q1712" s="327"/>
      <c r="R1712" s="327"/>
      <c r="S1712" s="197"/>
      <c r="T1712" s="197"/>
      <c r="U1712" s="197"/>
      <c r="V1712" s="197"/>
      <c r="W1712" s="197"/>
      <c r="X1712" s="197"/>
      <c r="Y1712" s="197"/>
      <c r="Z1712" s="197"/>
      <c r="AA1712" s="197"/>
      <c r="AB1712" s="197"/>
      <c r="AC1712" s="197"/>
    </row>
    <row r="1713" spans="1:29" ht="20.100000000000001" customHeight="1">
      <c r="A1713" s="187">
        <v>17</v>
      </c>
      <c r="B1713" s="186" t="s">
        <v>69</v>
      </c>
      <c r="C1713" s="326" t="s">
        <v>141</v>
      </c>
      <c r="D1713" s="326"/>
      <c r="E1713" s="151"/>
      <c r="F1713" s="144" t="s">
        <v>71</v>
      </c>
      <c r="G1713" s="203" t="s">
        <v>156</v>
      </c>
      <c r="H1713" s="202" t="s">
        <v>156</v>
      </c>
      <c r="I1713" s="202" t="s">
        <v>156</v>
      </c>
      <c r="J1713" s="202" t="s">
        <v>156</v>
      </c>
      <c r="K1713" s="202" t="s">
        <v>156</v>
      </c>
      <c r="L1713" s="202" t="s">
        <v>156</v>
      </c>
      <c r="M1713" s="93"/>
      <c r="N1713" s="219"/>
      <c r="O1713" s="195"/>
      <c r="P1713" s="104"/>
      <c r="Q1713" s="327"/>
      <c r="R1713" s="327"/>
      <c r="S1713" s="197"/>
      <c r="T1713" s="197"/>
      <c r="U1713" s="197"/>
      <c r="V1713" s="197"/>
      <c r="W1713" s="197"/>
      <c r="X1713" s="197"/>
      <c r="Y1713" s="197"/>
      <c r="Z1713" s="197"/>
      <c r="AA1713" s="197"/>
      <c r="AB1713" s="197"/>
      <c r="AC1713" s="197"/>
    </row>
    <row r="1714" spans="1:29" ht="20.100000000000001" customHeight="1">
      <c r="A1714" s="187">
        <v>18</v>
      </c>
      <c r="B1714" s="186" t="s">
        <v>69</v>
      </c>
      <c r="C1714" s="326" t="s">
        <v>142</v>
      </c>
      <c r="D1714" s="326"/>
      <c r="E1714" s="151"/>
      <c r="F1714" s="144" t="s">
        <v>71</v>
      </c>
      <c r="G1714" s="203" t="s">
        <v>156</v>
      </c>
      <c r="H1714" s="202" t="s">
        <v>156</v>
      </c>
      <c r="I1714" s="202" t="s">
        <v>156</v>
      </c>
      <c r="J1714" s="202" t="s">
        <v>156</v>
      </c>
      <c r="K1714" s="202" t="s">
        <v>156</v>
      </c>
      <c r="L1714" s="202" t="s">
        <v>156</v>
      </c>
      <c r="M1714" s="93"/>
      <c r="N1714" s="219"/>
      <c r="O1714" s="195"/>
      <c r="P1714" s="104"/>
      <c r="Q1714" s="327"/>
      <c r="R1714" s="327"/>
      <c r="S1714" s="197"/>
      <c r="T1714" s="197"/>
      <c r="U1714" s="197"/>
      <c r="V1714" s="197"/>
      <c r="W1714" s="197"/>
      <c r="X1714" s="197"/>
      <c r="Y1714" s="197"/>
      <c r="Z1714" s="197"/>
      <c r="AA1714" s="197"/>
      <c r="AB1714" s="197"/>
      <c r="AC1714" s="197"/>
    </row>
    <row r="1715" spans="1:29" ht="20.100000000000001" customHeight="1">
      <c r="A1715" s="187">
        <v>19</v>
      </c>
      <c r="B1715" s="186" t="s">
        <v>69</v>
      </c>
      <c r="C1715" s="326" t="s">
        <v>143</v>
      </c>
      <c r="D1715" s="326"/>
      <c r="E1715" s="151"/>
      <c r="F1715" s="144" t="s">
        <v>71</v>
      </c>
      <c r="G1715" s="203" t="s">
        <v>156</v>
      </c>
      <c r="H1715" s="202" t="s">
        <v>156</v>
      </c>
      <c r="I1715" s="202" t="s">
        <v>156</v>
      </c>
      <c r="J1715" s="202" t="s">
        <v>156</v>
      </c>
      <c r="K1715" s="202" t="s">
        <v>156</v>
      </c>
      <c r="L1715" s="202" t="s">
        <v>156</v>
      </c>
      <c r="M1715" s="93"/>
      <c r="N1715" s="219"/>
      <c r="O1715" s="195"/>
      <c r="P1715" s="104"/>
      <c r="Q1715" s="327"/>
      <c r="R1715" s="327"/>
      <c r="S1715" s="197"/>
      <c r="T1715" s="197"/>
      <c r="U1715" s="197"/>
      <c r="V1715" s="197"/>
      <c r="W1715" s="197"/>
      <c r="X1715" s="197"/>
      <c r="Y1715" s="197"/>
      <c r="Z1715" s="197"/>
      <c r="AA1715" s="197"/>
      <c r="AB1715" s="197"/>
      <c r="AC1715" s="197"/>
    </row>
    <row r="1716" spans="1:29" ht="20.100000000000001" customHeight="1">
      <c r="A1716" s="187">
        <v>20</v>
      </c>
      <c r="B1716" s="186" t="s">
        <v>69</v>
      </c>
      <c r="C1716" s="326" t="s">
        <v>102</v>
      </c>
      <c r="D1716" s="326"/>
      <c r="E1716" s="150"/>
      <c r="F1716" s="154" t="s">
        <v>71</v>
      </c>
      <c r="G1716" s="203" t="s">
        <v>156</v>
      </c>
      <c r="H1716" s="202" t="s">
        <v>156</v>
      </c>
      <c r="I1716" s="202" t="s">
        <v>156</v>
      </c>
      <c r="J1716" s="202" t="s">
        <v>156</v>
      </c>
      <c r="K1716" s="202" t="s">
        <v>156</v>
      </c>
      <c r="L1716" s="202" t="s">
        <v>156</v>
      </c>
      <c r="M1716" s="93"/>
      <c r="N1716" s="219"/>
      <c r="O1716" s="195"/>
      <c r="P1716" s="104"/>
      <c r="Q1716" s="327"/>
      <c r="R1716" s="327"/>
      <c r="S1716" s="197"/>
      <c r="T1716" s="197"/>
      <c r="U1716" s="197"/>
      <c r="V1716" s="197"/>
      <c r="W1716" s="197"/>
      <c r="X1716" s="197"/>
      <c r="Y1716" s="197"/>
      <c r="Z1716" s="197"/>
      <c r="AA1716" s="197"/>
      <c r="AB1716" s="197"/>
      <c r="AC1716" s="197"/>
    </row>
    <row r="1717" spans="1:29" ht="24.75" customHeight="1">
      <c r="A1717" s="190" t="s">
        <v>128</v>
      </c>
      <c r="B1717" s="142"/>
      <c r="C1717" s="330" t="s">
        <v>130</v>
      </c>
      <c r="D1717" s="330"/>
      <c r="E1717" s="330"/>
      <c r="F1717" s="330"/>
      <c r="G1717" s="330"/>
      <c r="H1717" s="330"/>
      <c r="I1717" s="330"/>
      <c r="J1717" s="330"/>
      <c r="K1717" s="330"/>
      <c r="L1717" s="330"/>
      <c r="M1717" s="93"/>
      <c r="O1717" s="156"/>
      <c r="P1717" s="142"/>
      <c r="Q1717" s="331"/>
      <c r="R1717" s="331"/>
      <c r="S1717" s="331"/>
      <c r="T1717" s="331"/>
      <c r="U1717" s="331"/>
      <c r="V1717" s="331"/>
      <c r="W1717" s="331"/>
      <c r="X1717" s="331"/>
      <c r="Y1717" s="331"/>
      <c r="Z1717" s="331"/>
      <c r="AA1717" s="331"/>
      <c r="AB1717" s="331"/>
      <c r="AC1717" s="331"/>
    </row>
    <row r="1718" spans="1:29" ht="33" customHeight="1">
      <c r="A1718" s="189">
        <v>21</v>
      </c>
      <c r="B1718" s="188" t="s">
        <v>69</v>
      </c>
      <c r="C1718" s="307" t="s">
        <v>82</v>
      </c>
      <c r="D1718" s="308"/>
      <c r="E1718" s="182"/>
      <c r="F1718" s="191" t="s">
        <v>71</v>
      </c>
      <c r="G1718" s="201">
        <v>58</v>
      </c>
      <c r="H1718" s="201">
        <v>40</v>
      </c>
      <c r="I1718" s="201">
        <v>21</v>
      </c>
      <c r="J1718" s="201">
        <v>58</v>
      </c>
      <c r="K1718" s="201">
        <v>40</v>
      </c>
      <c r="L1718" s="201">
        <v>21</v>
      </c>
      <c r="M1718" s="89"/>
      <c r="N1718" s="219"/>
      <c r="O1718" s="199"/>
      <c r="P1718" s="200"/>
      <c r="Q1718" s="309"/>
      <c r="R1718" s="309"/>
      <c r="S1718" s="86"/>
      <c r="T1718" s="86"/>
      <c r="U1718" s="86"/>
      <c r="V1718" s="86"/>
      <c r="W1718" s="86"/>
      <c r="X1718" s="86"/>
      <c r="Y1718" s="86"/>
      <c r="Z1718" s="86"/>
      <c r="AA1718" s="86"/>
      <c r="AB1718" s="86"/>
      <c r="AC1718" s="86"/>
    </row>
    <row r="1719" spans="1:29" ht="33" customHeight="1">
      <c r="A1719" s="189">
        <v>22</v>
      </c>
      <c r="B1719" s="188" t="s">
        <v>69</v>
      </c>
      <c r="C1719" s="307" t="s">
        <v>103</v>
      </c>
      <c r="D1719" s="308"/>
      <c r="E1719" s="179"/>
      <c r="F1719" s="191" t="s">
        <v>71</v>
      </c>
      <c r="G1719" s="201">
        <v>9</v>
      </c>
      <c r="H1719" s="201">
        <v>9</v>
      </c>
      <c r="I1719" s="201">
        <v>7</v>
      </c>
      <c r="J1719" s="201">
        <v>9</v>
      </c>
      <c r="K1719" s="201">
        <v>9</v>
      </c>
      <c r="L1719" s="201">
        <v>7</v>
      </c>
      <c r="M1719" s="89"/>
      <c r="N1719" s="219"/>
      <c r="O1719" s="199"/>
      <c r="P1719" s="200"/>
      <c r="Q1719" s="309"/>
      <c r="R1719" s="309"/>
      <c r="S1719" s="86"/>
      <c r="T1719" s="86"/>
      <c r="U1719" s="86"/>
      <c r="V1719" s="86"/>
      <c r="W1719" s="86"/>
      <c r="X1719" s="86"/>
      <c r="Y1719" s="86"/>
      <c r="Z1719" s="86"/>
      <c r="AA1719" s="86"/>
      <c r="AB1719" s="86"/>
      <c r="AC1719" s="86"/>
    </row>
    <row r="1720" spans="1:29" ht="33" customHeight="1">
      <c r="A1720" s="189">
        <v>23</v>
      </c>
      <c r="B1720" s="188" t="s">
        <v>69</v>
      </c>
      <c r="C1720" s="307" t="s">
        <v>104</v>
      </c>
      <c r="D1720" s="308"/>
      <c r="E1720" s="179"/>
      <c r="F1720" s="191" t="s">
        <v>71</v>
      </c>
      <c r="G1720" s="201">
        <v>5</v>
      </c>
      <c r="H1720" s="201">
        <v>1</v>
      </c>
      <c r="I1720" s="201">
        <v>1</v>
      </c>
      <c r="J1720" s="201">
        <v>5</v>
      </c>
      <c r="K1720" s="201">
        <v>1</v>
      </c>
      <c r="L1720" s="201">
        <v>1</v>
      </c>
      <c r="M1720" s="89"/>
      <c r="N1720" s="219"/>
      <c r="O1720" s="199"/>
      <c r="P1720" s="200"/>
      <c r="Q1720" s="309"/>
      <c r="R1720" s="309"/>
      <c r="S1720" s="86"/>
      <c r="T1720" s="86"/>
      <c r="U1720" s="86"/>
      <c r="V1720" s="86"/>
      <c r="W1720" s="86"/>
      <c r="X1720" s="86"/>
      <c r="Y1720" s="86"/>
      <c r="Z1720" s="86"/>
      <c r="AA1720" s="86"/>
      <c r="AB1720" s="86"/>
      <c r="AC1720" s="86"/>
    </row>
    <row r="1721" spans="1:29" ht="27.75" customHeight="1">
      <c r="A1721" s="317" t="s">
        <v>135</v>
      </c>
      <c r="B1721" s="318"/>
      <c r="C1721" s="317" t="s">
        <v>68</v>
      </c>
      <c r="D1721" s="318"/>
      <c r="E1721" s="183"/>
      <c r="F1721" s="321" t="s">
        <v>136</v>
      </c>
      <c r="G1721" s="322" t="s">
        <v>155</v>
      </c>
      <c r="H1721" s="323"/>
      <c r="I1721" s="323"/>
      <c r="J1721" s="322" t="s">
        <v>154</v>
      </c>
      <c r="K1721" s="323"/>
      <c r="L1721" s="324"/>
      <c r="M1721" s="92"/>
      <c r="O1721" s="325"/>
      <c r="P1721" s="325"/>
      <c r="Q1721" s="325"/>
      <c r="R1721" s="325"/>
      <c r="S1721" s="316"/>
      <c r="T1721" s="316"/>
      <c r="U1721" s="316"/>
      <c r="V1721" s="316"/>
      <c r="W1721" s="316"/>
      <c r="X1721" s="316"/>
      <c r="Y1721" s="316"/>
      <c r="Z1721" s="316"/>
      <c r="AA1721" s="316"/>
      <c r="AB1721" s="316"/>
      <c r="AC1721" s="316"/>
    </row>
    <row r="1722" spans="1:29" ht="125.25" customHeight="1">
      <c r="A1722" s="319"/>
      <c r="B1722" s="320"/>
      <c r="C1722" s="319"/>
      <c r="D1722" s="320"/>
      <c r="E1722" s="184"/>
      <c r="F1722" s="321"/>
      <c r="G1722" s="153" t="s">
        <v>151</v>
      </c>
      <c r="H1722" s="153" t="s">
        <v>152</v>
      </c>
      <c r="I1722" s="153" t="s">
        <v>153</v>
      </c>
      <c r="J1722" s="153" t="s">
        <v>151</v>
      </c>
      <c r="K1722" s="153" t="s">
        <v>152</v>
      </c>
      <c r="L1722" s="153" t="s">
        <v>153</v>
      </c>
      <c r="O1722" s="325"/>
      <c r="P1722" s="325"/>
      <c r="Q1722" s="325"/>
      <c r="R1722" s="325"/>
      <c r="S1722" s="193"/>
      <c r="T1722" s="193"/>
      <c r="U1722" s="193"/>
      <c r="V1722" s="193"/>
      <c r="W1722" s="193"/>
      <c r="X1722" s="193"/>
      <c r="Y1722" s="193"/>
      <c r="Z1722" s="193"/>
      <c r="AA1722" s="193"/>
      <c r="AB1722" s="193"/>
      <c r="AC1722" s="193"/>
    </row>
    <row r="1723" spans="1:29" ht="30" customHeight="1">
      <c r="A1723" s="189">
        <v>24</v>
      </c>
      <c r="B1723" s="188" t="s">
        <v>69</v>
      </c>
      <c r="C1723" s="307" t="s">
        <v>131</v>
      </c>
      <c r="D1723" s="308"/>
      <c r="E1723" s="179"/>
      <c r="F1723" s="191" t="s">
        <v>71</v>
      </c>
      <c r="G1723" s="202" t="s">
        <v>156</v>
      </c>
      <c r="H1723" s="202" t="s">
        <v>156</v>
      </c>
      <c r="I1723" s="202" t="s">
        <v>156</v>
      </c>
      <c r="J1723" s="202" t="s">
        <v>156</v>
      </c>
      <c r="K1723" s="202" t="s">
        <v>156</v>
      </c>
      <c r="L1723" s="202" t="s">
        <v>156</v>
      </c>
      <c r="M1723" s="89"/>
      <c r="N1723" s="219"/>
      <c r="O1723" s="199"/>
      <c r="P1723" s="200"/>
      <c r="Q1723" s="309"/>
      <c r="R1723" s="309"/>
      <c r="S1723" s="86"/>
      <c r="T1723" s="86"/>
      <c r="U1723" s="86"/>
      <c r="V1723" s="86"/>
      <c r="W1723" s="86"/>
      <c r="X1723" s="86"/>
      <c r="Y1723" s="86"/>
      <c r="Z1723" s="86"/>
      <c r="AA1723" s="86"/>
      <c r="AB1723" s="86"/>
      <c r="AC1723" s="86"/>
    </row>
    <row r="1724" spans="1:29" ht="30" customHeight="1">
      <c r="A1724" s="189">
        <v>25</v>
      </c>
      <c r="B1724" s="188" t="s">
        <v>69</v>
      </c>
      <c r="C1724" s="307" t="s">
        <v>83</v>
      </c>
      <c r="D1724" s="308"/>
      <c r="E1724" s="179"/>
      <c r="F1724" s="191" t="s">
        <v>71</v>
      </c>
      <c r="G1724" s="201">
        <v>25</v>
      </c>
      <c r="H1724" s="201">
        <v>40</v>
      </c>
      <c r="I1724" s="201">
        <v>22</v>
      </c>
      <c r="J1724" s="201">
        <v>25</v>
      </c>
      <c r="K1724" s="201">
        <v>40</v>
      </c>
      <c r="L1724" s="201">
        <v>22</v>
      </c>
      <c r="M1724" s="89"/>
      <c r="N1724" s="219"/>
      <c r="O1724" s="199"/>
      <c r="P1724" s="200"/>
      <c r="Q1724" s="309"/>
      <c r="R1724" s="309"/>
      <c r="S1724" s="86"/>
      <c r="T1724" s="86"/>
      <c r="U1724" s="86"/>
      <c r="V1724" s="86"/>
      <c r="W1724" s="86"/>
      <c r="X1724" s="86"/>
      <c r="Y1724" s="86"/>
      <c r="Z1724" s="86"/>
      <c r="AA1724" s="86"/>
      <c r="AB1724" s="86"/>
      <c r="AC1724" s="86"/>
    </row>
    <row r="1725" spans="1:29" ht="30" customHeight="1">
      <c r="A1725" s="189">
        <v>26</v>
      </c>
      <c r="B1725" s="188" t="s">
        <v>69</v>
      </c>
      <c r="C1725" s="307" t="s">
        <v>84</v>
      </c>
      <c r="D1725" s="308"/>
      <c r="E1725" s="179"/>
      <c r="F1725" s="191" t="s">
        <v>71</v>
      </c>
      <c r="G1725" s="201">
        <v>5</v>
      </c>
      <c r="H1725" s="202" t="s">
        <v>156</v>
      </c>
      <c r="I1725" s="202" t="s">
        <v>156</v>
      </c>
      <c r="J1725" s="201">
        <v>5</v>
      </c>
      <c r="K1725" s="202" t="s">
        <v>156</v>
      </c>
      <c r="L1725" s="202" t="s">
        <v>156</v>
      </c>
      <c r="M1725" s="89"/>
      <c r="N1725" s="219"/>
      <c r="O1725" s="199"/>
      <c r="P1725" s="200"/>
      <c r="Q1725" s="309"/>
      <c r="R1725" s="309"/>
      <c r="S1725" s="86"/>
      <c r="T1725" s="86"/>
      <c r="U1725" s="86"/>
      <c r="V1725" s="86"/>
      <c r="W1725" s="86"/>
      <c r="X1725" s="86"/>
      <c r="Y1725" s="86"/>
      <c r="Z1725" s="86"/>
      <c r="AA1725" s="86"/>
      <c r="AB1725" s="86"/>
      <c r="AC1725" s="86"/>
    </row>
    <row r="1726" spans="1:29" ht="30" customHeight="1">
      <c r="A1726" s="189">
        <v>27</v>
      </c>
      <c r="B1726" s="188" t="s">
        <v>69</v>
      </c>
      <c r="C1726" s="307" t="s">
        <v>85</v>
      </c>
      <c r="D1726" s="308"/>
      <c r="E1726" s="179"/>
      <c r="F1726" s="191" t="s">
        <v>71</v>
      </c>
      <c r="G1726" s="201">
        <v>3</v>
      </c>
      <c r="H1726" s="201">
        <v>1</v>
      </c>
      <c r="I1726" s="201">
        <v>8</v>
      </c>
      <c r="J1726" s="201">
        <v>3</v>
      </c>
      <c r="K1726" s="201">
        <v>1</v>
      </c>
      <c r="L1726" s="201">
        <v>8</v>
      </c>
      <c r="M1726" s="89"/>
      <c r="N1726" s="219"/>
      <c r="O1726" s="199"/>
      <c r="P1726" s="200"/>
      <c r="Q1726" s="309"/>
      <c r="R1726" s="309"/>
      <c r="S1726" s="86"/>
      <c r="T1726" s="86"/>
      <c r="U1726" s="86"/>
      <c r="V1726" s="86"/>
      <c r="W1726" s="86"/>
      <c r="X1726" s="86"/>
      <c r="Y1726" s="86"/>
      <c r="Z1726" s="86"/>
      <c r="AA1726" s="86"/>
      <c r="AB1726" s="86"/>
      <c r="AC1726" s="86"/>
    </row>
    <row r="1727" spans="1:29" ht="30" customHeight="1">
      <c r="A1727" s="189">
        <v>28</v>
      </c>
      <c r="B1727" s="188" t="s">
        <v>69</v>
      </c>
      <c r="C1727" s="307" t="s">
        <v>132</v>
      </c>
      <c r="D1727" s="308"/>
      <c r="E1727" s="179"/>
      <c r="F1727" s="191" t="s">
        <v>71</v>
      </c>
      <c r="G1727" s="202" t="s">
        <v>156</v>
      </c>
      <c r="H1727" s="202" t="s">
        <v>156</v>
      </c>
      <c r="I1727" s="202" t="s">
        <v>156</v>
      </c>
      <c r="J1727" s="202" t="s">
        <v>156</v>
      </c>
      <c r="K1727" s="202" t="s">
        <v>156</v>
      </c>
      <c r="L1727" s="202" t="s">
        <v>156</v>
      </c>
      <c r="M1727" s="89"/>
      <c r="N1727" s="219"/>
      <c r="O1727" s="199"/>
      <c r="P1727" s="200"/>
      <c r="Q1727" s="309"/>
      <c r="R1727" s="309"/>
      <c r="S1727" s="86"/>
      <c r="T1727" s="86"/>
      <c r="U1727" s="86"/>
      <c r="V1727" s="86"/>
      <c r="W1727" s="86"/>
      <c r="X1727" s="86"/>
      <c r="Y1727" s="86"/>
      <c r="Z1727" s="86"/>
      <c r="AA1727" s="86"/>
      <c r="AB1727" s="86"/>
      <c r="AC1727" s="86"/>
    </row>
    <row r="1728" spans="1:29" ht="30" customHeight="1">
      <c r="A1728" s="189">
        <v>29</v>
      </c>
      <c r="B1728" s="188" t="s">
        <v>69</v>
      </c>
      <c r="C1728" s="307" t="s">
        <v>86</v>
      </c>
      <c r="D1728" s="308"/>
      <c r="E1728" s="179"/>
      <c r="F1728" s="191" t="s">
        <v>71</v>
      </c>
      <c r="G1728" s="201">
        <v>10</v>
      </c>
      <c r="H1728" s="201">
        <v>12</v>
      </c>
      <c r="I1728" s="201">
        <v>9</v>
      </c>
      <c r="J1728" s="201">
        <v>10</v>
      </c>
      <c r="K1728" s="201">
        <v>12</v>
      </c>
      <c r="L1728" s="201">
        <v>9</v>
      </c>
      <c r="M1728" s="89"/>
      <c r="N1728" s="219"/>
      <c r="O1728" s="199"/>
      <c r="P1728" s="200"/>
      <c r="Q1728" s="309"/>
      <c r="R1728" s="309"/>
      <c r="S1728" s="86"/>
      <c r="T1728" s="86"/>
      <c r="U1728" s="86"/>
      <c r="V1728" s="86"/>
      <c r="W1728" s="86"/>
      <c r="X1728" s="86"/>
      <c r="Y1728" s="86"/>
      <c r="Z1728" s="86"/>
      <c r="AA1728" s="86"/>
      <c r="AB1728" s="86"/>
      <c r="AC1728" s="86"/>
    </row>
    <row r="1729" spans="1:29" ht="30" customHeight="1">
      <c r="A1729" s="189">
        <v>30</v>
      </c>
      <c r="B1729" s="188" t="s">
        <v>69</v>
      </c>
      <c r="C1729" s="307" t="s">
        <v>87</v>
      </c>
      <c r="D1729" s="308"/>
      <c r="E1729" s="179"/>
      <c r="F1729" s="191" t="s">
        <v>71</v>
      </c>
      <c r="G1729" s="202" t="s">
        <v>156</v>
      </c>
      <c r="H1729" s="202" t="s">
        <v>156</v>
      </c>
      <c r="I1729" s="202" t="s">
        <v>156</v>
      </c>
      <c r="J1729" s="202" t="s">
        <v>156</v>
      </c>
      <c r="K1729" s="202" t="s">
        <v>156</v>
      </c>
      <c r="L1729" s="202" t="s">
        <v>156</v>
      </c>
      <c r="M1729" s="89"/>
      <c r="N1729" s="219"/>
      <c r="O1729" s="199"/>
      <c r="P1729" s="200"/>
      <c r="Q1729" s="309"/>
      <c r="R1729" s="309"/>
      <c r="S1729" s="86"/>
      <c r="T1729" s="86"/>
      <c r="U1729" s="86"/>
      <c r="V1729" s="86"/>
      <c r="W1729" s="86"/>
      <c r="X1729" s="86"/>
      <c r="Y1729" s="86"/>
      <c r="Z1729" s="86"/>
      <c r="AA1729" s="86"/>
      <c r="AB1729" s="86"/>
      <c r="AC1729" s="86"/>
    </row>
    <row r="1730" spans="1:29" ht="30" customHeight="1">
      <c r="A1730" s="189">
        <v>31</v>
      </c>
      <c r="B1730" s="188" t="s">
        <v>69</v>
      </c>
      <c r="C1730" s="307" t="s">
        <v>105</v>
      </c>
      <c r="D1730" s="308"/>
      <c r="E1730" s="179"/>
      <c r="F1730" s="191" t="s">
        <v>71</v>
      </c>
      <c r="G1730" s="201">
        <v>2</v>
      </c>
      <c r="H1730" s="203" t="s">
        <v>156</v>
      </c>
      <c r="I1730" s="201">
        <v>8</v>
      </c>
      <c r="J1730" s="201">
        <v>2</v>
      </c>
      <c r="K1730" s="203" t="s">
        <v>156</v>
      </c>
      <c r="L1730" s="201">
        <v>8</v>
      </c>
      <c r="M1730" s="89"/>
      <c r="N1730" s="219"/>
      <c r="O1730" s="199"/>
      <c r="P1730" s="200"/>
      <c r="Q1730" s="309"/>
      <c r="R1730" s="309"/>
      <c r="S1730" s="86"/>
      <c r="T1730" s="86"/>
      <c r="U1730" s="86"/>
      <c r="V1730" s="86"/>
      <c r="W1730" s="86"/>
      <c r="X1730" s="86"/>
      <c r="Y1730" s="86"/>
      <c r="Z1730" s="86"/>
      <c r="AA1730" s="86"/>
      <c r="AB1730" s="86"/>
      <c r="AC1730" s="86"/>
    </row>
    <row r="1731" spans="1:29" ht="30" customHeight="1">
      <c r="A1731" s="189">
        <v>32</v>
      </c>
      <c r="B1731" s="188" t="s">
        <v>69</v>
      </c>
      <c r="C1731" s="307" t="s">
        <v>133</v>
      </c>
      <c r="D1731" s="308"/>
      <c r="E1731" s="179"/>
      <c r="F1731" s="191" t="s">
        <v>71</v>
      </c>
      <c r="G1731" s="202" t="s">
        <v>156</v>
      </c>
      <c r="H1731" s="202" t="s">
        <v>156</v>
      </c>
      <c r="I1731" s="202" t="s">
        <v>156</v>
      </c>
      <c r="J1731" s="202" t="s">
        <v>156</v>
      </c>
      <c r="K1731" s="202" t="s">
        <v>156</v>
      </c>
      <c r="L1731" s="202" t="s">
        <v>156</v>
      </c>
      <c r="M1731" s="89"/>
      <c r="N1731" s="219"/>
      <c r="O1731" s="199"/>
      <c r="P1731" s="200"/>
      <c r="Q1731" s="309"/>
      <c r="R1731" s="309"/>
      <c r="S1731" s="86"/>
      <c r="T1731" s="86"/>
      <c r="U1731" s="86"/>
      <c r="V1731" s="86"/>
      <c r="W1731" s="86"/>
      <c r="X1731" s="86"/>
      <c r="Y1731" s="86"/>
      <c r="Z1731" s="86"/>
      <c r="AA1731" s="86"/>
      <c r="AB1731" s="86"/>
      <c r="AC1731" s="86"/>
    </row>
    <row r="1732" spans="1:29" ht="30" customHeight="1">
      <c r="A1732" s="189">
        <v>33</v>
      </c>
      <c r="B1732" s="188" t="s">
        <v>69</v>
      </c>
      <c r="C1732" s="307" t="s">
        <v>88</v>
      </c>
      <c r="D1732" s="308"/>
      <c r="E1732" s="179"/>
      <c r="F1732" s="191" t="s">
        <v>71</v>
      </c>
      <c r="G1732" s="201">
        <v>3</v>
      </c>
      <c r="H1732" s="201">
        <v>7</v>
      </c>
      <c r="I1732" s="201">
        <v>7</v>
      </c>
      <c r="J1732" s="201">
        <v>3</v>
      </c>
      <c r="K1732" s="201">
        <v>7</v>
      </c>
      <c r="L1732" s="201">
        <v>7</v>
      </c>
      <c r="M1732" s="89"/>
      <c r="N1732" s="219"/>
      <c r="O1732" s="199"/>
      <c r="P1732" s="200"/>
      <c r="Q1732" s="309"/>
      <c r="R1732" s="309"/>
      <c r="S1732" s="86"/>
      <c r="T1732" s="86"/>
      <c r="U1732" s="86"/>
      <c r="V1732" s="86"/>
      <c r="W1732" s="86"/>
      <c r="X1732" s="86"/>
      <c r="Y1732" s="86"/>
      <c r="Z1732" s="86"/>
      <c r="AA1732" s="86"/>
      <c r="AB1732" s="86"/>
      <c r="AC1732" s="86"/>
    </row>
    <row r="1733" spans="1:29" ht="30" customHeight="1">
      <c r="A1733" s="189">
        <v>34</v>
      </c>
      <c r="B1733" s="188" t="s">
        <v>69</v>
      </c>
      <c r="C1733" s="307" t="s">
        <v>89</v>
      </c>
      <c r="D1733" s="308"/>
      <c r="E1733" s="179"/>
      <c r="F1733" s="191" t="s">
        <v>71</v>
      </c>
      <c r="G1733" s="202" t="s">
        <v>156</v>
      </c>
      <c r="H1733" s="202" t="s">
        <v>156</v>
      </c>
      <c r="I1733" s="202" t="s">
        <v>156</v>
      </c>
      <c r="J1733" s="202" t="s">
        <v>156</v>
      </c>
      <c r="K1733" s="202" t="s">
        <v>156</v>
      </c>
      <c r="L1733" s="202" t="s">
        <v>156</v>
      </c>
      <c r="M1733" s="89"/>
      <c r="N1733" s="219"/>
      <c r="O1733" s="199"/>
      <c r="P1733" s="200"/>
      <c r="Q1733" s="309"/>
      <c r="R1733" s="309"/>
      <c r="S1733" s="86"/>
      <c r="T1733" s="86"/>
      <c r="U1733" s="86"/>
      <c r="V1733" s="86"/>
      <c r="W1733" s="86"/>
      <c r="X1733" s="86"/>
      <c r="Y1733" s="86"/>
      <c r="Z1733" s="86"/>
      <c r="AA1733" s="86"/>
      <c r="AB1733" s="86"/>
      <c r="AC1733" s="86"/>
    </row>
    <row r="1734" spans="1:29" ht="30" customHeight="1">
      <c r="A1734" s="189">
        <v>35</v>
      </c>
      <c r="B1734" s="188" t="s">
        <v>69</v>
      </c>
      <c r="C1734" s="307" t="s">
        <v>140</v>
      </c>
      <c r="D1734" s="308"/>
      <c r="E1734" s="179"/>
      <c r="F1734" s="191" t="s">
        <v>71</v>
      </c>
      <c r="G1734" s="202" t="s">
        <v>156</v>
      </c>
      <c r="H1734" s="202" t="s">
        <v>156</v>
      </c>
      <c r="I1734" s="201">
        <v>3</v>
      </c>
      <c r="J1734" s="202" t="s">
        <v>156</v>
      </c>
      <c r="K1734" s="202" t="s">
        <v>156</v>
      </c>
      <c r="L1734" s="201">
        <v>3</v>
      </c>
      <c r="M1734" s="89"/>
      <c r="N1734" s="220"/>
      <c r="O1734" s="199"/>
      <c r="P1734" s="200"/>
      <c r="Q1734" s="309"/>
      <c r="R1734" s="309"/>
      <c r="S1734" s="86"/>
      <c r="T1734" s="86"/>
      <c r="U1734" s="86"/>
      <c r="V1734" s="86"/>
      <c r="W1734" s="86"/>
      <c r="X1734" s="86"/>
      <c r="Y1734" s="86"/>
      <c r="Z1734" s="86"/>
      <c r="AA1734" s="86"/>
      <c r="AB1734" s="86"/>
      <c r="AC1734" s="86"/>
    </row>
    <row r="1735" spans="1:29" ht="30" customHeight="1">
      <c r="A1735" s="189">
        <v>36</v>
      </c>
      <c r="B1735" s="188" t="s">
        <v>69</v>
      </c>
      <c r="C1735" s="307" t="s">
        <v>134</v>
      </c>
      <c r="D1735" s="308"/>
      <c r="E1735" s="179"/>
      <c r="F1735" s="191" t="s">
        <v>71</v>
      </c>
      <c r="G1735" s="202" t="s">
        <v>156</v>
      </c>
      <c r="H1735" s="202" t="s">
        <v>156</v>
      </c>
      <c r="I1735" s="202" t="s">
        <v>156</v>
      </c>
      <c r="J1735" s="202" t="s">
        <v>156</v>
      </c>
      <c r="K1735" s="202" t="s">
        <v>156</v>
      </c>
      <c r="L1735" s="202" t="s">
        <v>156</v>
      </c>
      <c r="M1735" s="89"/>
      <c r="N1735" s="220"/>
      <c r="O1735" s="199"/>
      <c r="P1735" s="200"/>
      <c r="Q1735" s="309"/>
      <c r="R1735" s="309"/>
      <c r="S1735" s="86"/>
      <c r="T1735" s="86"/>
      <c r="U1735" s="86"/>
      <c r="V1735" s="86"/>
      <c r="W1735" s="86"/>
      <c r="X1735" s="86"/>
      <c r="Y1735" s="86"/>
      <c r="Z1735" s="86"/>
      <c r="AA1735" s="86"/>
      <c r="AB1735" s="86"/>
      <c r="AC1735" s="86"/>
    </row>
    <row r="1736" spans="1:29" ht="30" customHeight="1">
      <c r="A1736" s="189">
        <v>37</v>
      </c>
      <c r="B1736" s="188" t="s">
        <v>69</v>
      </c>
      <c r="C1736" s="307" t="s">
        <v>90</v>
      </c>
      <c r="D1736" s="308"/>
      <c r="E1736" s="179"/>
      <c r="F1736" s="191" t="s">
        <v>71</v>
      </c>
      <c r="G1736" s="202" t="s">
        <v>156</v>
      </c>
      <c r="H1736" s="202" t="s">
        <v>156</v>
      </c>
      <c r="I1736" s="202" t="s">
        <v>156</v>
      </c>
      <c r="J1736" s="202" t="s">
        <v>156</v>
      </c>
      <c r="K1736" s="202" t="s">
        <v>156</v>
      </c>
      <c r="L1736" s="202" t="s">
        <v>156</v>
      </c>
      <c r="M1736" s="89"/>
      <c r="N1736" s="220"/>
      <c r="O1736" s="199"/>
      <c r="P1736" s="200"/>
      <c r="Q1736" s="309"/>
      <c r="R1736" s="309"/>
      <c r="S1736" s="86"/>
      <c r="T1736" s="86"/>
      <c r="U1736" s="86"/>
      <c r="V1736" s="86"/>
      <c r="W1736" s="86"/>
      <c r="X1736" s="86"/>
      <c r="Y1736" s="86"/>
      <c r="Z1736" s="86"/>
      <c r="AA1736" s="86"/>
      <c r="AB1736" s="86"/>
      <c r="AC1736" s="86"/>
    </row>
    <row r="1737" spans="1:29" ht="30" customHeight="1">
      <c r="A1737" s="189">
        <v>38</v>
      </c>
      <c r="B1737" s="188" t="s">
        <v>69</v>
      </c>
      <c r="C1737" s="307" t="s">
        <v>106</v>
      </c>
      <c r="D1737" s="308"/>
      <c r="E1737" s="150"/>
      <c r="F1737" s="191" t="s">
        <v>71</v>
      </c>
      <c r="G1737" s="202" t="s">
        <v>156</v>
      </c>
      <c r="H1737" s="202" t="s">
        <v>156</v>
      </c>
      <c r="I1737" s="202" t="s">
        <v>156</v>
      </c>
      <c r="J1737" s="202" t="s">
        <v>156</v>
      </c>
      <c r="K1737" s="202" t="s">
        <v>156</v>
      </c>
      <c r="L1737" s="202" t="s">
        <v>156</v>
      </c>
      <c r="M1737" s="89"/>
      <c r="N1737" s="220"/>
      <c r="O1737" s="199"/>
      <c r="P1737" s="200"/>
      <c r="Q1737" s="309"/>
      <c r="R1737" s="309"/>
      <c r="S1737" s="86"/>
      <c r="T1737" s="86"/>
      <c r="U1737" s="86"/>
      <c r="V1737" s="86"/>
      <c r="W1737" s="86"/>
      <c r="X1737" s="86"/>
      <c r="Y1737" s="86"/>
      <c r="Z1737" s="86"/>
      <c r="AA1737" s="86"/>
      <c r="AB1737" s="86"/>
      <c r="AC1737" s="86"/>
    </row>
    <row r="1738" spans="1:29" ht="25.5" customHeight="1">
      <c r="A1738" s="310" t="s">
        <v>92</v>
      </c>
      <c r="B1738" s="310"/>
      <c r="C1738" s="310"/>
      <c r="D1738" s="310"/>
      <c r="E1738" s="310"/>
      <c r="F1738" s="310"/>
      <c r="G1738" s="310"/>
      <c r="H1738" s="310"/>
      <c r="I1738" s="310"/>
      <c r="J1738" s="310"/>
      <c r="K1738" s="310"/>
      <c r="L1738" s="310"/>
      <c r="M1738" s="92"/>
    </row>
    <row r="1739" spans="1:29" ht="19.5" customHeight="1">
      <c r="A1739" s="139"/>
      <c r="B1739" s="139"/>
      <c r="C1739" s="140"/>
      <c r="D1739" s="140" t="s">
        <v>145</v>
      </c>
      <c r="E1739" s="140"/>
      <c r="F1739" s="152" t="s">
        <v>54</v>
      </c>
      <c r="G1739" s="152"/>
      <c r="H1739" s="152"/>
      <c r="I1739" s="152"/>
      <c r="J1739" s="152" t="s">
        <v>144</v>
      </c>
      <c r="K1739" s="152"/>
      <c r="L1739" s="140"/>
      <c r="M1739" s="94"/>
    </row>
    <row r="1740" spans="1:29" ht="28.5" customHeight="1">
      <c r="A1740" s="310" t="s">
        <v>93</v>
      </c>
      <c r="B1740" s="310"/>
      <c r="C1740" s="310"/>
      <c r="D1740" s="310"/>
      <c r="E1740" s="310"/>
      <c r="F1740" s="310"/>
      <c r="G1740" s="310"/>
      <c r="H1740" s="310"/>
      <c r="I1740" s="310"/>
      <c r="J1740" s="310"/>
      <c r="K1740" s="310"/>
      <c r="L1740" s="310"/>
      <c r="M1740" s="92"/>
      <c r="N1740" s="311"/>
      <c r="O1740" s="311"/>
      <c r="P1740" s="311"/>
    </row>
    <row r="1741" spans="1:29" ht="20.25" customHeight="1">
      <c r="A1741" s="139"/>
      <c r="B1741" s="139"/>
      <c r="C1741" s="139"/>
      <c r="D1741" s="140" t="s">
        <v>145</v>
      </c>
      <c r="E1741" s="140"/>
      <c r="F1741" s="152" t="s">
        <v>54</v>
      </c>
      <c r="G1741" s="152"/>
      <c r="H1741" s="152"/>
      <c r="I1741" s="152"/>
      <c r="J1741" s="152" t="s">
        <v>144</v>
      </c>
      <c r="K1741" s="152"/>
      <c r="L1741" s="139"/>
      <c r="M1741" s="94"/>
      <c r="N1741" s="221"/>
      <c r="O1741" s="95"/>
      <c r="P1741" s="95"/>
    </row>
    <row r="1742" spans="1:29" ht="26.25" customHeight="1">
      <c r="A1742" s="312" t="s">
        <v>94</v>
      </c>
      <c r="B1742" s="312"/>
      <c r="C1742" s="312"/>
      <c r="D1742" s="312"/>
      <c r="E1742" s="312"/>
      <c r="F1742" s="312"/>
      <c r="G1742" s="312"/>
      <c r="H1742" s="312"/>
      <c r="I1742" s="312"/>
      <c r="J1742" s="312"/>
      <c r="K1742" s="312"/>
      <c r="L1742" s="312"/>
      <c r="M1742" s="92"/>
    </row>
    <row r="1743" spans="1:29" ht="22.5" customHeight="1">
      <c r="A1743" s="120"/>
      <c r="B1743" s="120"/>
      <c r="C1743" s="120"/>
      <c r="D1743" s="120"/>
      <c r="E1743" s="120"/>
      <c r="F1743" s="120"/>
      <c r="G1743" s="120"/>
      <c r="H1743" s="120"/>
      <c r="I1743" s="120"/>
      <c r="J1743" s="120"/>
      <c r="K1743" s="120"/>
      <c r="L1743" s="120"/>
      <c r="M1743" s="94"/>
    </row>
    <row r="1744" spans="1:29" ht="22.5" customHeight="1">
      <c r="A1744" s="313" t="s">
        <v>95</v>
      </c>
      <c r="B1744" s="313"/>
      <c r="C1744" s="313"/>
      <c r="D1744" s="313"/>
      <c r="E1744" s="313"/>
      <c r="F1744" s="313"/>
      <c r="G1744" s="313"/>
      <c r="H1744" s="313"/>
      <c r="I1744" s="313"/>
      <c r="J1744" s="313"/>
      <c r="K1744" s="313"/>
      <c r="L1744" s="313"/>
      <c r="M1744" s="92"/>
    </row>
    <row r="1745" spans="1:16" ht="19.5" customHeight="1">
      <c r="A1745" s="97"/>
      <c r="B1745" s="97"/>
      <c r="C1745" s="145"/>
      <c r="D1745" s="97"/>
      <c r="E1745" s="97"/>
      <c r="F1745" s="97"/>
      <c r="G1745" s="97"/>
      <c r="H1745" s="97"/>
      <c r="I1745" s="97"/>
      <c r="J1745" s="97"/>
      <c r="K1745" s="97"/>
      <c r="L1745" s="97"/>
      <c r="M1745" s="94"/>
    </row>
    <row r="1746" spans="1:16" ht="5.25" customHeight="1">
      <c r="A1746" s="94"/>
      <c r="B1746" s="94"/>
      <c r="C1746" s="146"/>
      <c r="D1746" s="94"/>
      <c r="E1746" s="94"/>
      <c r="F1746" s="94"/>
      <c r="G1746" s="94"/>
      <c r="H1746" s="94"/>
      <c r="I1746" s="94"/>
      <c r="J1746" s="94"/>
      <c r="K1746" s="94"/>
      <c r="L1746" s="94"/>
      <c r="M1746" s="94"/>
    </row>
    <row r="1747" spans="1:16" ht="16.5" customHeight="1">
      <c r="A1747" s="314" t="s">
        <v>96</v>
      </c>
      <c r="B1747" s="314"/>
      <c r="C1747" s="314"/>
      <c r="D1747" s="314"/>
      <c r="E1747" s="98"/>
      <c r="F1747" s="98"/>
      <c r="G1747" s="98"/>
      <c r="H1747" s="315" t="s">
        <v>97</v>
      </c>
      <c r="I1747" s="315"/>
      <c r="J1747" s="315"/>
      <c r="K1747" s="315"/>
      <c r="L1747" s="315"/>
      <c r="M1747" s="94"/>
    </row>
    <row r="1748" spans="1:16" ht="95.1" customHeight="1">
      <c r="A1748" s="99"/>
      <c r="B1748" s="101" t="str">
        <f>B1678</f>
        <v>Ông Huỳnh Phước Hải        ….............</v>
      </c>
      <c r="C1748" s="147"/>
      <c r="D1748" s="99"/>
      <c r="E1748" s="81"/>
      <c r="F1748" s="100"/>
      <c r="G1748" s="100"/>
      <c r="H1748" s="306" t="str">
        <f>H1678</f>
        <v>Ông Phạm Tấn Việt          …..................</v>
      </c>
      <c r="I1748" s="306"/>
      <c r="J1748" s="306"/>
      <c r="K1748" s="306"/>
      <c r="L1748" s="306"/>
      <c r="M1748" s="94"/>
    </row>
    <row r="1749" spans="1:16" ht="51" customHeight="1">
      <c r="A1749" s="99"/>
      <c r="B1749" s="99"/>
      <c r="C1749" s="147"/>
      <c r="D1749" s="99"/>
      <c r="E1749" s="81"/>
      <c r="F1749" s="100"/>
      <c r="G1749" s="100"/>
      <c r="H1749" s="100"/>
      <c r="I1749" s="100"/>
      <c r="J1749" s="99"/>
      <c r="K1749" s="99"/>
      <c r="L1749" s="99"/>
      <c r="M1749" s="94"/>
    </row>
    <row r="1750" spans="1:16" ht="21.75" customHeight="1">
      <c r="A1750" s="348" t="s">
        <v>165</v>
      </c>
      <c r="B1750" s="348"/>
      <c r="C1750" s="348"/>
      <c r="D1750" s="348"/>
      <c r="E1750" s="348"/>
      <c r="F1750" s="348"/>
      <c r="G1750" s="348"/>
      <c r="H1750" s="348"/>
      <c r="I1750" s="348"/>
      <c r="J1750" s="348"/>
      <c r="K1750" s="348"/>
      <c r="L1750" s="348"/>
      <c r="M1750" s="82"/>
    </row>
    <row r="1751" spans="1:16" ht="19.5">
      <c r="A1751" s="84" t="str">
        <f>"Ngày "&amp;N1752&amp;" tháng "&amp;O3&amp;" năm "&amp;P3&amp;""</f>
        <v>Ngày 26 tháng 07 năm 2026</v>
      </c>
      <c r="B1751" s="84"/>
      <c r="C1751" s="85"/>
      <c r="N1751" s="216"/>
      <c r="O1751" s="20"/>
      <c r="P1751" s="20"/>
    </row>
    <row r="1752" spans="1:16" ht="16.5">
      <c r="A1752" s="337" t="s">
        <v>57</v>
      </c>
      <c r="B1752" s="337"/>
      <c r="C1752" s="337"/>
      <c r="D1752" s="311"/>
      <c r="E1752" s="311"/>
      <c r="F1752" s="311"/>
      <c r="G1752" s="95"/>
      <c r="H1752" s="95"/>
      <c r="I1752" s="95"/>
      <c r="J1752" s="95"/>
      <c r="K1752" s="95"/>
      <c r="L1752" s="95"/>
      <c r="N1752" s="217" t="s">
        <v>188</v>
      </c>
      <c r="O1752" s="214"/>
      <c r="P1752" s="17"/>
    </row>
    <row r="1753" spans="1:16" ht="15.75" customHeight="1">
      <c r="A1753" s="338"/>
      <c r="B1753" s="338"/>
      <c r="C1753" s="338"/>
      <c r="D1753" s="339" t="s">
        <v>58</v>
      </c>
      <c r="E1753" s="340"/>
      <c r="F1753" s="340"/>
      <c r="G1753" s="340"/>
      <c r="H1753" s="341"/>
      <c r="I1753" s="339" t="s">
        <v>59</v>
      </c>
      <c r="J1753" s="340"/>
      <c r="K1753" s="340"/>
      <c r="L1753" s="341"/>
    </row>
    <row r="1754" spans="1:16" ht="19.5" customHeight="1">
      <c r="A1754" s="342" t="s">
        <v>60</v>
      </c>
      <c r="B1754" s="342"/>
      <c r="C1754" s="342"/>
      <c r="D1754" s="343" t="s">
        <v>54</v>
      </c>
      <c r="E1754" s="344"/>
      <c r="F1754" s="344"/>
      <c r="G1754" s="344"/>
      <c r="H1754" s="345"/>
      <c r="I1754" s="343" t="s">
        <v>54</v>
      </c>
      <c r="J1754" s="344"/>
      <c r="K1754" s="344"/>
      <c r="L1754" s="345"/>
    </row>
    <row r="1755" spans="1:16" ht="22.5" customHeight="1">
      <c r="A1755" s="342" t="s">
        <v>61</v>
      </c>
      <c r="B1755" s="342"/>
      <c r="C1755" s="342"/>
      <c r="D1755" s="343" t="s">
        <v>163</v>
      </c>
      <c r="E1755" s="344"/>
      <c r="F1755" s="344"/>
      <c r="G1755" s="344"/>
      <c r="H1755" s="345"/>
      <c r="I1755" s="343" t="str">
        <f>D1755</f>
        <v>31° - 34°</v>
      </c>
      <c r="J1755" s="344"/>
      <c r="K1755" s="344"/>
      <c r="L1755" s="345"/>
    </row>
    <row r="1756" spans="1:16" s="87" customFormat="1" ht="19.5" customHeight="1">
      <c r="A1756" s="310" t="s">
        <v>62</v>
      </c>
      <c r="B1756" s="310"/>
      <c r="C1756" s="310"/>
      <c r="D1756" s="310"/>
      <c r="E1756" s="310"/>
      <c r="F1756" s="310"/>
      <c r="G1756" s="310"/>
      <c r="H1756" s="310"/>
      <c r="I1756" s="310"/>
      <c r="J1756" s="310"/>
      <c r="K1756" s="310"/>
      <c r="L1756" s="310"/>
      <c r="M1756" s="85"/>
      <c r="N1756" s="218"/>
    </row>
    <row r="1757" spans="1:16" s="87" customFormat="1" ht="15.75">
      <c r="A1757" s="332" t="s">
        <v>63</v>
      </c>
      <c r="B1757" s="332"/>
      <c r="C1757" s="332"/>
      <c r="D1757" s="332"/>
      <c r="E1757" s="332"/>
      <c r="F1757" s="332"/>
      <c r="G1757" s="332"/>
      <c r="H1757" s="332"/>
      <c r="I1757" s="332"/>
      <c r="J1757" s="332"/>
      <c r="K1757" s="332"/>
      <c r="L1757" s="332"/>
      <c r="M1757" s="85"/>
      <c r="N1757" s="218"/>
    </row>
    <row r="1758" spans="1:16" s="87" customFormat="1" ht="20.100000000000001" customHeight="1">
      <c r="A1758" s="88"/>
      <c r="B1758" s="88"/>
      <c r="C1758" s="333" t="s">
        <v>64</v>
      </c>
      <c r="D1758" s="334"/>
      <c r="E1758" s="334"/>
      <c r="F1758" s="334"/>
      <c r="G1758" s="334"/>
      <c r="H1758" s="334"/>
      <c r="I1758" s="334"/>
      <c r="J1758" s="334"/>
      <c r="K1758" s="334"/>
      <c r="L1758" s="334"/>
      <c r="M1758" s="85"/>
      <c r="N1758" s="218"/>
    </row>
    <row r="1759" spans="1:16" s="87" customFormat="1" ht="20.100000000000001" customHeight="1">
      <c r="A1759" s="88"/>
      <c r="B1759" s="88"/>
      <c r="C1759" s="333" t="s">
        <v>65</v>
      </c>
      <c r="D1759" s="334"/>
      <c r="E1759" s="334"/>
      <c r="F1759" s="334"/>
      <c r="G1759" s="334"/>
      <c r="H1759" s="334"/>
      <c r="I1759" s="334"/>
      <c r="J1759" s="334"/>
      <c r="K1759" s="334"/>
      <c r="L1759" s="334"/>
      <c r="M1759" s="85"/>
      <c r="N1759" s="218"/>
    </row>
    <row r="1760" spans="1:16" s="87" customFormat="1" ht="17.25" customHeight="1">
      <c r="A1760" s="335" t="s">
        <v>66</v>
      </c>
      <c r="B1760" s="335"/>
      <c r="C1760" s="335"/>
      <c r="D1760" s="335"/>
      <c r="E1760" s="335"/>
      <c r="F1760" s="335"/>
      <c r="G1760" s="335"/>
      <c r="H1760" s="335"/>
      <c r="I1760" s="335"/>
      <c r="J1760" s="335"/>
      <c r="K1760" s="335"/>
      <c r="L1760" s="335"/>
      <c r="M1760" s="85"/>
      <c r="N1760" s="218"/>
    </row>
    <row r="1761" spans="1:29" s="87" customFormat="1" ht="7.5" customHeight="1">
      <c r="A1761" s="119"/>
      <c r="B1761" s="119"/>
      <c r="C1761" s="119"/>
      <c r="D1761" s="119"/>
      <c r="E1761" s="119"/>
      <c r="F1761" s="119"/>
      <c r="G1761" s="119"/>
      <c r="H1761" s="119"/>
      <c r="I1761" s="119"/>
      <c r="J1761" s="119"/>
      <c r="K1761" s="119"/>
      <c r="L1761" s="119"/>
      <c r="M1761" s="85"/>
      <c r="N1761" s="218"/>
    </row>
    <row r="1762" spans="1:29" ht="15.75">
      <c r="A1762" s="336" t="s">
        <v>67</v>
      </c>
      <c r="B1762" s="336"/>
      <c r="C1762" s="336"/>
      <c r="D1762" s="336"/>
      <c r="E1762" s="336"/>
      <c r="F1762" s="336"/>
      <c r="G1762" s="336"/>
      <c r="H1762" s="336"/>
      <c r="I1762" s="336"/>
      <c r="J1762" s="336"/>
      <c r="K1762" s="336"/>
      <c r="L1762" s="336"/>
    </row>
    <row r="1763" spans="1:29" ht="2.25" customHeight="1">
      <c r="A1763" s="141"/>
      <c r="B1763" s="141"/>
      <c r="C1763" s="141"/>
      <c r="D1763" s="141"/>
      <c r="E1763" s="141"/>
      <c r="F1763" s="141"/>
      <c r="G1763" s="155"/>
      <c r="H1763" s="155"/>
      <c r="I1763" s="155"/>
      <c r="J1763" s="155"/>
      <c r="K1763" s="155"/>
      <c r="L1763" s="155"/>
    </row>
    <row r="1764" spans="1:29" ht="27.75" customHeight="1">
      <c r="A1764" s="317" t="s">
        <v>135</v>
      </c>
      <c r="B1764" s="318"/>
      <c r="C1764" s="317" t="s">
        <v>68</v>
      </c>
      <c r="D1764" s="318"/>
      <c r="E1764" s="183"/>
      <c r="F1764" s="321" t="s">
        <v>136</v>
      </c>
      <c r="G1764" s="322" t="s">
        <v>155</v>
      </c>
      <c r="H1764" s="323"/>
      <c r="I1764" s="323"/>
      <c r="J1764" s="322" t="s">
        <v>154</v>
      </c>
      <c r="K1764" s="323"/>
      <c r="L1764" s="324"/>
      <c r="M1764" s="92"/>
      <c r="O1764" s="325"/>
      <c r="P1764" s="325"/>
      <c r="Q1764" s="325"/>
      <c r="R1764" s="325"/>
      <c r="S1764" s="316"/>
      <c r="T1764" s="316"/>
      <c r="U1764" s="316"/>
      <c r="V1764" s="316"/>
      <c r="W1764" s="316"/>
      <c r="X1764" s="316"/>
      <c r="Y1764" s="316"/>
      <c r="Z1764" s="316"/>
      <c r="AA1764" s="316"/>
      <c r="AB1764" s="316"/>
      <c r="AC1764" s="316"/>
    </row>
    <row r="1765" spans="1:29" ht="125.25" customHeight="1">
      <c r="A1765" s="319"/>
      <c r="B1765" s="320"/>
      <c r="C1765" s="319"/>
      <c r="D1765" s="320"/>
      <c r="E1765" s="184"/>
      <c r="F1765" s="321"/>
      <c r="G1765" s="153" t="s">
        <v>151</v>
      </c>
      <c r="H1765" s="153" t="s">
        <v>152</v>
      </c>
      <c r="I1765" s="153" t="s">
        <v>153</v>
      </c>
      <c r="J1765" s="153" t="s">
        <v>151</v>
      </c>
      <c r="K1765" s="153" t="s">
        <v>152</v>
      </c>
      <c r="L1765" s="153" t="s">
        <v>153</v>
      </c>
      <c r="O1765" s="325"/>
      <c r="P1765" s="325"/>
      <c r="Q1765" s="325"/>
      <c r="R1765" s="325"/>
      <c r="S1765" s="193"/>
      <c r="T1765" s="193"/>
      <c r="U1765" s="193"/>
      <c r="V1765" s="193"/>
      <c r="W1765" s="193"/>
      <c r="X1765" s="193"/>
      <c r="Y1765" s="193"/>
      <c r="Z1765" s="193"/>
      <c r="AA1765" s="193"/>
      <c r="AB1765" s="193"/>
      <c r="AC1765" s="193"/>
    </row>
    <row r="1766" spans="1:29" ht="24.75" customHeight="1">
      <c r="A1766" s="190" t="s">
        <v>128</v>
      </c>
      <c r="B1766" s="142"/>
      <c r="C1766" s="330" t="s">
        <v>129</v>
      </c>
      <c r="D1766" s="330"/>
      <c r="E1766" s="330"/>
      <c r="F1766" s="330"/>
      <c r="G1766" s="330"/>
      <c r="H1766" s="330"/>
      <c r="I1766" s="330"/>
      <c r="J1766" s="330"/>
      <c r="K1766" s="330"/>
      <c r="L1766" s="330"/>
      <c r="M1766" s="93"/>
      <c r="O1766" s="156"/>
      <c r="P1766" s="142"/>
      <c r="Q1766" s="331"/>
      <c r="R1766" s="331"/>
      <c r="S1766" s="331"/>
      <c r="T1766" s="331"/>
      <c r="U1766" s="331"/>
      <c r="V1766" s="331"/>
      <c r="W1766" s="331"/>
      <c r="X1766" s="331"/>
      <c r="Y1766" s="331"/>
      <c r="Z1766" s="331"/>
      <c r="AA1766" s="331"/>
      <c r="AB1766" s="331"/>
      <c r="AC1766" s="331"/>
    </row>
    <row r="1767" spans="1:29" ht="20.100000000000001" customHeight="1">
      <c r="A1767" s="187">
        <v>1</v>
      </c>
      <c r="B1767" s="185" t="s">
        <v>69</v>
      </c>
      <c r="C1767" s="326" t="s">
        <v>70</v>
      </c>
      <c r="D1767" s="326"/>
      <c r="E1767" s="176"/>
      <c r="F1767" s="144" t="s">
        <v>71</v>
      </c>
      <c r="G1767" s="203" t="s">
        <v>156</v>
      </c>
      <c r="H1767" s="202" t="s">
        <v>156</v>
      </c>
      <c r="I1767" s="201">
        <v>1</v>
      </c>
      <c r="J1767" s="202" t="s">
        <v>156</v>
      </c>
      <c r="K1767" s="202" t="s">
        <v>156</v>
      </c>
      <c r="L1767" s="201">
        <v>1</v>
      </c>
      <c r="M1767" s="93"/>
      <c r="O1767" s="195"/>
      <c r="P1767" s="196"/>
      <c r="Q1767" s="327"/>
      <c r="R1767" s="327"/>
      <c r="S1767" s="86"/>
      <c r="T1767" s="86"/>
      <c r="U1767" s="86"/>
      <c r="V1767" s="86"/>
      <c r="W1767" s="194"/>
      <c r="X1767" s="194"/>
      <c r="Y1767" s="194"/>
      <c r="Z1767" s="194"/>
      <c r="AA1767" s="194"/>
      <c r="AB1767" s="194"/>
      <c r="AC1767" s="194"/>
    </row>
    <row r="1768" spans="1:29" ht="20.100000000000001" customHeight="1">
      <c r="A1768" s="187">
        <v>2</v>
      </c>
      <c r="B1768" s="185" t="s">
        <v>69</v>
      </c>
      <c r="C1768" s="326" t="s">
        <v>72</v>
      </c>
      <c r="D1768" s="326"/>
      <c r="E1768" s="176"/>
      <c r="F1768" s="144" t="s">
        <v>71</v>
      </c>
      <c r="G1768" s="203" t="s">
        <v>156</v>
      </c>
      <c r="H1768" s="202" t="s">
        <v>156</v>
      </c>
      <c r="I1768" s="202" t="s">
        <v>156</v>
      </c>
      <c r="J1768" s="202" t="s">
        <v>156</v>
      </c>
      <c r="K1768" s="202" t="s">
        <v>156</v>
      </c>
      <c r="L1768" s="202" t="s">
        <v>156</v>
      </c>
      <c r="M1768" s="93"/>
      <c r="O1768" s="195"/>
      <c r="P1768" s="196"/>
      <c r="Q1768" s="327"/>
      <c r="R1768" s="327"/>
      <c r="S1768" s="194"/>
      <c r="T1768" s="194"/>
      <c r="U1768" s="194"/>
      <c r="V1768" s="86"/>
      <c r="W1768" s="86"/>
      <c r="X1768" s="86"/>
      <c r="Y1768" s="86"/>
      <c r="Z1768" s="194"/>
      <c r="AA1768" s="194"/>
      <c r="AB1768" s="194"/>
      <c r="AC1768" s="194"/>
    </row>
    <row r="1769" spans="1:29" ht="20.100000000000001" customHeight="1">
      <c r="A1769" s="187">
        <v>3</v>
      </c>
      <c r="B1769" s="185" t="s">
        <v>69</v>
      </c>
      <c r="C1769" s="326" t="s">
        <v>73</v>
      </c>
      <c r="D1769" s="326"/>
      <c r="E1769" s="176"/>
      <c r="F1769" s="144" t="s">
        <v>71</v>
      </c>
      <c r="G1769" s="203" t="s">
        <v>156</v>
      </c>
      <c r="H1769" s="202" t="s">
        <v>156</v>
      </c>
      <c r="I1769" s="202" t="s">
        <v>156</v>
      </c>
      <c r="J1769" s="202" t="s">
        <v>156</v>
      </c>
      <c r="K1769" s="202" t="s">
        <v>156</v>
      </c>
      <c r="L1769" s="202" t="s">
        <v>156</v>
      </c>
      <c r="M1769" s="93"/>
      <c r="O1769" s="195"/>
      <c r="P1769" s="196"/>
      <c r="Q1769" s="327"/>
      <c r="R1769" s="327"/>
      <c r="S1769" s="194"/>
      <c r="T1769" s="86"/>
      <c r="U1769" s="86"/>
      <c r="V1769" s="86"/>
      <c r="W1769" s="86"/>
      <c r="X1769" s="194"/>
      <c r="Y1769" s="194"/>
      <c r="Z1769" s="194"/>
      <c r="AA1769" s="194"/>
      <c r="AB1769" s="194"/>
      <c r="AC1769" s="194"/>
    </row>
    <row r="1770" spans="1:29" ht="20.100000000000001" customHeight="1">
      <c r="A1770" s="187">
        <v>4</v>
      </c>
      <c r="B1770" s="185" t="s">
        <v>69</v>
      </c>
      <c r="C1770" s="326" t="s">
        <v>98</v>
      </c>
      <c r="D1770" s="326"/>
      <c r="E1770" s="176"/>
      <c r="F1770" s="144" t="s">
        <v>71</v>
      </c>
      <c r="G1770" s="203" t="s">
        <v>156</v>
      </c>
      <c r="H1770" s="202" t="s">
        <v>156</v>
      </c>
      <c r="I1770" s="202" t="s">
        <v>156</v>
      </c>
      <c r="J1770" s="202" t="s">
        <v>156</v>
      </c>
      <c r="K1770" s="202" t="s">
        <v>156</v>
      </c>
      <c r="L1770" s="202" t="s">
        <v>156</v>
      </c>
      <c r="M1770" s="93"/>
      <c r="O1770" s="195"/>
      <c r="P1770" s="196"/>
      <c r="Q1770" s="327"/>
      <c r="R1770" s="327"/>
      <c r="S1770" s="194"/>
      <c r="T1770" s="194"/>
      <c r="U1770" s="194"/>
      <c r="V1770" s="194"/>
      <c r="W1770" s="194"/>
      <c r="X1770" s="194"/>
      <c r="Y1770" s="194"/>
      <c r="Z1770" s="86"/>
      <c r="AA1770" s="86"/>
      <c r="AB1770" s="86"/>
      <c r="AC1770" s="86"/>
    </row>
    <row r="1771" spans="1:29" ht="20.100000000000001" customHeight="1">
      <c r="A1771" s="187">
        <v>5</v>
      </c>
      <c r="B1771" s="185" t="s">
        <v>69</v>
      </c>
      <c r="C1771" s="326" t="s">
        <v>74</v>
      </c>
      <c r="D1771" s="326"/>
      <c r="E1771" s="176"/>
      <c r="F1771" s="144" t="s">
        <v>71</v>
      </c>
      <c r="G1771" s="203" t="s">
        <v>156</v>
      </c>
      <c r="H1771" s="202" t="s">
        <v>156</v>
      </c>
      <c r="I1771" s="202" t="s">
        <v>156</v>
      </c>
      <c r="J1771" s="202" t="s">
        <v>156</v>
      </c>
      <c r="K1771" s="202" t="s">
        <v>156</v>
      </c>
      <c r="L1771" s="202" t="s">
        <v>156</v>
      </c>
      <c r="M1771" s="93"/>
      <c r="O1771" s="195"/>
      <c r="P1771" s="196"/>
      <c r="Q1771" s="327"/>
      <c r="R1771" s="327"/>
      <c r="S1771" s="194"/>
      <c r="T1771" s="194"/>
      <c r="U1771" s="194"/>
      <c r="V1771" s="194"/>
      <c r="W1771" s="194"/>
      <c r="X1771" s="194"/>
      <c r="Y1771" s="194"/>
      <c r="Z1771" s="194"/>
      <c r="AA1771" s="194"/>
      <c r="AB1771" s="194"/>
      <c r="AC1771" s="194"/>
    </row>
    <row r="1772" spans="1:29" ht="20.100000000000001" customHeight="1">
      <c r="A1772" s="187">
        <v>6</v>
      </c>
      <c r="B1772" s="185" t="s">
        <v>69</v>
      </c>
      <c r="C1772" s="326" t="s">
        <v>75</v>
      </c>
      <c r="D1772" s="326"/>
      <c r="E1772" s="176"/>
      <c r="F1772" s="144" t="s">
        <v>71</v>
      </c>
      <c r="G1772" s="203" t="s">
        <v>156</v>
      </c>
      <c r="H1772" s="202" t="s">
        <v>156</v>
      </c>
      <c r="I1772" s="202" t="s">
        <v>156</v>
      </c>
      <c r="J1772" s="202" t="s">
        <v>156</v>
      </c>
      <c r="K1772" s="202" t="s">
        <v>156</v>
      </c>
      <c r="L1772" s="202" t="s">
        <v>156</v>
      </c>
      <c r="M1772" s="93"/>
      <c r="O1772" s="195"/>
      <c r="P1772" s="196"/>
      <c r="Q1772" s="327"/>
      <c r="R1772" s="327"/>
      <c r="S1772" s="194"/>
      <c r="T1772" s="194"/>
      <c r="U1772" s="194"/>
      <c r="V1772" s="194"/>
      <c r="W1772" s="194"/>
      <c r="X1772" s="194"/>
      <c r="Y1772" s="194"/>
      <c r="Z1772" s="194"/>
      <c r="AA1772" s="194"/>
      <c r="AB1772" s="194"/>
      <c r="AC1772" s="194"/>
    </row>
    <row r="1773" spans="1:29" ht="20.100000000000001" customHeight="1">
      <c r="A1773" s="187">
        <v>7</v>
      </c>
      <c r="B1773" s="185" t="s">
        <v>69</v>
      </c>
      <c r="C1773" s="326" t="s">
        <v>76</v>
      </c>
      <c r="D1773" s="326"/>
      <c r="E1773" s="176"/>
      <c r="F1773" s="144" t="s">
        <v>71</v>
      </c>
      <c r="G1773" s="203" t="s">
        <v>156</v>
      </c>
      <c r="H1773" s="202" t="s">
        <v>156</v>
      </c>
      <c r="I1773" s="202" t="s">
        <v>156</v>
      </c>
      <c r="J1773" s="202" t="s">
        <v>156</v>
      </c>
      <c r="K1773" s="202" t="s">
        <v>156</v>
      </c>
      <c r="L1773" s="202" t="s">
        <v>156</v>
      </c>
      <c r="M1773" s="93"/>
      <c r="O1773" s="195"/>
      <c r="P1773" s="196"/>
      <c r="Q1773" s="327"/>
      <c r="R1773" s="327"/>
      <c r="S1773" s="194"/>
      <c r="T1773" s="194"/>
      <c r="U1773" s="194"/>
      <c r="V1773" s="194"/>
      <c r="W1773" s="194"/>
      <c r="X1773" s="194"/>
      <c r="Y1773" s="194"/>
      <c r="Z1773" s="194"/>
      <c r="AA1773" s="194"/>
      <c r="AB1773" s="194"/>
      <c r="AC1773" s="194"/>
    </row>
    <row r="1774" spans="1:29" ht="20.100000000000001" customHeight="1">
      <c r="A1774" s="187">
        <v>8</v>
      </c>
      <c r="B1774" s="185" t="s">
        <v>69</v>
      </c>
      <c r="C1774" s="326" t="s">
        <v>99</v>
      </c>
      <c r="D1774" s="326"/>
      <c r="E1774" s="176"/>
      <c r="F1774" s="144" t="s">
        <v>71</v>
      </c>
      <c r="G1774" s="203" t="s">
        <v>156</v>
      </c>
      <c r="H1774" s="202" t="s">
        <v>156</v>
      </c>
      <c r="I1774" s="202" t="s">
        <v>156</v>
      </c>
      <c r="J1774" s="202" t="s">
        <v>156</v>
      </c>
      <c r="K1774" s="202" t="s">
        <v>156</v>
      </c>
      <c r="L1774" s="202" t="s">
        <v>156</v>
      </c>
      <c r="M1774" s="93"/>
      <c r="O1774" s="195"/>
      <c r="P1774" s="196"/>
      <c r="Q1774" s="327"/>
      <c r="R1774" s="327"/>
      <c r="S1774" s="194"/>
      <c r="T1774" s="194"/>
      <c r="U1774" s="194"/>
      <c r="V1774" s="194"/>
      <c r="W1774" s="194"/>
      <c r="X1774" s="194"/>
      <c r="Y1774" s="194"/>
      <c r="Z1774" s="194"/>
      <c r="AA1774" s="194"/>
      <c r="AB1774" s="194"/>
      <c r="AC1774" s="194"/>
    </row>
    <row r="1775" spans="1:29" ht="20.100000000000001" customHeight="1">
      <c r="A1775" s="187">
        <v>9</v>
      </c>
      <c r="B1775" s="185" t="s">
        <v>69</v>
      </c>
      <c r="C1775" s="326" t="s">
        <v>77</v>
      </c>
      <c r="D1775" s="326"/>
      <c r="E1775" s="176"/>
      <c r="F1775" s="144" t="s">
        <v>71</v>
      </c>
      <c r="G1775" s="203" t="s">
        <v>156</v>
      </c>
      <c r="H1775" s="202" t="s">
        <v>156</v>
      </c>
      <c r="I1775" s="202" t="s">
        <v>156</v>
      </c>
      <c r="J1775" s="202" t="s">
        <v>156</v>
      </c>
      <c r="K1775" s="202" t="s">
        <v>156</v>
      </c>
      <c r="L1775" s="202" t="s">
        <v>156</v>
      </c>
      <c r="M1775" s="93"/>
      <c r="O1775" s="195"/>
      <c r="P1775" s="196"/>
      <c r="Q1775" s="327"/>
      <c r="R1775" s="327"/>
      <c r="S1775" s="194"/>
      <c r="T1775" s="194"/>
      <c r="U1775" s="194"/>
      <c r="V1775" s="194"/>
      <c r="W1775" s="194"/>
      <c r="X1775" s="194"/>
      <c r="Y1775" s="194"/>
      <c r="Z1775" s="194"/>
      <c r="AA1775" s="194"/>
      <c r="AB1775" s="194"/>
      <c r="AC1775" s="194"/>
    </row>
    <row r="1776" spans="1:29" ht="20.100000000000001" customHeight="1">
      <c r="A1776" s="187">
        <v>10</v>
      </c>
      <c r="B1776" s="185" t="s">
        <v>69</v>
      </c>
      <c r="C1776" s="326" t="s">
        <v>78</v>
      </c>
      <c r="D1776" s="326"/>
      <c r="E1776" s="176"/>
      <c r="F1776" s="144" t="s">
        <v>71</v>
      </c>
      <c r="G1776" s="203" t="s">
        <v>156</v>
      </c>
      <c r="H1776" s="202" t="s">
        <v>156</v>
      </c>
      <c r="I1776" s="202" t="s">
        <v>156</v>
      </c>
      <c r="J1776" s="202" t="s">
        <v>156</v>
      </c>
      <c r="K1776" s="202" t="s">
        <v>156</v>
      </c>
      <c r="L1776" s="202" t="s">
        <v>156</v>
      </c>
      <c r="M1776" s="93"/>
      <c r="O1776" s="195"/>
      <c r="P1776" s="196"/>
      <c r="Q1776" s="327"/>
      <c r="R1776" s="327"/>
      <c r="S1776" s="194"/>
      <c r="T1776" s="194"/>
      <c r="U1776" s="194"/>
      <c r="V1776" s="194"/>
      <c r="W1776" s="194"/>
      <c r="X1776" s="194"/>
      <c r="Y1776" s="194"/>
      <c r="Z1776" s="194"/>
      <c r="AA1776" s="194"/>
      <c r="AB1776" s="194"/>
      <c r="AC1776" s="194"/>
    </row>
    <row r="1777" spans="1:29" ht="20.100000000000001" customHeight="1">
      <c r="A1777" s="187">
        <v>11</v>
      </c>
      <c r="B1777" s="185" t="s">
        <v>69</v>
      </c>
      <c r="C1777" s="326" t="s">
        <v>79</v>
      </c>
      <c r="D1777" s="326"/>
      <c r="E1777" s="176"/>
      <c r="F1777" s="144" t="s">
        <v>71</v>
      </c>
      <c r="G1777" s="203" t="s">
        <v>156</v>
      </c>
      <c r="H1777" s="202" t="s">
        <v>156</v>
      </c>
      <c r="I1777" s="202" t="s">
        <v>156</v>
      </c>
      <c r="J1777" s="202" t="s">
        <v>156</v>
      </c>
      <c r="K1777" s="202" t="s">
        <v>156</v>
      </c>
      <c r="L1777" s="202" t="s">
        <v>156</v>
      </c>
      <c r="M1777" s="93"/>
      <c r="O1777" s="195"/>
      <c r="P1777" s="196"/>
      <c r="Q1777" s="327"/>
      <c r="R1777" s="327"/>
      <c r="S1777" s="194"/>
      <c r="T1777" s="194"/>
      <c r="U1777" s="194"/>
      <c r="V1777" s="194"/>
      <c r="W1777" s="194"/>
      <c r="X1777" s="194"/>
      <c r="Y1777" s="194"/>
      <c r="Z1777" s="194"/>
      <c r="AA1777" s="194"/>
      <c r="AB1777" s="194"/>
      <c r="AC1777" s="194"/>
    </row>
    <row r="1778" spans="1:29" ht="20.100000000000001" customHeight="1">
      <c r="A1778" s="187">
        <v>12</v>
      </c>
      <c r="B1778" s="185" t="s">
        <v>69</v>
      </c>
      <c r="C1778" s="326" t="s">
        <v>100</v>
      </c>
      <c r="D1778" s="326"/>
      <c r="E1778" s="176"/>
      <c r="F1778" s="144" t="s">
        <v>71</v>
      </c>
      <c r="G1778" s="203" t="s">
        <v>156</v>
      </c>
      <c r="H1778" s="202" t="s">
        <v>156</v>
      </c>
      <c r="I1778" s="202" t="s">
        <v>156</v>
      </c>
      <c r="J1778" s="202" t="s">
        <v>156</v>
      </c>
      <c r="K1778" s="202" t="s">
        <v>156</v>
      </c>
      <c r="L1778" s="202" t="s">
        <v>156</v>
      </c>
      <c r="M1778" s="93"/>
      <c r="O1778" s="195"/>
      <c r="P1778" s="196"/>
      <c r="Q1778" s="327"/>
      <c r="R1778" s="327"/>
      <c r="S1778" s="194"/>
      <c r="T1778" s="194"/>
      <c r="U1778" s="194"/>
      <c r="V1778" s="194"/>
      <c r="W1778" s="194"/>
      <c r="X1778" s="194"/>
      <c r="Y1778" s="194"/>
      <c r="Z1778" s="194"/>
      <c r="AA1778" s="194"/>
      <c r="AB1778" s="194"/>
      <c r="AC1778" s="194"/>
    </row>
    <row r="1779" spans="1:29" ht="20.100000000000001" customHeight="1">
      <c r="A1779" s="187">
        <v>13</v>
      </c>
      <c r="B1779" s="185" t="s">
        <v>69</v>
      </c>
      <c r="C1779" s="326" t="s">
        <v>80</v>
      </c>
      <c r="D1779" s="326"/>
      <c r="E1779" s="176"/>
      <c r="F1779" s="144" t="s">
        <v>71</v>
      </c>
      <c r="G1779" s="203" t="s">
        <v>156</v>
      </c>
      <c r="H1779" s="202" t="s">
        <v>156</v>
      </c>
      <c r="I1779" s="202" t="s">
        <v>156</v>
      </c>
      <c r="J1779" s="202" t="s">
        <v>156</v>
      </c>
      <c r="K1779" s="202" t="s">
        <v>156</v>
      </c>
      <c r="L1779" s="202" t="s">
        <v>156</v>
      </c>
      <c r="M1779" s="93"/>
      <c r="O1779" s="195"/>
      <c r="P1779" s="196"/>
      <c r="Q1779" s="327"/>
      <c r="R1779" s="327"/>
      <c r="S1779" s="194"/>
      <c r="T1779" s="194"/>
      <c r="U1779" s="194"/>
      <c r="V1779" s="194"/>
      <c r="W1779" s="194"/>
      <c r="X1779" s="194"/>
      <c r="Y1779" s="194"/>
      <c r="Z1779" s="194"/>
      <c r="AA1779" s="194"/>
      <c r="AB1779" s="194"/>
      <c r="AC1779" s="194"/>
    </row>
    <row r="1780" spans="1:29" ht="20.100000000000001" customHeight="1">
      <c r="A1780" s="187">
        <v>14</v>
      </c>
      <c r="B1780" s="185" t="s">
        <v>69</v>
      </c>
      <c r="C1780" s="326" t="s">
        <v>91</v>
      </c>
      <c r="D1780" s="326"/>
      <c r="E1780" s="176"/>
      <c r="F1780" s="144" t="s">
        <v>71</v>
      </c>
      <c r="G1780" s="203" t="s">
        <v>156</v>
      </c>
      <c r="H1780" s="202" t="s">
        <v>156</v>
      </c>
      <c r="I1780" s="202" t="s">
        <v>156</v>
      </c>
      <c r="J1780" s="202" t="s">
        <v>156</v>
      </c>
      <c r="K1780" s="202" t="s">
        <v>156</v>
      </c>
      <c r="L1780" s="202" t="s">
        <v>156</v>
      </c>
      <c r="M1780" s="93"/>
      <c r="O1780" s="195"/>
      <c r="P1780" s="196"/>
      <c r="Q1780" s="327"/>
      <c r="R1780" s="327"/>
      <c r="S1780" s="194"/>
      <c r="T1780" s="194"/>
      <c r="U1780" s="194"/>
      <c r="V1780" s="194"/>
      <c r="W1780" s="194"/>
      <c r="X1780" s="194"/>
      <c r="Y1780" s="194"/>
      <c r="Z1780" s="194"/>
      <c r="AA1780" s="194"/>
      <c r="AB1780" s="194"/>
      <c r="AC1780" s="194"/>
    </row>
    <row r="1781" spans="1:29" ht="20.100000000000001" customHeight="1">
      <c r="A1781" s="187">
        <v>15</v>
      </c>
      <c r="B1781" s="185" t="s">
        <v>69</v>
      </c>
      <c r="C1781" s="326" t="s">
        <v>81</v>
      </c>
      <c r="D1781" s="326"/>
      <c r="E1781" s="176"/>
      <c r="F1781" s="144" t="s">
        <v>71</v>
      </c>
      <c r="G1781" s="203" t="s">
        <v>156</v>
      </c>
      <c r="H1781" s="202" t="s">
        <v>156</v>
      </c>
      <c r="I1781" s="202" t="s">
        <v>156</v>
      </c>
      <c r="J1781" s="202" t="s">
        <v>156</v>
      </c>
      <c r="K1781" s="202" t="s">
        <v>156</v>
      </c>
      <c r="L1781" s="202" t="s">
        <v>156</v>
      </c>
      <c r="M1781" s="93"/>
      <c r="O1781" s="195"/>
      <c r="P1781" s="196"/>
      <c r="Q1781" s="327"/>
      <c r="R1781" s="327"/>
      <c r="S1781" s="194"/>
      <c r="T1781" s="194"/>
      <c r="U1781" s="194"/>
      <c r="V1781" s="194"/>
      <c r="W1781" s="194"/>
      <c r="X1781" s="194"/>
      <c r="Y1781" s="194"/>
      <c r="Z1781" s="194"/>
      <c r="AA1781" s="194"/>
      <c r="AB1781" s="194"/>
      <c r="AC1781" s="194"/>
    </row>
    <row r="1782" spans="1:29" ht="20.100000000000001" customHeight="1">
      <c r="A1782" s="187">
        <v>16</v>
      </c>
      <c r="B1782" s="185" t="s">
        <v>69</v>
      </c>
      <c r="C1782" s="326" t="s">
        <v>101</v>
      </c>
      <c r="D1782" s="326"/>
      <c r="E1782" s="151"/>
      <c r="F1782" s="144" t="s">
        <v>71</v>
      </c>
      <c r="G1782" s="203" t="s">
        <v>156</v>
      </c>
      <c r="H1782" s="202" t="s">
        <v>156</v>
      </c>
      <c r="I1782" s="202" t="s">
        <v>156</v>
      </c>
      <c r="J1782" s="202" t="s">
        <v>156</v>
      </c>
      <c r="K1782" s="202" t="s">
        <v>156</v>
      </c>
      <c r="L1782" s="202" t="s">
        <v>156</v>
      </c>
      <c r="M1782" s="93"/>
      <c r="N1782" s="219"/>
      <c r="O1782" s="195"/>
      <c r="P1782" s="196"/>
      <c r="Q1782" s="327"/>
      <c r="R1782" s="327"/>
      <c r="S1782" s="197"/>
      <c r="T1782" s="197"/>
      <c r="U1782" s="197"/>
      <c r="V1782" s="197"/>
      <c r="W1782" s="197"/>
      <c r="X1782" s="197"/>
      <c r="Y1782" s="197"/>
      <c r="Z1782" s="197"/>
      <c r="AA1782" s="197"/>
      <c r="AB1782" s="197"/>
      <c r="AC1782" s="197"/>
    </row>
    <row r="1783" spans="1:29" ht="20.100000000000001" customHeight="1">
      <c r="A1783" s="187">
        <v>17</v>
      </c>
      <c r="B1783" s="186" t="s">
        <v>69</v>
      </c>
      <c r="C1783" s="326" t="s">
        <v>141</v>
      </c>
      <c r="D1783" s="326"/>
      <c r="E1783" s="151"/>
      <c r="F1783" s="144" t="s">
        <v>71</v>
      </c>
      <c r="G1783" s="203" t="s">
        <v>156</v>
      </c>
      <c r="H1783" s="202" t="s">
        <v>156</v>
      </c>
      <c r="I1783" s="202" t="s">
        <v>156</v>
      </c>
      <c r="J1783" s="202" t="s">
        <v>156</v>
      </c>
      <c r="K1783" s="202" t="s">
        <v>156</v>
      </c>
      <c r="L1783" s="202" t="s">
        <v>156</v>
      </c>
      <c r="M1783" s="93"/>
      <c r="N1783" s="219"/>
      <c r="O1783" s="195"/>
      <c r="P1783" s="104"/>
      <c r="Q1783" s="327"/>
      <c r="R1783" s="327"/>
      <c r="S1783" s="197"/>
      <c r="T1783" s="197"/>
      <c r="U1783" s="197"/>
      <c r="V1783" s="197"/>
      <c r="W1783" s="197"/>
      <c r="X1783" s="197"/>
      <c r="Y1783" s="197"/>
      <c r="Z1783" s="197"/>
      <c r="AA1783" s="197"/>
      <c r="AB1783" s="197"/>
      <c r="AC1783" s="197"/>
    </row>
    <row r="1784" spans="1:29" ht="20.100000000000001" customHeight="1">
      <c r="A1784" s="187">
        <v>18</v>
      </c>
      <c r="B1784" s="186" t="s">
        <v>69</v>
      </c>
      <c r="C1784" s="326" t="s">
        <v>142</v>
      </c>
      <c r="D1784" s="326"/>
      <c r="E1784" s="151"/>
      <c r="F1784" s="144" t="s">
        <v>71</v>
      </c>
      <c r="G1784" s="203" t="s">
        <v>156</v>
      </c>
      <c r="H1784" s="202" t="s">
        <v>156</v>
      </c>
      <c r="I1784" s="202" t="s">
        <v>156</v>
      </c>
      <c r="J1784" s="202" t="s">
        <v>156</v>
      </c>
      <c r="K1784" s="202" t="s">
        <v>156</v>
      </c>
      <c r="L1784" s="202" t="s">
        <v>156</v>
      </c>
      <c r="M1784" s="93"/>
      <c r="N1784" s="219"/>
      <c r="O1784" s="195"/>
      <c r="P1784" s="104"/>
      <c r="Q1784" s="327"/>
      <c r="R1784" s="327"/>
      <c r="S1784" s="197"/>
      <c r="T1784" s="197"/>
      <c r="U1784" s="197"/>
      <c r="V1784" s="197"/>
      <c r="W1784" s="197"/>
      <c r="X1784" s="197"/>
      <c r="Y1784" s="197"/>
      <c r="Z1784" s="197"/>
      <c r="AA1784" s="197"/>
      <c r="AB1784" s="197"/>
      <c r="AC1784" s="197"/>
    </row>
    <row r="1785" spans="1:29" ht="20.100000000000001" customHeight="1">
      <c r="A1785" s="187">
        <v>19</v>
      </c>
      <c r="B1785" s="186" t="s">
        <v>69</v>
      </c>
      <c r="C1785" s="326" t="s">
        <v>143</v>
      </c>
      <c r="D1785" s="326"/>
      <c r="E1785" s="151"/>
      <c r="F1785" s="144" t="s">
        <v>71</v>
      </c>
      <c r="G1785" s="203" t="s">
        <v>156</v>
      </c>
      <c r="H1785" s="202" t="s">
        <v>156</v>
      </c>
      <c r="I1785" s="202" t="s">
        <v>156</v>
      </c>
      <c r="J1785" s="202" t="s">
        <v>156</v>
      </c>
      <c r="K1785" s="202" t="s">
        <v>156</v>
      </c>
      <c r="L1785" s="202" t="s">
        <v>156</v>
      </c>
      <c r="M1785" s="93"/>
      <c r="N1785" s="219"/>
      <c r="O1785" s="195"/>
      <c r="P1785" s="104"/>
      <c r="Q1785" s="327"/>
      <c r="R1785" s="327"/>
      <c r="S1785" s="197"/>
      <c r="T1785" s="197"/>
      <c r="U1785" s="197"/>
      <c r="V1785" s="197"/>
      <c r="W1785" s="197"/>
      <c r="X1785" s="197"/>
      <c r="Y1785" s="197"/>
      <c r="Z1785" s="197"/>
      <c r="AA1785" s="197"/>
      <c r="AB1785" s="197"/>
      <c r="AC1785" s="197"/>
    </row>
    <row r="1786" spans="1:29" ht="20.100000000000001" customHeight="1">
      <c r="A1786" s="187">
        <v>20</v>
      </c>
      <c r="B1786" s="186" t="s">
        <v>69</v>
      </c>
      <c r="C1786" s="326" t="s">
        <v>102</v>
      </c>
      <c r="D1786" s="326"/>
      <c r="E1786" s="150"/>
      <c r="F1786" s="154" t="s">
        <v>71</v>
      </c>
      <c r="G1786" s="203" t="s">
        <v>156</v>
      </c>
      <c r="H1786" s="202" t="s">
        <v>156</v>
      </c>
      <c r="I1786" s="202" t="s">
        <v>156</v>
      </c>
      <c r="J1786" s="202" t="s">
        <v>156</v>
      </c>
      <c r="K1786" s="202" t="s">
        <v>156</v>
      </c>
      <c r="L1786" s="202" t="s">
        <v>156</v>
      </c>
      <c r="M1786" s="93"/>
      <c r="N1786" s="219"/>
      <c r="O1786" s="195"/>
      <c r="P1786" s="104"/>
      <c r="Q1786" s="327"/>
      <c r="R1786" s="327"/>
      <c r="S1786" s="197"/>
      <c r="T1786" s="197"/>
      <c r="U1786" s="197"/>
      <c r="V1786" s="197"/>
      <c r="W1786" s="197"/>
      <c r="X1786" s="197"/>
      <c r="Y1786" s="197"/>
      <c r="Z1786" s="197"/>
      <c r="AA1786" s="197"/>
      <c r="AB1786" s="197"/>
      <c r="AC1786" s="197"/>
    </row>
    <row r="1787" spans="1:29" ht="24.75" customHeight="1">
      <c r="A1787" s="190" t="s">
        <v>128</v>
      </c>
      <c r="B1787" s="142"/>
      <c r="C1787" s="330" t="s">
        <v>130</v>
      </c>
      <c r="D1787" s="330"/>
      <c r="E1787" s="330"/>
      <c r="F1787" s="330"/>
      <c r="G1787" s="330"/>
      <c r="H1787" s="330"/>
      <c r="I1787" s="330"/>
      <c r="J1787" s="330"/>
      <c r="K1787" s="330"/>
      <c r="L1787" s="330"/>
      <c r="M1787" s="93"/>
      <c r="O1787" s="156"/>
      <c r="P1787" s="142"/>
      <c r="Q1787" s="331"/>
      <c r="R1787" s="331"/>
      <c r="S1787" s="331"/>
      <c r="T1787" s="331"/>
      <c r="U1787" s="331"/>
      <c r="V1787" s="331"/>
      <c r="W1787" s="331"/>
      <c r="X1787" s="331"/>
      <c r="Y1787" s="331"/>
      <c r="Z1787" s="331"/>
      <c r="AA1787" s="331"/>
      <c r="AB1787" s="331"/>
      <c r="AC1787" s="331"/>
    </row>
    <row r="1788" spans="1:29" ht="33" customHeight="1">
      <c r="A1788" s="189">
        <v>21</v>
      </c>
      <c r="B1788" s="188" t="s">
        <v>69</v>
      </c>
      <c r="C1788" s="307" t="s">
        <v>82</v>
      </c>
      <c r="D1788" s="308"/>
      <c r="E1788" s="182"/>
      <c r="F1788" s="191" t="s">
        <v>71</v>
      </c>
      <c r="G1788" s="201">
        <v>58</v>
      </c>
      <c r="H1788" s="201">
        <v>40</v>
      </c>
      <c r="I1788" s="201">
        <v>21</v>
      </c>
      <c r="J1788" s="201">
        <v>58</v>
      </c>
      <c r="K1788" s="201">
        <v>40</v>
      </c>
      <c r="L1788" s="201">
        <v>21</v>
      </c>
      <c r="M1788" s="89"/>
      <c r="N1788" s="219"/>
      <c r="O1788" s="199"/>
      <c r="P1788" s="200"/>
      <c r="Q1788" s="309"/>
      <c r="R1788" s="309"/>
      <c r="S1788" s="86"/>
      <c r="T1788" s="86"/>
      <c r="U1788" s="86"/>
      <c r="V1788" s="86"/>
      <c r="W1788" s="86"/>
      <c r="X1788" s="86"/>
      <c r="Y1788" s="86"/>
      <c r="Z1788" s="86"/>
      <c r="AA1788" s="86"/>
      <c r="AB1788" s="86"/>
      <c r="AC1788" s="86"/>
    </row>
    <row r="1789" spans="1:29" ht="33" customHeight="1">
      <c r="A1789" s="189">
        <v>22</v>
      </c>
      <c r="B1789" s="188" t="s">
        <v>69</v>
      </c>
      <c r="C1789" s="307" t="s">
        <v>103</v>
      </c>
      <c r="D1789" s="308"/>
      <c r="E1789" s="179"/>
      <c r="F1789" s="191" t="s">
        <v>71</v>
      </c>
      <c r="G1789" s="201">
        <v>9</v>
      </c>
      <c r="H1789" s="201">
        <v>9</v>
      </c>
      <c r="I1789" s="201">
        <v>7</v>
      </c>
      <c r="J1789" s="201">
        <v>9</v>
      </c>
      <c r="K1789" s="201">
        <v>9</v>
      </c>
      <c r="L1789" s="201">
        <v>7</v>
      </c>
      <c r="M1789" s="89"/>
      <c r="N1789" s="219"/>
      <c r="O1789" s="199"/>
      <c r="P1789" s="200"/>
      <c r="Q1789" s="309"/>
      <c r="R1789" s="309"/>
      <c r="S1789" s="86"/>
      <c r="T1789" s="86"/>
      <c r="U1789" s="86"/>
      <c r="V1789" s="86"/>
      <c r="W1789" s="86"/>
      <c r="X1789" s="86"/>
      <c r="Y1789" s="86"/>
      <c r="Z1789" s="86"/>
      <c r="AA1789" s="86"/>
      <c r="AB1789" s="86"/>
      <c r="AC1789" s="86"/>
    </row>
    <row r="1790" spans="1:29" ht="33" customHeight="1">
      <c r="A1790" s="189">
        <v>23</v>
      </c>
      <c r="B1790" s="188" t="s">
        <v>69</v>
      </c>
      <c r="C1790" s="307" t="s">
        <v>104</v>
      </c>
      <c r="D1790" s="308"/>
      <c r="E1790" s="179"/>
      <c r="F1790" s="191" t="s">
        <v>71</v>
      </c>
      <c r="G1790" s="201">
        <v>5</v>
      </c>
      <c r="H1790" s="201">
        <v>1</v>
      </c>
      <c r="I1790" s="201">
        <v>1</v>
      </c>
      <c r="J1790" s="201">
        <v>5</v>
      </c>
      <c r="K1790" s="201">
        <v>1</v>
      </c>
      <c r="L1790" s="201">
        <v>1</v>
      </c>
      <c r="M1790" s="89"/>
      <c r="N1790" s="219"/>
      <c r="O1790" s="199"/>
      <c r="P1790" s="200"/>
      <c r="Q1790" s="309"/>
      <c r="R1790" s="309"/>
      <c r="S1790" s="86"/>
      <c r="T1790" s="86"/>
      <c r="U1790" s="86"/>
      <c r="V1790" s="86"/>
      <c r="W1790" s="86"/>
      <c r="X1790" s="86"/>
      <c r="Y1790" s="86"/>
      <c r="Z1790" s="86"/>
      <c r="AA1790" s="86"/>
      <c r="AB1790" s="86"/>
      <c r="AC1790" s="86"/>
    </row>
    <row r="1791" spans="1:29" ht="27.75" customHeight="1">
      <c r="A1791" s="317" t="s">
        <v>135</v>
      </c>
      <c r="B1791" s="318"/>
      <c r="C1791" s="317" t="s">
        <v>68</v>
      </c>
      <c r="D1791" s="318"/>
      <c r="E1791" s="183"/>
      <c r="F1791" s="321" t="s">
        <v>136</v>
      </c>
      <c r="G1791" s="322" t="s">
        <v>155</v>
      </c>
      <c r="H1791" s="323"/>
      <c r="I1791" s="323"/>
      <c r="J1791" s="322" t="s">
        <v>154</v>
      </c>
      <c r="K1791" s="323"/>
      <c r="L1791" s="324"/>
      <c r="M1791" s="92"/>
      <c r="O1791" s="325"/>
      <c r="P1791" s="325"/>
      <c r="Q1791" s="325"/>
      <c r="R1791" s="325"/>
      <c r="S1791" s="316"/>
      <c r="T1791" s="316"/>
      <c r="U1791" s="316"/>
      <c r="V1791" s="316"/>
      <c r="W1791" s="316"/>
      <c r="X1791" s="316"/>
      <c r="Y1791" s="316"/>
      <c r="Z1791" s="316"/>
      <c r="AA1791" s="316"/>
      <c r="AB1791" s="316"/>
      <c r="AC1791" s="316"/>
    </row>
    <row r="1792" spans="1:29" ht="125.25" customHeight="1">
      <c r="A1792" s="319"/>
      <c r="B1792" s="320"/>
      <c r="C1792" s="319"/>
      <c r="D1792" s="320"/>
      <c r="E1792" s="184"/>
      <c r="F1792" s="321"/>
      <c r="G1792" s="153" t="s">
        <v>151</v>
      </c>
      <c r="H1792" s="153" t="s">
        <v>152</v>
      </c>
      <c r="I1792" s="153" t="s">
        <v>153</v>
      </c>
      <c r="J1792" s="153" t="s">
        <v>151</v>
      </c>
      <c r="K1792" s="153" t="s">
        <v>152</v>
      </c>
      <c r="L1792" s="153" t="s">
        <v>153</v>
      </c>
      <c r="O1792" s="325"/>
      <c r="P1792" s="325"/>
      <c r="Q1792" s="325"/>
      <c r="R1792" s="325"/>
      <c r="S1792" s="193"/>
      <c r="T1792" s="193"/>
      <c r="U1792" s="193"/>
      <c r="V1792" s="193"/>
      <c r="W1792" s="193"/>
      <c r="X1792" s="193"/>
      <c r="Y1792" s="193"/>
      <c r="Z1792" s="193"/>
      <c r="AA1792" s="193"/>
      <c r="AB1792" s="193"/>
      <c r="AC1792" s="193"/>
    </row>
    <row r="1793" spans="1:29" ht="30" customHeight="1">
      <c r="A1793" s="189">
        <v>24</v>
      </c>
      <c r="B1793" s="188" t="s">
        <v>69</v>
      </c>
      <c r="C1793" s="307" t="s">
        <v>131</v>
      </c>
      <c r="D1793" s="308"/>
      <c r="E1793" s="179"/>
      <c r="F1793" s="191" t="s">
        <v>71</v>
      </c>
      <c r="G1793" s="202" t="s">
        <v>156</v>
      </c>
      <c r="H1793" s="202" t="s">
        <v>156</v>
      </c>
      <c r="I1793" s="202" t="s">
        <v>156</v>
      </c>
      <c r="J1793" s="202" t="s">
        <v>156</v>
      </c>
      <c r="K1793" s="202" t="s">
        <v>156</v>
      </c>
      <c r="L1793" s="202" t="s">
        <v>156</v>
      </c>
      <c r="M1793" s="89"/>
      <c r="N1793" s="219"/>
      <c r="O1793" s="199"/>
      <c r="P1793" s="200"/>
      <c r="Q1793" s="309"/>
      <c r="R1793" s="309"/>
      <c r="S1793" s="86"/>
      <c r="T1793" s="86"/>
      <c r="U1793" s="86"/>
      <c r="V1793" s="86"/>
      <c r="W1793" s="86"/>
      <c r="X1793" s="86"/>
      <c r="Y1793" s="86"/>
      <c r="Z1793" s="86"/>
      <c r="AA1793" s="86"/>
      <c r="AB1793" s="86"/>
      <c r="AC1793" s="86"/>
    </row>
    <row r="1794" spans="1:29" ht="30" customHeight="1">
      <c r="A1794" s="189">
        <v>25</v>
      </c>
      <c r="B1794" s="188" t="s">
        <v>69</v>
      </c>
      <c r="C1794" s="307" t="s">
        <v>83</v>
      </c>
      <c r="D1794" s="308"/>
      <c r="E1794" s="179"/>
      <c r="F1794" s="191" t="s">
        <v>71</v>
      </c>
      <c r="G1794" s="201">
        <v>25</v>
      </c>
      <c r="H1794" s="201">
        <v>40</v>
      </c>
      <c r="I1794" s="201">
        <v>22</v>
      </c>
      <c r="J1794" s="201">
        <v>25</v>
      </c>
      <c r="K1794" s="201">
        <v>40</v>
      </c>
      <c r="L1794" s="201">
        <v>22</v>
      </c>
      <c r="M1794" s="89"/>
      <c r="N1794" s="219"/>
      <c r="O1794" s="199"/>
      <c r="P1794" s="200"/>
      <c r="Q1794" s="309"/>
      <c r="R1794" s="309"/>
      <c r="S1794" s="86"/>
      <c r="T1794" s="86"/>
      <c r="U1794" s="86"/>
      <c r="V1794" s="86"/>
      <c r="W1794" s="86"/>
      <c r="X1794" s="86"/>
      <c r="Y1794" s="86"/>
      <c r="Z1794" s="86"/>
      <c r="AA1794" s="86"/>
      <c r="AB1794" s="86"/>
      <c r="AC1794" s="86"/>
    </row>
    <row r="1795" spans="1:29" ht="30" customHeight="1">
      <c r="A1795" s="189">
        <v>26</v>
      </c>
      <c r="B1795" s="188" t="s">
        <v>69</v>
      </c>
      <c r="C1795" s="307" t="s">
        <v>84</v>
      </c>
      <c r="D1795" s="308"/>
      <c r="E1795" s="179"/>
      <c r="F1795" s="191" t="s">
        <v>71</v>
      </c>
      <c r="G1795" s="201">
        <v>5</v>
      </c>
      <c r="H1795" s="202" t="s">
        <v>156</v>
      </c>
      <c r="I1795" s="202" t="s">
        <v>156</v>
      </c>
      <c r="J1795" s="201">
        <v>5</v>
      </c>
      <c r="K1795" s="202" t="s">
        <v>156</v>
      </c>
      <c r="L1795" s="202" t="s">
        <v>156</v>
      </c>
      <c r="M1795" s="89"/>
      <c r="N1795" s="219"/>
      <c r="O1795" s="199"/>
      <c r="P1795" s="200"/>
      <c r="Q1795" s="309"/>
      <c r="R1795" s="309"/>
      <c r="S1795" s="86"/>
      <c r="T1795" s="86"/>
      <c r="U1795" s="86"/>
      <c r="V1795" s="86"/>
      <c r="W1795" s="86"/>
      <c r="X1795" s="86"/>
      <c r="Y1795" s="86"/>
      <c r="Z1795" s="86"/>
      <c r="AA1795" s="86"/>
      <c r="AB1795" s="86"/>
      <c r="AC1795" s="86"/>
    </row>
    <row r="1796" spans="1:29" ht="30" customHeight="1">
      <c r="A1796" s="189">
        <v>27</v>
      </c>
      <c r="B1796" s="188" t="s">
        <v>69</v>
      </c>
      <c r="C1796" s="307" t="s">
        <v>85</v>
      </c>
      <c r="D1796" s="308"/>
      <c r="E1796" s="179"/>
      <c r="F1796" s="191" t="s">
        <v>71</v>
      </c>
      <c r="G1796" s="201">
        <v>3</v>
      </c>
      <c r="H1796" s="201">
        <v>1</v>
      </c>
      <c r="I1796" s="201">
        <v>8</v>
      </c>
      <c r="J1796" s="201">
        <v>3</v>
      </c>
      <c r="K1796" s="201">
        <v>1</v>
      </c>
      <c r="L1796" s="201">
        <v>8</v>
      </c>
      <c r="M1796" s="89"/>
      <c r="N1796" s="219"/>
      <c r="O1796" s="199"/>
      <c r="P1796" s="200"/>
      <c r="Q1796" s="309"/>
      <c r="R1796" s="309"/>
      <c r="S1796" s="86"/>
      <c r="T1796" s="86"/>
      <c r="U1796" s="86"/>
      <c r="V1796" s="86"/>
      <c r="W1796" s="86"/>
      <c r="X1796" s="86"/>
      <c r="Y1796" s="86"/>
      <c r="Z1796" s="86"/>
      <c r="AA1796" s="86"/>
      <c r="AB1796" s="86"/>
      <c r="AC1796" s="86"/>
    </row>
    <row r="1797" spans="1:29" ht="30" customHeight="1">
      <c r="A1797" s="189">
        <v>28</v>
      </c>
      <c r="B1797" s="188" t="s">
        <v>69</v>
      </c>
      <c r="C1797" s="307" t="s">
        <v>132</v>
      </c>
      <c r="D1797" s="308"/>
      <c r="E1797" s="179"/>
      <c r="F1797" s="191" t="s">
        <v>71</v>
      </c>
      <c r="G1797" s="202" t="s">
        <v>156</v>
      </c>
      <c r="H1797" s="202" t="s">
        <v>156</v>
      </c>
      <c r="I1797" s="202" t="s">
        <v>156</v>
      </c>
      <c r="J1797" s="202" t="s">
        <v>156</v>
      </c>
      <c r="K1797" s="202" t="s">
        <v>156</v>
      </c>
      <c r="L1797" s="202" t="s">
        <v>156</v>
      </c>
      <c r="M1797" s="89"/>
      <c r="N1797" s="219"/>
      <c r="O1797" s="199"/>
      <c r="P1797" s="200"/>
      <c r="Q1797" s="309"/>
      <c r="R1797" s="309"/>
      <c r="S1797" s="86"/>
      <c r="T1797" s="86"/>
      <c r="U1797" s="86"/>
      <c r="V1797" s="86"/>
      <c r="W1797" s="86"/>
      <c r="X1797" s="86"/>
      <c r="Y1797" s="86"/>
      <c r="Z1797" s="86"/>
      <c r="AA1797" s="86"/>
      <c r="AB1797" s="86"/>
      <c r="AC1797" s="86"/>
    </row>
    <row r="1798" spans="1:29" ht="30" customHeight="1">
      <c r="A1798" s="189">
        <v>29</v>
      </c>
      <c r="B1798" s="188" t="s">
        <v>69</v>
      </c>
      <c r="C1798" s="307" t="s">
        <v>86</v>
      </c>
      <c r="D1798" s="308"/>
      <c r="E1798" s="179"/>
      <c r="F1798" s="191" t="s">
        <v>71</v>
      </c>
      <c r="G1798" s="201">
        <v>10</v>
      </c>
      <c r="H1798" s="201">
        <v>12</v>
      </c>
      <c r="I1798" s="201">
        <v>9</v>
      </c>
      <c r="J1798" s="201">
        <v>10</v>
      </c>
      <c r="K1798" s="201">
        <v>12</v>
      </c>
      <c r="L1798" s="201">
        <v>9</v>
      </c>
      <c r="M1798" s="89"/>
      <c r="N1798" s="219"/>
      <c r="O1798" s="199"/>
      <c r="P1798" s="200"/>
      <c r="Q1798" s="309"/>
      <c r="R1798" s="309"/>
      <c r="S1798" s="86"/>
      <c r="T1798" s="86"/>
      <c r="U1798" s="86"/>
      <c r="V1798" s="86"/>
      <c r="W1798" s="86"/>
      <c r="X1798" s="86"/>
      <c r="Y1798" s="86"/>
      <c r="Z1798" s="86"/>
      <c r="AA1798" s="86"/>
      <c r="AB1798" s="86"/>
      <c r="AC1798" s="86"/>
    </row>
    <row r="1799" spans="1:29" ht="30" customHeight="1">
      <c r="A1799" s="189">
        <v>30</v>
      </c>
      <c r="B1799" s="188" t="s">
        <v>69</v>
      </c>
      <c r="C1799" s="307" t="s">
        <v>87</v>
      </c>
      <c r="D1799" s="308"/>
      <c r="E1799" s="179"/>
      <c r="F1799" s="191" t="s">
        <v>71</v>
      </c>
      <c r="G1799" s="202" t="s">
        <v>156</v>
      </c>
      <c r="H1799" s="202" t="s">
        <v>156</v>
      </c>
      <c r="I1799" s="202" t="s">
        <v>156</v>
      </c>
      <c r="J1799" s="202" t="s">
        <v>156</v>
      </c>
      <c r="K1799" s="202" t="s">
        <v>156</v>
      </c>
      <c r="L1799" s="202" t="s">
        <v>156</v>
      </c>
      <c r="M1799" s="89"/>
      <c r="N1799" s="219"/>
      <c r="O1799" s="199"/>
      <c r="P1799" s="200"/>
      <c r="Q1799" s="309"/>
      <c r="R1799" s="309"/>
      <c r="S1799" s="86"/>
      <c r="T1799" s="86"/>
      <c r="U1799" s="86"/>
      <c r="V1799" s="86"/>
      <c r="W1799" s="86"/>
      <c r="X1799" s="86"/>
      <c r="Y1799" s="86"/>
      <c r="Z1799" s="86"/>
      <c r="AA1799" s="86"/>
      <c r="AB1799" s="86"/>
      <c r="AC1799" s="86"/>
    </row>
    <row r="1800" spans="1:29" ht="30" customHeight="1">
      <c r="A1800" s="189">
        <v>31</v>
      </c>
      <c r="B1800" s="188" t="s">
        <v>69</v>
      </c>
      <c r="C1800" s="307" t="s">
        <v>105</v>
      </c>
      <c r="D1800" s="308"/>
      <c r="E1800" s="179"/>
      <c r="F1800" s="191" t="s">
        <v>71</v>
      </c>
      <c r="G1800" s="201">
        <v>2</v>
      </c>
      <c r="H1800" s="203" t="s">
        <v>156</v>
      </c>
      <c r="I1800" s="201">
        <v>8</v>
      </c>
      <c r="J1800" s="201">
        <v>2</v>
      </c>
      <c r="K1800" s="203" t="s">
        <v>156</v>
      </c>
      <c r="L1800" s="201">
        <v>8</v>
      </c>
      <c r="M1800" s="89"/>
      <c r="N1800" s="219"/>
      <c r="O1800" s="199"/>
      <c r="P1800" s="200"/>
      <c r="Q1800" s="309"/>
      <c r="R1800" s="309"/>
      <c r="S1800" s="86"/>
      <c r="T1800" s="86"/>
      <c r="U1800" s="86"/>
      <c r="V1800" s="86"/>
      <c r="W1800" s="86"/>
      <c r="X1800" s="86"/>
      <c r="Y1800" s="86"/>
      <c r="Z1800" s="86"/>
      <c r="AA1800" s="86"/>
      <c r="AB1800" s="86"/>
      <c r="AC1800" s="86"/>
    </row>
    <row r="1801" spans="1:29" ht="30" customHeight="1">
      <c r="A1801" s="189">
        <v>32</v>
      </c>
      <c r="B1801" s="188" t="s">
        <v>69</v>
      </c>
      <c r="C1801" s="307" t="s">
        <v>133</v>
      </c>
      <c r="D1801" s="308"/>
      <c r="E1801" s="179"/>
      <c r="F1801" s="191" t="s">
        <v>71</v>
      </c>
      <c r="G1801" s="202" t="s">
        <v>156</v>
      </c>
      <c r="H1801" s="202" t="s">
        <v>156</v>
      </c>
      <c r="I1801" s="202" t="s">
        <v>156</v>
      </c>
      <c r="J1801" s="202" t="s">
        <v>156</v>
      </c>
      <c r="K1801" s="202" t="s">
        <v>156</v>
      </c>
      <c r="L1801" s="202" t="s">
        <v>156</v>
      </c>
      <c r="M1801" s="89"/>
      <c r="N1801" s="219"/>
      <c r="O1801" s="199"/>
      <c r="P1801" s="200"/>
      <c r="Q1801" s="309"/>
      <c r="R1801" s="309"/>
      <c r="S1801" s="86"/>
      <c r="T1801" s="86"/>
      <c r="U1801" s="86"/>
      <c r="V1801" s="86"/>
      <c r="W1801" s="86"/>
      <c r="X1801" s="86"/>
      <c r="Y1801" s="86"/>
      <c r="Z1801" s="86"/>
      <c r="AA1801" s="86"/>
      <c r="AB1801" s="86"/>
      <c r="AC1801" s="86"/>
    </row>
    <row r="1802" spans="1:29" ht="30" customHeight="1">
      <c r="A1802" s="189">
        <v>33</v>
      </c>
      <c r="B1802" s="188" t="s">
        <v>69</v>
      </c>
      <c r="C1802" s="307" t="s">
        <v>88</v>
      </c>
      <c r="D1802" s="308"/>
      <c r="E1802" s="179"/>
      <c r="F1802" s="191" t="s">
        <v>71</v>
      </c>
      <c r="G1802" s="201">
        <v>3</v>
      </c>
      <c r="H1802" s="201">
        <v>7</v>
      </c>
      <c r="I1802" s="201">
        <v>7</v>
      </c>
      <c r="J1802" s="201">
        <v>3</v>
      </c>
      <c r="K1802" s="201">
        <v>7</v>
      </c>
      <c r="L1802" s="201">
        <v>7</v>
      </c>
      <c r="M1802" s="89"/>
      <c r="N1802" s="219"/>
      <c r="O1802" s="199"/>
      <c r="P1802" s="200"/>
      <c r="Q1802" s="309"/>
      <c r="R1802" s="309"/>
      <c r="S1802" s="86"/>
      <c r="T1802" s="86"/>
      <c r="U1802" s="86"/>
      <c r="V1802" s="86"/>
      <c r="W1802" s="86"/>
      <c r="X1802" s="86"/>
      <c r="Y1802" s="86"/>
      <c r="Z1802" s="86"/>
      <c r="AA1802" s="86"/>
      <c r="AB1802" s="86"/>
      <c r="AC1802" s="86"/>
    </row>
    <row r="1803" spans="1:29" ht="30" customHeight="1">
      <c r="A1803" s="189">
        <v>34</v>
      </c>
      <c r="B1803" s="188" t="s">
        <v>69</v>
      </c>
      <c r="C1803" s="307" t="s">
        <v>89</v>
      </c>
      <c r="D1803" s="308"/>
      <c r="E1803" s="179"/>
      <c r="F1803" s="191" t="s">
        <v>71</v>
      </c>
      <c r="G1803" s="202" t="s">
        <v>156</v>
      </c>
      <c r="H1803" s="202" t="s">
        <v>156</v>
      </c>
      <c r="I1803" s="202" t="s">
        <v>156</v>
      </c>
      <c r="J1803" s="202" t="s">
        <v>156</v>
      </c>
      <c r="K1803" s="202" t="s">
        <v>156</v>
      </c>
      <c r="L1803" s="202" t="s">
        <v>156</v>
      </c>
      <c r="M1803" s="89"/>
      <c r="N1803" s="219"/>
      <c r="O1803" s="199"/>
      <c r="P1803" s="200"/>
      <c r="Q1803" s="309"/>
      <c r="R1803" s="309"/>
      <c r="S1803" s="86"/>
      <c r="T1803" s="86"/>
      <c r="U1803" s="86"/>
      <c r="V1803" s="86"/>
      <c r="W1803" s="86"/>
      <c r="X1803" s="86"/>
      <c r="Y1803" s="86"/>
      <c r="Z1803" s="86"/>
      <c r="AA1803" s="86"/>
      <c r="AB1803" s="86"/>
      <c r="AC1803" s="86"/>
    </row>
    <row r="1804" spans="1:29" ht="30" customHeight="1">
      <c r="A1804" s="189">
        <v>35</v>
      </c>
      <c r="B1804" s="188" t="s">
        <v>69</v>
      </c>
      <c r="C1804" s="307" t="s">
        <v>140</v>
      </c>
      <c r="D1804" s="308"/>
      <c r="E1804" s="179"/>
      <c r="F1804" s="191" t="s">
        <v>71</v>
      </c>
      <c r="G1804" s="202" t="s">
        <v>156</v>
      </c>
      <c r="H1804" s="202" t="s">
        <v>156</v>
      </c>
      <c r="I1804" s="201">
        <v>3</v>
      </c>
      <c r="J1804" s="202" t="s">
        <v>156</v>
      </c>
      <c r="K1804" s="202" t="s">
        <v>156</v>
      </c>
      <c r="L1804" s="201">
        <v>3</v>
      </c>
      <c r="M1804" s="89"/>
      <c r="N1804" s="220"/>
      <c r="O1804" s="199"/>
      <c r="P1804" s="200"/>
      <c r="Q1804" s="309"/>
      <c r="R1804" s="309"/>
      <c r="S1804" s="86"/>
      <c r="T1804" s="86"/>
      <c r="U1804" s="86"/>
      <c r="V1804" s="86"/>
      <c r="W1804" s="86"/>
      <c r="X1804" s="86"/>
      <c r="Y1804" s="86"/>
      <c r="Z1804" s="86"/>
      <c r="AA1804" s="86"/>
      <c r="AB1804" s="86"/>
      <c r="AC1804" s="86"/>
    </row>
    <row r="1805" spans="1:29" ht="30" customHeight="1">
      <c r="A1805" s="189">
        <v>36</v>
      </c>
      <c r="B1805" s="188" t="s">
        <v>69</v>
      </c>
      <c r="C1805" s="307" t="s">
        <v>134</v>
      </c>
      <c r="D1805" s="308"/>
      <c r="E1805" s="179"/>
      <c r="F1805" s="191" t="s">
        <v>71</v>
      </c>
      <c r="G1805" s="202" t="s">
        <v>156</v>
      </c>
      <c r="H1805" s="202" t="s">
        <v>156</v>
      </c>
      <c r="I1805" s="202" t="s">
        <v>156</v>
      </c>
      <c r="J1805" s="202" t="s">
        <v>156</v>
      </c>
      <c r="K1805" s="202" t="s">
        <v>156</v>
      </c>
      <c r="L1805" s="202" t="s">
        <v>156</v>
      </c>
      <c r="M1805" s="89"/>
      <c r="N1805" s="220"/>
      <c r="O1805" s="199"/>
      <c r="P1805" s="200"/>
      <c r="Q1805" s="309"/>
      <c r="R1805" s="309"/>
      <c r="S1805" s="86"/>
      <c r="T1805" s="86"/>
      <c r="U1805" s="86"/>
      <c r="V1805" s="86"/>
      <c r="W1805" s="86"/>
      <c r="X1805" s="86"/>
      <c r="Y1805" s="86"/>
      <c r="Z1805" s="86"/>
      <c r="AA1805" s="86"/>
      <c r="AB1805" s="86"/>
      <c r="AC1805" s="86"/>
    </row>
    <row r="1806" spans="1:29" ht="30" customHeight="1">
      <c r="A1806" s="189">
        <v>37</v>
      </c>
      <c r="B1806" s="188" t="s">
        <v>69</v>
      </c>
      <c r="C1806" s="307" t="s">
        <v>90</v>
      </c>
      <c r="D1806" s="308"/>
      <c r="E1806" s="179"/>
      <c r="F1806" s="191" t="s">
        <v>71</v>
      </c>
      <c r="G1806" s="202" t="s">
        <v>156</v>
      </c>
      <c r="H1806" s="202" t="s">
        <v>156</v>
      </c>
      <c r="I1806" s="202" t="s">
        <v>156</v>
      </c>
      <c r="J1806" s="202" t="s">
        <v>156</v>
      </c>
      <c r="K1806" s="202" t="s">
        <v>156</v>
      </c>
      <c r="L1806" s="202" t="s">
        <v>156</v>
      </c>
      <c r="M1806" s="89"/>
      <c r="N1806" s="220"/>
      <c r="O1806" s="199"/>
      <c r="P1806" s="200"/>
      <c r="Q1806" s="309"/>
      <c r="R1806" s="309"/>
      <c r="S1806" s="86"/>
      <c r="T1806" s="86"/>
      <c r="U1806" s="86"/>
      <c r="V1806" s="86"/>
      <c r="W1806" s="86"/>
      <c r="X1806" s="86"/>
      <c r="Y1806" s="86"/>
      <c r="Z1806" s="86"/>
      <c r="AA1806" s="86"/>
      <c r="AB1806" s="86"/>
      <c r="AC1806" s="86"/>
    </row>
    <row r="1807" spans="1:29" ht="30" customHeight="1">
      <c r="A1807" s="189">
        <v>38</v>
      </c>
      <c r="B1807" s="188" t="s">
        <v>69</v>
      </c>
      <c r="C1807" s="307" t="s">
        <v>106</v>
      </c>
      <c r="D1807" s="308"/>
      <c r="E1807" s="150"/>
      <c r="F1807" s="191" t="s">
        <v>71</v>
      </c>
      <c r="G1807" s="202" t="s">
        <v>156</v>
      </c>
      <c r="H1807" s="202" t="s">
        <v>156</v>
      </c>
      <c r="I1807" s="202" t="s">
        <v>156</v>
      </c>
      <c r="J1807" s="202" t="s">
        <v>156</v>
      </c>
      <c r="K1807" s="202" t="s">
        <v>156</v>
      </c>
      <c r="L1807" s="202" t="s">
        <v>156</v>
      </c>
      <c r="M1807" s="89"/>
      <c r="N1807" s="220"/>
      <c r="O1807" s="199"/>
      <c r="P1807" s="200"/>
      <c r="Q1807" s="309"/>
      <c r="R1807" s="309"/>
      <c r="S1807" s="86"/>
      <c r="T1807" s="86"/>
      <c r="U1807" s="86"/>
      <c r="V1807" s="86"/>
      <c r="W1807" s="86"/>
      <c r="X1807" s="86"/>
      <c r="Y1807" s="86"/>
      <c r="Z1807" s="86"/>
      <c r="AA1807" s="86"/>
      <c r="AB1807" s="86"/>
      <c r="AC1807" s="86"/>
    </row>
    <row r="1808" spans="1:29" ht="25.5" customHeight="1">
      <c r="A1808" s="310" t="s">
        <v>92</v>
      </c>
      <c r="B1808" s="310"/>
      <c r="C1808" s="310"/>
      <c r="D1808" s="310"/>
      <c r="E1808" s="310"/>
      <c r="F1808" s="310"/>
      <c r="G1808" s="310"/>
      <c r="H1808" s="310"/>
      <c r="I1808" s="310"/>
      <c r="J1808" s="310"/>
      <c r="K1808" s="310"/>
      <c r="L1808" s="310"/>
      <c r="M1808" s="92"/>
    </row>
    <row r="1809" spans="1:16" ht="19.5" customHeight="1">
      <c r="A1809" s="139"/>
      <c r="B1809" s="139"/>
      <c r="C1809" s="140"/>
      <c r="D1809" s="140" t="s">
        <v>145</v>
      </c>
      <c r="E1809" s="140"/>
      <c r="F1809" s="152" t="s">
        <v>54</v>
      </c>
      <c r="G1809" s="152"/>
      <c r="H1809" s="152"/>
      <c r="I1809" s="152"/>
      <c r="J1809" s="152" t="s">
        <v>144</v>
      </c>
      <c r="K1809" s="152"/>
      <c r="L1809" s="140"/>
      <c r="M1809" s="94"/>
    </row>
    <row r="1810" spans="1:16" ht="28.5" customHeight="1">
      <c r="A1810" s="310" t="s">
        <v>93</v>
      </c>
      <c r="B1810" s="310"/>
      <c r="C1810" s="310"/>
      <c r="D1810" s="310"/>
      <c r="E1810" s="310"/>
      <c r="F1810" s="310"/>
      <c r="G1810" s="310"/>
      <c r="H1810" s="310"/>
      <c r="I1810" s="310"/>
      <c r="J1810" s="310"/>
      <c r="K1810" s="310"/>
      <c r="L1810" s="310"/>
      <c r="M1810" s="92"/>
      <c r="N1810" s="311"/>
      <c r="O1810" s="311"/>
      <c r="P1810" s="311"/>
    </row>
    <row r="1811" spans="1:16" ht="20.25" customHeight="1">
      <c r="A1811" s="139"/>
      <c r="B1811" s="139"/>
      <c r="C1811" s="139"/>
      <c r="D1811" s="140" t="s">
        <v>145</v>
      </c>
      <c r="E1811" s="140"/>
      <c r="F1811" s="152" t="s">
        <v>54</v>
      </c>
      <c r="G1811" s="152"/>
      <c r="H1811" s="152"/>
      <c r="I1811" s="152"/>
      <c r="J1811" s="152" t="s">
        <v>144</v>
      </c>
      <c r="K1811" s="152"/>
      <c r="L1811" s="139"/>
      <c r="M1811" s="94"/>
      <c r="N1811" s="221"/>
      <c r="O1811" s="95"/>
      <c r="P1811" s="95"/>
    </row>
    <row r="1812" spans="1:16" ht="26.25" customHeight="1">
      <c r="A1812" s="312" t="s">
        <v>94</v>
      </c>
      <c r="B1812" s="312"/>
      <c r="C1812" s="312"/>
      <c r="D1812" s="312"/>
      <c r="E1812" s="312"/>
      <c r="F1812" s="312"/>
      <c r="G1812" s="312"/>
      <c r="H1812" s="312"/>
      <c r="I1812" s="312"/>
      <c r="J1812" s="312"/>
      <c r="K1812" s="312"/>
      <c r="L1812" s="312"/>
      <c r="M1812" s="92"/>
    </row>
    <row r="1813" spans="1:16" ht="22.5" customHeight="1">
      <c r="A1813" s="120"/>
      <c r="B1813" s="120"/>
      <c r="C1813" s="120"/>
      <c r="D1813" s="120"/>
      <c r="E1813" s="120"/>
      <c r="F1813" s="120"/>
      <c r="G1813" s="120"/>
      <c r="H1813" s="120"/>
      <c r="I1813" s="120"/>
      <c r="J1813" s="120"/>
      <c r="K1813" s="120"/>
      <c r="L1813" s="120"/>
      <c r="M1813" s="94"/>
    </row>
    <row r="1814" spans="1:16" ht="22.5" customHeight="1">
      <c r="A1814" s="313" t="s">
        <v>95</v>
      </c>
      <c r="B1814" s="313"/>
      <c r="C1814" s="313"/>
      <c r="D1814" s="313"/>
      <c r="E1814" s="313"/>
      <c r="F1814" s="313"/>
      <c r="G1814" s="313"/>
      <c r="H1814" s="313"/>
      <c r="I1814" s="313"/>
      <c r="J1814" s="313"/>
      <c r="K1814" s="313"/>
      <c r="L1814" s="313"/>
      <c r="M1814" s="92"/>
    </row>
    <row r="1815" spans="1:16" ht="19.5" customHeight="1">
      <c r="A1815" s="97"/>
      <c r="B1815" s="97"/>
      <c r="C1815" s="145"/>
      <c r="D1815" s="97"/>
      <c r="E1815" s="97"/>
      <c r="F1815" s="97"/>
      <c r="G1815" s="97"/>
      <c r="H1815" s="97"/>
      <c r="I1815" s="97"/>
      <c r="J1815" s="97"/>
      <c r="K1815" s="97"/>
      <c r="L1815" s="97"/>
      <c r="M1815" s="94"/>
    </row>
    <row r="1816" spans="1:16" ht="5.25" customHeight="1">
      <c r="A1816" s="94"/>
      <c r="B1816" s="94"/>
      <c r="C1816" s="146"/>
      <c r="D1816" s="94"/>
      <c r="E1816" s="94"/>
      <c r="F1816" s="94"/>
      <c r="G1816" s="94"/>
      <c r="H1816" s="94"/>
      <c r="I1816" s="94"/>
      <c r="J1816" s="94"/>
      <c r="K1816" s="94"/>
      <c r="L1816" s="94"/>
      <c r="M1816" s="94"/>
    </row>
    <row r="1817" spans="1:16" ht="16.5" customHeight="1">
      <c r="A1817" s="314" t="s">
        <v>96</v>
      </c>
      <c r="B1817" s="314"/>
      <c r="C1817" s="314"/>
      <c r="D1817" s="314"/>
      <c r="E1817" s="98"/>
      <c r="F1817" s="98"/>
      <c r="G1817" s="98"/>
      <c r="H1817" s="315" t="s">
        <v>97</v>
      </c>
      <c r="I1817" s="315"/>
      <c r="J1817" s="315"/>
      <c r="K1817" s="315"/>
      <c r="L1817" s="315"/>
      <c r="M1817" s="94"/>
    </row>
    <row r="1818" spans="1:16" ht="95.1" customHeight="1">
      <c r="A1818" s="99"/>
      <c r="B1818" s="101" t="str">
        <f>B1748</f>
        <v>Ông Huỳnh Phước Hải        ….............</v>
      </c>
      <c r="C1818" s="147"/>
      <c r="D1818" s="99"/>
      <c r="E1818" s="81"/>
      <c r="F1818" s="100"/>
      <c r="G1818" s="100"/>
      <c r="H1818" s="306" t="str">
        <f>H1748</f>
        <v>Ông Phạm Tấn Việt          …..................</v>
      </c>
      <c r="I1818" s="306"/>
      <c r="J1818" s="306"/>
      <c r="K1818" s="306"/>
      <c r="L1818" s="306"/>
      <c r="M1818" s="94"/>
    </row>
    <row r="1819" spans="1:16" ht="49.5" customHeight="1">
      <c r="A1819" s="99"/>
      <c r="B1819" s="99"/>
      <c r="C1819" s="147"/>
      <c r="D1819" s="99"/>
      <c r="E1819" s="81"/>
      <c r="F1819" s="100"/>
      <c r="G1819" s="100"/>
      <c r="H1819" s="100"/>
      <c r="I1819" s="100"/>
      <c r="J1819" s="99"/>
      <c r="K1819" s="99"/>
      <c r="L1819" s="99"/>
      <c r="M1819" s="94"/>
    </row>
    <row r="1820" spans="1:16" ht="21.75" customHeight="1">
      <c r="A1820" s="346" t="s">
        <v>165</v>
      </c>
      <c r="B1820" s="346"/>
      <c r="C1820" s="346"/>
      <c r="D1820" s="346"/>
      <c r="E1820" s="346"/>
      <c r="F1820" s="346"/>
      <c r="G1820" s="346"/>
      <c r="H1820" s="346"/>
      <c r="I1820" s="346"/>
      <c r="J1820" s="346"/>
      <c r="K1820" s="346"/>
      <c r="L1820" s="346"/>
      <c r="M1820" s="82"/>
    </row>
    <row r="1821" spans="1:16" ht="19.5">
      <c r="A1821" s="84" t="str">
        <f>"Ngày "&amp;N1822&amp;" tháng "&amp;O3&amp;" năm "&amp;P3&amp;""</f>
        <v>Ngày 27 tháng 07 năm 2026</v>
      </c>
      <c r="B1821" s="84"/>
      <c r="C1821" s="85"/>
      <c r="N1821" s="216"/>
      <c r="O1821" s="20"/>
      <c r="P1821" s="20"/>
    </row>
    <row r="1822" spans="1:16" ht="16.5">
      <c r="A1822" s="337" t="s">
        <v>57</v>
      </c>
      <c r="B1822" s="337"/>
      <c r="C1822" s="337"/>
      <c r="D1822" s="311"/>
      <c r="E1822" s="311"/>
      <c r="F1822" s="311"/>
      <c r="G1822" s="95"/>
      <c r="H1822" s="95"/>
      <c r="I1822" s="95"/>
      <c r="J1822" s="95"/>
      <c r="K1822" s="95"/>
      <c r="L1822" s="95"/>
      <c r="N1822" s="217" t="s">
        <v>189</v>
      </c>
      <c r="O1822" s="214"/>
      <c r="P1822" s="17"/>
    </row>
    <row r="1823" spans="1:16" ht="15.75" customHeight="1">
      <c r="A1823" s="338"/>
      <c r="B1823" s="338"/>
      <c r="C1823" s="338"/>
      <c r="D1823" s="339" t="s">
        <v>58</v>
      </c>
      <c r="E1823" s="340"/>
      <c r="F1823" s="340"/>
      <c r="G1823" s="340"/>
      <c r="H1823" s="341"/>
      <c r="I1823" s="339" t="s">
        <v>59</v>
      </c>
      <c r="J1823" s="340"/>
      <c r="K1823" s="340"/>
      <c r="L1823" s="341"/>
    </row>
    <row r="1824" spans="1:16" ht="19.5" customHeight="1">
      <c r="A1824" s="342" t="s">
        <v>60</v>
      </c>
      <c r="B1824" s="342"/>
      <c r="C1824" s="342"/>
      <c r="D1824" s="343" t="s">
        <v>54</v>
      </c>
      <c r="E1824" s="344"/>
      <c r="F1824" s="344"/>
      <c r="G1824" s="344"/>
      <c r="H1824" s="345"/>
      <c r="I1824" s="343" t="s">
        <v>54</v>
      </c>
      <c r="J1824" s="344"/>
      <c r="K1824" s="344"/>
      <c r="L1824" s="345"/>
    </row>
    <row r="1825" spans="1:29" ht="22.5" customHeight="1">
      <c r="A1825" s="342" t="s">
        <v>61</v>
      </c>
      <c r="B1825" s="342"/>
      <c r="C1825" s="342"/>
      <c r="D1825" s="343" t="s">
        <v>163</v>
      </c>
      <c r="E1825" s="344"/>
      <c r="F1825" s="344"/>
      <c r="G1825" s="344"/>
      <c r="H1825" s="345"/>
      <c r="I1825" s="343" t="str">
        <f>D1825</f>
        <v>31° - 34°</v>
      </c>
      <c r="J1825" s="344"/>
      <c r="K1825" s="344"/>
      <c r="L1825" s="345"/>
    </row>
    <row r="1826" spans="1:29" s="87" customFormat="1" ht="15.75">
      <c r="A1826" s="310" t="s">
        <v>62</v>
      </c>
      <c r="B1826" s="310"/>
      <c r="C1826" s="310"/>
      <c r="D1826" s="310"/>
      <c r="E1826" s="310"/>
      <c r="F1826" s="310"/>
      <c r="G1826" s="310"/>
      <c r="H1826" s="310"/>
      <c r="I1826" s="310"/>
      <c r="J1826" s="310"/>
      <c r="K1826" s="310"/>
      <c r="L1826" s="310"/>
      <c r="M1826" s="85"/>
      <c r="N1826" s="218"/>
    </row>
    <row r="1827" spans="1:29" s="87" customFormat="1" ht="15.75">
      <c r="A1827" s="332" t="s">
        <v>63</v>
      </c>
      <c r="B1827" s="332"/>
      <c r="C1827" s="332"/>
      <c r="D1827" s="332"/>
      <c r="E1827" s="332"/>
      <c r="F1827" s="332"/>
      <c r="G1827" s="332"/>
      <c r="H1827" s="332"/>
      <c r="I1827" s="332"/>
      <c r="J1827" s="332"/>
      <c r="K1827" s="332"/>
      <c r="L1827" s="332"/>
      <c r="M1827" s="85"/>
      <c r="N1827" s="218"/>
    </row>
    <row r="1828" spans="1:29" s="87" customFormat="1" ht="20.100000000000001" customHeight="1">
      <c r="A1828" s="88"/>
      <c r="B1828" s="88"/>
      <c r="C1828" s="333" t="s">
        <v>64</v>
      </c>
      <c r="D1828" s="334"/>
      <c r="E1828" s="334"/>
      <c r="F1828" s="334"/>
      <c r="G1828" s="334"/>
      <c r="H1828" s="334"/>
      <c r="I1828" s="334"/>
      <c r="J1828" s="334"/>
      <c r="K1828" s="334"/>
      <c r="L1828" s="334"/>
      <c r="M1828" s="85"/>
      <c r="N1828" s="218"/>
    </row>
    <row r="1829" spans="1:29" s="87" customFormat="1" ht="20.100000000000001" customHeight="1">
      <c r="A1829" s="88"/>
      <c r="B1829" s="88"/>
      <c r="C1829" s="333" t="s">
        <v>65</v>
      </c>
      <c r="D1829" s="334"/>
      <c r="E1829" s="334"/>
      <c r="F1829" s="334"/>
      <c r="G1829" s="334"/>
      <c r="H1829" s="334"/>
      <c r="I1829" s="334"/>
      <c r="J1829" s="334"/>
      <c r="K1829" s="334"/>
      <c r="L1829" s="334"/>
      <c r="M1829" s="85"/>
      <c r="N1829" s="218"/>
    </row>
    <row r="1830" spans="1:29" s="87" customFormat="1" ht="17.25" customHeight="1">
      <c r="A1830" s="335" t="s">
        <v>66</v>
      </c>
      <c r="B1830" s="335"/>
      <c r="C1830" s="335"/>
      <c r="D1830" s="335"/>
      <c r="E1830" s="335"/>
      <c r="F1830" s="335"/>
      <c r="G1830" s="335"/>
      <c r="H1830" s="335"/>
      <c r="I1830" s="335"/>
      <c r="J1830" s="335"/>
      <c r="K1830" s="335"/>
      <c r="L1830" s="335"/>
      <c r="M1830" s="85"/>
      <c r="N1830" s="218"/>
    </row>
    <row r="1831" spans="1:29" s="87" customFormat="1" ht="7.5" customHeight="1">
      <c r="A1831" s="119"/>
      <c r="B1831" s="119"/>
      <c r="C1831" s="119"/>
      <c r="D1831" s="119"/>
      <c r="E1831" s="119"/>
      <c r="F1831" s="119"/>
      <c r="G1831" s="119"/>
      <c r="H1831" s="119"/>
      <c r="I1831" s="119"/>
      <c r="J1831" s="119"/>
      <c r="K1831" s="119"/>
      <c r="L1831" s="119"/>
      <c r="M1831" s="85"/>
      <c r="N1831" s="218"/>
    </row>
    <row r="1832" spans="1:29" ht="15.75">
      <c r="A1832" s="336" t="s">
        <v>67</v>
      </c>
      <c r="B1832" s="336"/>
      <c r="C1832" s="336"/>
      <c r="D1832" s="336"/>
      <c r="E1832" s="336"/>
      <c r="F1832" s="336"/>
      <c r="G1832" s="336"/>
      <c r="H1832" s="336"/>
      <c r="I1832" s="336"/>
      <c r="J1832" s="336"/>
      <c r="K1832" s="336"/>
      <c r="L1832" s="336"/>
    </row>
    <row r="1833" spans="1:29" ht="2.25" customHeight="1">
      <c r="A1833" s="141"/>
      <c r="B1833" s="141"/>
      <c r="C1833" s="141"/>
      <c r="D1833" s="141"/>
      <c r="E1833" s="141"/>
      <c r="F1833" s="141"/>
      <c r="G1833" s="155"/>
      <c r="H1833" s="155"/>
      <c r="I1833" s="155"/>
      <c r="J1833" s="155"/>
      <c r="K1833" s="155"/>
      <c r="L1833" s="155"/>
    </row>
    <row r="1834" spans="1:29" ht="27.75" customHeight="1">
      <c r="A1834" s="317" t="s">
        <v>135</v>
      </c>
      <c r="B1834" s="318"/>
      <c r="C1834" s="317" t="s">
        <v>68</v>
      </c>
      <c r="D1834" s="318"/>
      <c r="E1834" s="183"/>
      <c r="F1834" s="321" t="s">
        <v>136</v>
      </c>
      <c r="G1834" s="322" t="s">
        <v>155</v>
      </c>
      <c r="H1834" s="323"/>
      <c r="I1834" s="323"/>
      <c r="J1834" s="322" t="s">
        <v>154</v>
      </c>
      <c r="K1834" s="323"/>
      <c r="L1834" s="324"/>
      <c r="M1834" s="92"/>
      <c r="O1834" s="325"/>
      <c r="P1834" s="325"/>
      <c r="Q1834" s="325"/>
      <c r="R1834" s="325"/>
      <c r="S1834" s="316"/>
      <c r="T1834" s="316"/>
      <c r="U1834" s="316"/>
      <c r="V1834" s="316"/>
      <c r="W1834" s="316"/>
      <c r="X1834" s="316"/>
      <c r="Y1834" s="316"/>
      <c r="Z1834" s="316"/>
      <c r="AA1834" s="316"/>
      <c r="AB1834" s="316"/>
      <c r="AC1834" s="316"/>
    </row>
    <row r="1835" spans="1:29" ht="125.25" customHeight="1">
      <c r="A1835" s="319"/>
      <c r="B1835" s="320"/>
      <c r="C1835" s="319"/>
      <c r="D1835" s="320"/>
      <c r="E1835" s="184"/>
      <c r="F1835" s="321"/>
      <c r="G1835" s="153" t="s">
        <v>151</v>
      </c>
      <c r="H1835" s="153" t="s">
        <v>152</v>
      </c>
      <c r="I1835" s="153" t="s">
        <v>153</v>
      </c>
      <c r="J1835" s="153" t="s">
        <v>151</v>
      </c>
      <c r="K1835" s="153" t="s">
        <v>152</v>
      </c>
      <c r="L1835" s="153" t="s">
        <v>153</v>
      </c>
      <c r="O1835" s="325"/>
      <c r="P1835" s="325"/>
      <c r="Q1835" s="325"/>
      <c r="R1835" s="325"/>
      <c r="S1835" s="193"/>
      <c r="T1835" s="193"/>
      <c r="U1835" s="193"/>
      <c r="V1835" s="193"/>
      <c r="W1835" s="193"/>
      <c r="X1835" s="193"/>
      <c r="Y1835" s="193"/>
      <c r="Z1835" s="193"/>
      <c r="AA1835" s="193"/>
      <c r="AB1835" s="193"/>
      <c r="AC1835" s="193"/>
    </row>
    <row r="1836" spans="1:29" ht="24.75" customHeight="1">
      <c r="A1836" s="190" t="s">
        <v>128</v>
      </c>
      <c r="B1836" s="142"/>
      <c r="C1836" s="330" t="s">
        <v>129</v>
      </c>
      <c r="D1836" s="330"/>
      <c r="E1836" s="330"/>
      <c r="F1836" s="330"/>
      <c r="G1836" s="330"/>
      <c r="H1836" s="330"/>
      <c r="I1836" s="330"/>
      <c r="J1836" s="330"/>
      <c r="K1836" s="330"/>
      <c r="L1836" s="330"/>
      <c r="M1836" s="93"/>
      <c r="O1836" s="156"/>
      <c r="P1836" s="142"/>
      <c r="Q1836" s="331"/>
      <c r="R1836" s="331"/>
      <c r="S1836" s="331"/>
      <c r="T1836" s="331"/>
      <c r="U1836" s="331"/>
      <c r="V1836" s="331"/>
      <c r="W1836" s="331"/>
      <c r="X1836" s="331"/>
      <c r="Y1836" s="331"/>
      <c r="Z1836" s="331"/>
      <c r="AA1836" s="331"/>
      <c r="AB1836" s="331"/>
      <c r="AC1836" s="331"/>
    </row>
    <row r="1837" spans="1:29" ht="21" customHeight="1">
      <c r="A1837" s="187">
        <v>1</v>
      </c>
      <c r="B1837" s="185" t="s">
        <v>69</v>
      </c>
      <c r="C1837" s="326" t="s">
        <v>70</v>
      </c>
      <c r="D1837" s="326"/>
      <c r="E1837" s="176"/>
      <c r="F1837" s="144" t="s">
        <v>71</v>
      </c>
      <c r="G1837" s="203" t="s">
        <v>156</v>
      </c>
      <c r="H1837" s="202" t="s">
        <v>156</v>
      </c>
      <c r="I1837" s="201">
        <v>1</v>
      </c>
      <c r="J1837" s="202" t="s">
        <v>156</v>
      </c>
      <c r="K1837" s="202" t="s">
        <v>156</v>
      </c>
      <c r="L1837" s="201">
        <v>1</v>
      </c>
      <c r="M1837" s="93"/>
      <c r="O1837" s="195"/>
      <c r="P1837" s="196"/>
      <c r="Q1837" s="327"/>
      <c r="R1837" s="327"/>
      <c r="S1837" s="86"/>
      <c r="T1837" s="86"/>
      <c r="U1837" s="86"/>
      <c r="V1837" s="86"/>
      <c r="W1837" s="194"/>
      <c r="X1837" s="194"/>
      <c r="Y1837" s="194"/>
      <c r="Z1837" s="194"/>
      <c r="AA1837" s="194"/>
      <c r="AB1837" s="194"/>
      <c r="AC1837" s="194"/>
    </row>
    <row r="1838" spans="1:29" ht="21" customHeight="1">
      <c r="A1838" s="187">
        <v>2</v>
      </c>
      <c r="B1838" s="185" t="s">
        <v>69</v>
      </c>
      <c r="C1838" s="326" t="s">
        <v>72</v>
      </c>
      <c r="D1838" s="326"/>
      <c r="E1838" s="176"/>
      <c r="F1838" s="144" t="s">
        <v>71</v>
      </c>
      <c r="G1838" s="203" t="s">
        <v>156</v>
      </c>
      <c r="H1838" s="202" t="s">
        <v>156</v>
      </c>
      <c r="I1838" s="202" t="s">
        <v>156</v>
      </c>
      <c r="J1838" s="202" t="s">
        <v>156</v>
      </c>
      <c r="K1838" s="202" t="s">
        <v>156</v>
      </c>
      <c r="L1838" s="202" t="s">
        <v>156</v>
      </c>
      <c r="M1838" s="93"/>
      <c r="O1838" s="195"/>
      <c r="P1838" s="196"/>
      <c r="Q1838" s="327"/>
      <c r="R1838" s="327"/>
      <c r="S1838" s="194"/>
      <c r="T1838" s="194"/>
      <c r="U1838" s="194"/>
      <c r="V1838" s="86"/>
      <c r="W1838" s="86"/>
      <c r="X1838" s="86"/>
      <c r="Y1838" s="86"/>
      <c r="Z1838" s="194"/>
      <c r="AA1838" s="194"/>
      <c r="AB1838" s="194"/>
      <c r="AC1838" s="194"/>
    </row>
    <row r="1839" spans="1:29" ht="21" customHeight="1">
      <c r="A1839" s="187">
        <v>3</v>
      </c>
      <c r="B1839" s="185" t="s">
        <v>69</v>
      </c>
      <c r="C1839" s="326" t="s">
        <v>73</v>
      </c>
      <c r="D1839" s="326"/>
      <c r="E1839" s="176"/>
      <c r="F1839" s="144" t="s">
        <v>71</v>
      </c>
      <c r="G1839" s="203" t="s">
        <v>156</v>
      </c>
      <c r="H1839" s="202" t="s">
        <v>156</v>
      </c>
      <c r="I1839" s="202" t="s">
        <v>156</v>
      </c>
      <c r="J1839" s="202" t="s">
        <v>156</v>
      </c>
      <c r="K1839" s="202" t="s">
        <v>156</v>
      </c>
      <c r="L1839" s="202" t="s">
        <v>156</v>
      </c>
      <c r="M1839" s="93"/>
      <c r="O1839" s="195"/>
      <c r="P1839" s="196"/>
      <c r="Q1839" s="327"/>
      <c r="R1839" s="327"/>
      <c r="S1839" s="194"/>
      <c r="T1839" s="86"/>
      <c r="U1839" s="86"/>
      <c r="V1839" s="86"/>
      <c r="W1839" s="86"/>
      <c r="X1839" s="194"/>
      <c r="Y1839" s="194"/>
      <c r="Z1839" s="194"/>
      <c r="AA1839" s="194"/>
      <c r="AB1839" s="194"/>
      <c r="AC1839" s="194"/>
    </row>
    <row r="1840" spans="1:29" ht="21" customHeight="1">
      <c r="A1840" s="187">
        <v>4</v>
      </c>
      <c r="B1840" s="185" t="s">
        <v>69</v>
      </c>
      <c r="C1840" s="326" t="s">
        <v>98</v>
      </c>
      <c r="D1840" s="326"/>
      <c r="E1840" s="176"/>
      <c r="F1840" s="144" t="s">
        <v>71</v>
      </c>
      <c r="G1840" s="203" t="s">
        <v>156</v>
      </c>
      <c r="H1840" s="202" t="s">
        <v>156</v>
      </c>
      <c r="I1840" s="202" t="s">
        <v>156</v>
      </c>
      <c r="J1840" s="202" t="s">
        <v>156</v>
      </c>
      <c r="K1840" s="202" t="s">
        <v>156</v>
      </c>
      <c r="L1840" s="202" t="s">
        <v>156</v>
      </c>
      <c r="M1840" s="93"/>
      <c r="O1840" s="195"/>
      <c r="P1840" s="196"/>
      <c r="Q1840" s="327"/>
      <c r="R1840" s="327"/>
      <c r="S1840" s="194"/>
      <c r="T1840" s="194"/>
      <c r="U1840" s="194"/>
      <c r="V1840" s="194"/>
      <c r="W1840" s="194"/>
      <c r="X1840" s="194"/>
      <c r="Y1840" s="194"/>
      <c r="Z1840" s="86"/>
      <c r="AA1840" s="86"/>
      <c r="AB1840" s="86"/>
      <c r="AC1840" s="86"/>
    </row>
    <row r="1841" spans="1:29" ht="21" customHeight="1">
      <c r="A1841" s="187">
        <v>5</v>
      </c>
      <c r="B1841" s="185" t="s">
        <v>69</v>
      </c>
      <c r="C1841" s="326" t="s">
        <v>74</v>
      </c>
      <c r="D1841" s="326"/>
      <c r="E1841" s="176"/>
      <c r="F1841" s="144" t="s">
        <v>71</v>
      </c>
      <c r="G1841" s="203" t="s">
        <v>156</v>
      </c>
      <c r="H1841" s="202" t="s">
        <v>156</v>
      </c>
      <c r="I1841" s="202" t="s">
        <v>156</v>
      </c>
      <c r="J1841" s="202" t="s">
        <v>156</v>
      </c>
      <c r="K1841" s="202" t="s">
        <v>156</v>
      </c>
      <c r="L1841" s="202" t="s">
        <v>156</v>
      </c>
      <c r="M1841" s="93"/>
      <c r="O1841" s="195"/>
      <c r="P1841" s="196"/>
      <c r="Q1841" s="327"/>
      <c r="R1841" s="327"/>
      <c r="S1841" s="194"/>
      <c r="T1841" s="194"/>
      <c r="U1841" s="194"/>
      <c r="V1841" s="194"/>
      <c r="W1841" s="194"/>
      <c r="X1841" s="194"/>
      <c r="Y1841" s="194"/>
      <c r="Z1841" s="194"/>
      <c r="AA1841" s="194"/>
      <c r="AB1841" s="194"/>
      <c r="AC1841" s="194"/>
    </row>
    <row r="1842" spans="1:29" ht="21" customHeight="1">
      <c r="A1842" s="187">
        <v>6</v>
      </c>
      <c r="B1842" s="185" t="s">
        <v>69</v>
      </c>
      <c r="C1842" s="326" t="s">
        <v>75</v>
      </c>
      <c r="D1842" s="326"/>
      <c r="E1842" s="176"/>
      <c r="F1842" s="144" t="s">
        <v>71</v>
      </c>
      <c r="G1842" s="203" t="s">
        <v>156</v>
      </c>
      <c r="H1842" s="202" t="s">
        <v>156</v>
      </c>
      <c r="I1842" s="202" t="s">
        <v>156</v>
      </c>
      <c r="J1842" s="202" t="s">
        <v>156</v>
      </c>
      <c r="K1842" s="202" t="s">
        <v>156</v>
      </c>
      <c r="L1842" s="202" t="s">
        <v>156</v>
      </c>
      <c r="M1842" s="93"/>
      <c r="O1842" s="195"/>
      <c r="P1842" s="196"/>
      <c r="Q1842" s="327"/>
      <c r="R1842" s="327"/>
      <c r="S1842" s="194"/>
      <c r="T1842" s="194"/>
      <c r="U1842" s="194"/>
      <c r="V1842" s="194"/>
      <c r="W1842" s="194"/>
      <c r="X1842" s="194"/>
      <c r="Y1842" s="194"/>
      <c r="Z1842" s="194"/>
      <c r="AA1842" s="194"/>
      <c r="AB1842" s="194"/>
      <c r="AC1842" s="194"/>
    </row>
    <row r="1843" spans="1:29" ht="21" customHeight="1">
      <c r="A1843" s="187">
        <v>7</v>
      </c>
      <c r="B1843" s="185" t="s">
        <v>69</v>
      </c>
      <c r="C1843" s="326" t="s">
        <v>76</v>
      </c>
      <c r="D1843" s="326"/>
      <c r="E1843" s="176"/>
      <c r="F1843" s="144" t="s">
        <v>71</v>
      </c>
      <c r="G1843" s="203" t="s">
        <v>156</v>
      </c>
      <c r="H1843" s="202" t="s">
        <v>156</v>
      </c>
      <c r="I1843" s="202" t="s">
        <v>156</v>
      </c>
      <c r="J1843" s="202" t="s">
        <v>156</v>
      </c>
      <c r="K1843" s="202" t="s">
        <v>156</v>
      </c>
      <c r="L1843" s="202" t="s">
        <v>156</v>
      </c>
      <c r="M1843" s="93"/>
      <c r="O1843" s="195"/>
      <c r="P1843" s="196"/>
      <c r="Q1843" s="327"/>
      <c r="R1843" s="327"/>
      <c r="S1843" s="194"/>
      <c r="T1843" s="194"/>
      <c r="U1843" s="194"/>
      <c r="V1843" s="194"/>
      <c r="W1843" s="194"/>
      <c r="X1843" s="194"/>
      <c r="Y1843" s="194"/>
      <c r="Z1843" s="194"/>
      <c r="AA1843" s="194"/>
      <c r="AB1843" s="194"/>
      <c r="AC1843" s="194"/>
    </row>
    <row r="1844" spans="1:29" ht="21" customHeight="1">
      <c r="A1844" s="187">
        <v>8</v>
      </c>
      <c r="B1844" s="185" t="s">
        <v>69</v>
      </c>
      <c r="C1844" s="326" t="s">
        <v>99</v>
      </c>
      <c r="D1844" s="326"/>
      <c r="E1844" s="176"/>
      <c r="F1844" s="144" t="s">
        <v>71</v>
      </c>
      <c r="G1844" s="203" t="s">
        <v>156</v>
      </c>
      <c r="H1844" s="202" t="s">
        <v>156</v>
      </c>
      <c r="I1844" s="202" t="s">
        <v>156</v>
      </c>
      <c r="J1844" s="202" t="s">
        <v>156</v>
      </c>
      <c r="K1844" s="202" t="s">
        <v>156</v>
      </c>
      <c r="L1844" s="202" t="s">
        <v>156</v>
      </c>
      <c r="M1844" s="93"/>
      <c r="O1844" s="195"/>
      <c r="P1844" s="196"/>
      <c r="Q1844" s="327"/>
      <c r="R1844" s="327"/>
      <c r="S1844" s="194"/>
      <c r="T1844" s="194"/>
      <c r="U1844" s="194"/>
      <c r="V1844" s="194"/>
      <c r="W1844" s="194"/>
      <c r="X1844" s="194"/>
      <c r="Y1844" s="194"/>
      <c r="Z1844" s="194"/>
      <c r="AA1844" s="194"/>
      <c r="AB1844" s="194"/>
      <c r="AC1844" s="194"/>
    </row>
    <row r="1845" spans="1:29" ht="21" customHeight="1">
      <c r="A1845" s="187">
        <v>9</v>
      </c>
      <c r="B1845" s="185" t="s">
        <v>69</v>
      </c>
      <c r="C1845" s="326" t="s">
        <v>77</v>
      </c>
      <c r="D1845" s="326"/>
      <c r="E1845" s="176"/>
      <c r="F1845" s="144" t="s">
        <v>71</v>
      </c>
      <c r="G1845" s="203" t="s">
        <v>156</v>
      </c>
      <c r="H1845" s="202" t="s">
        <v>156</v>
      </c>
      <c r="I1845" s="202" t="s">
        <v>156</v>
      </c>
      <c r="J1845" s="202" t="s">
        <v>156</v>
      </c>
      <c r="K1845" s="202" t="s">
        <v>156</v>
      </c>
      <c r="L1845" s="202" t="s">
        <v>156</v>
      </c>
      <c r="M1845" s="93"/>
      <c r="O1845" s="195"/>
      <c r="P1845" s="196"/>
      <c r="Q1845" s="327"/>
      <c r="R1845" s="327"/>
      <c r="S1845" s="194"/>
      <c r="T1845" s="194"/>
      <c r="U1845" s="194"/>
      <c r="V1845" s="194"/>
      <c r="W1845" s="194"/>
      <c r="X1845" s="194"/>
      <c r="Y1845" s="194"/>
      <c r="Z1845" s="194"/>
      <c r="AA1845" s="194"/>
      <c r="AB1845" s="194"/>
      <c r="AC1845" s="194"/>
    </row>
    <row r="1846" spans="1:29" ht="21" customHeight="1">
      <c r="A1846" s="187">
        <v>10</v>
      </c>
      <c r="B1846" s="185" t="s">
        <v>69</v>
      </c>
      <c r="C1846" s="326" t="s">
        <v>78</v>
      </c>
      <c r="D1846" s="326"/>
      <c r="E1846" s="176"/>
      <c r="F1846" s="144" t="s">
        <v>71</v>
      </c>
      <c r="G1846" s="203" t="s">
        <v>156</v>
      </c>
      <c r="H1846" s="202" t="s">
        <v>156</v>
      </c>
      <c r="I1846" s="202" t="s">
        <v>156</v>
      </c>
      <c r="J1846" s="202" t="s">
        <v>156</v>
      </c>
      <c r="K1846" s="202" t="s">
        <v>156</v>
      </c>
      <c r="L1846" s="202" t="s">
        <v>156</v>
      </c>
      <c r="M1846" s="93"/>
      <c r="O1846" s="195"/>
      <c r="P1846" s="196"/>
      <c r="Q1846" s="327"/>
      <c r="R1846" s="327"/>
      <c r="S1846" s="194"/>
      <c r="T1846" s="194"/>
      <c r="U1846" s="194"/>
      <c r="V1846" s="194"/>
      <c r="W1846" s="194"/>
      <c r="X1846" s="194"/>
      <c r="Y1846" s="194"/>
      <c r="Z1846" s="194"/>
      <c r="AA1846" s="194"/>
      <c r="AB1846" s="194"/>
      <c r="AC1846" s="194"/>
    </row>
    <row r="1847" spans="1:29" ht="21" customHeight="1">
      <c r="A1847" s="187">
        <v>11</v>
      </c>
      <c r="B1847" s="185" t="s">
        <v>69</v>
      </c>
      <c r="C1847" s="326" t="s">
        <v>79</v>
      </c>
      <c r="D1847" s="326"/>
      <c r="E1847" s="176"/>
      <c r="F1847" s="144" t="s">
        <v>71</v>
      </c>
      <c r="G1847" s="203" t="s">
        <v>156</v>
      </c>
      <c r="H1847" s="202" t="s">
        <v>156</v>
      </c>
      <c r="I1847" s="202" t="s">
        <v>156</v>
      </c>
      <c r="J1847" s="202" t="s">
        <v>156</v>
      </c>
      <c r="K1847" s="202" t="s">
        <v>156</v>
      </c>
      <c r="L1847" s="202" t="s">
        <v>156</v>
      </c>
      <c r="M1847" s="93"/>
      <c r="O1847" s="195"/>
      <c r="P1847" s="196"/>
      <c r="Q1847" s="327"/>
      <c r="R1847" s="327"/>
      <c r="S1847" s="194"/>
      <c r="T1847" s="194"/>
      <c r="U1847" s="194"/>
      <c r="V1847" s="194"/>
      <c r="W1847" s="194"/>
      <c r="X1847" s="194"/>
      <c r="Y1847" s="194"/>
      <c r="Z1847" s="194"/>
      <c r="AA1847" s="194"/>
      <c r="AB1847" s="194"/>
      <c r="AC1847" s="194"/>
    </row>
    <row r="1848" spans="1:29" ht="21" customHeight="1">
      <c r="A1848" s="187">
        <v>12</v>
      </c>
      <c r="B1848" s="185" t="s">
        <v>69</v>
      </c>
      <c r="C1848" s="326" t="s">
        <v>100</v>
      </c>
      <c r="D1848" s="326"/>
      <c r="E1848" s="176"/>
      <c r="F1848" s="144" t="s">
        <v>71</v>
      </c>
      <c r="G1848" s="203" t="s">
        <v>156</v>
      </c>
      <c r="H1848" s="202" t="s">
        <v>156</v>
      </c>
      <c r="I1848" s="202" t="s">
        <v>156</v>
      </c>
      <c r="J1848" s="202" t="s">
        <v>156</v>
      </c>
      <c r="K1848" s="202" t="s">
        <v>156</v>
      </c>
      <c r="L1848" s="202" t="s">
        <v>156</v>
      </c>
      <c r="M1848" s="93"/>
      <c r="O1848" s="195"/>
      <c r="P1848" s="196"/>
      <c r="Q1848" s="327"/>
      <c r="R1848" s="327"/>
      <c r="S1848" s="194"/>
      <c r="T1848" s="194"/>
      <c r="U1848" s="194"/>
      <c r="V1848" s="194"/>
      <c r="W1848" s="194"/>
      <c r="X1848" s="194"/>
      <c r="Y1848" s="194"/>
      <c r="Z1848" s="194"/>
      <c r="AA1848" s="194"/>
      <c r="AB1848" s="194"/>
      <c r="AC1848" s="194"/>
    </row>
    <row r="1849" spans="1:29" ht="21" customHeight="1">
      <c r="A1849" s="187">
        <v>13</v>
      </c>
      <c r="B1849" s="185" t="s">
        <v>69</v>
      </c>
      <c r="C1849" s="326" t="s">
        <v>80</v>
      </c>
      <c r="D1849" s="326"/>
      <c r="E1849" s="176"/>
      <c r="F1849" s="144" t="s">
        <v>71</v>
      </c>
      <c r="G1849" s="203" t="s">
        <v>156</v>
      </c>
      <c r="H1849" s="202" t="s">
        <v>156</v>
      </c>
      <c r="I1849" s="202" t="s">
        <v>156</v>
      </c>
      <c r="J1849" s="202" t="s">
        <v>156</v>
      </c>
      <c r="K1849" s="202" t="s">
        <v>156</v>
      </c>
      <c r="L1849" s="202" t="s">
        <v>156</v>
      </c>
      <c r="M1849" s="93"/>
      <c r="O1849" s="195"/>
      <c r="P1849" s="196"/>
      <c r="Q1849" s="327"/>
      <c r="R1849" s="327"/>
      <c r="S1849" s="194"/>
      <c r="T1849" s="194"/>
      <c r="U1849" s="194"/>
      <c r="V1849" s="194"/>
      <c r="W1849" s="194"/>
      <c r="X1849" s="194"/>
      <c r="Y1849" s="194"/>
      <c r="Z1849" s="194"/>
      <c r="AA1849" s="194"/>
      <c r="AB1849" s="194"/>
      <c r="AC1849" s="194"/>
    </row>
    <row r="1850" spans="1:29" ht="21" customHeight="1">
      <c r="A1850" s="187">
        <v>14</v>
      </c>
      <c r="B1850" s="185" t="s">
        <v>69</v>
      </c>
      <c r="C1850" s="326" t="s">
        <v>91</v>
      </c>
      <c r="D1850" s="326"/>
      <c r="E1850" s="176"/>
      <c r="F1850" s="144" t="s">
        <v>71</v>
      </c>
      <c r="G1850" s="203" t="s">
        <v>156</v>
      </c>
      <c r="H1850" s="202" t="s">
        <v>156</v>
      </c>
      <c r="I1850" s="202" t="s">
        <v>156</v>
      </c>
      <c r="J1850" s="202" t="s">
        <v>156</v>
      </c>
      <c r="K1850" s="202" t="s">
        <v>156</v>
      </c>
      <c r="L1850" s="202" t="s">
        <v>156</v>
      </c>
      <c r="M1850" s="93"/>
      <c r="O1850" s="195"/>
      <c r="P1850" s="196"/>
      <c r="Q1850" s="327"/>
      <c r="R1850" s="327"/>
      <c r="S1850" s="194"/>
      <c r="T1850" s="194"/>
      <c r="U1850" s="194"/>
      <c r="V1850" s="194"/>
      <c r="W1850" s="194"/>
      <c r="X1850" s="194"/>
      <c r="Y1850" s="194"/>
      <c r="Z1850" s="194"/>
      <c r="AA1850" s="194"/>
      <c r="AB1850" s="194"/>
      <c r="AC1850" s="194"/>
    </row>
    <row r="1851" spans="1:29" ht="21" customHeight="1">
      <c r="A1851" s="187">
        <v>15</v>
      </c>
      <c r="B1851" s="185" t="s">
        <v>69</v>
      </c>
      <c r="C1851" s="326" t="s">
        <v>81</v>
      </c>
      <c r="D1851" s="326"/>
      <c r="E1851" s="176"/>
      <c r="F1851" s="144" t="s">
        <v>71</v>
      </c>
      <c r="G1851" s="203" t="s">
        <v>156</v>
      </c>
      <c r="H1851" s="202" t="s">
        <v>156</v>
      </c>
      <c r="I1851" s="202" t="s">
        <v>156</v>
      </c>
      <c r="J1851" s="202" t="s">
        <v>156</v>
      </c>
      <c r="K1851" s="202" t="s">
        <v>156</v>
      </c>
      <c r="L1851" s="202" t="s">
        <v>156</v>
      </c>
      <c r="M1851" s="93"/>
      <c r="O1851" s="195"/>
      <c r="P1851" s="196"/>
      <c r="Q1851" s="327"/>
      <c r="R1851" s="327"/>
      <c r="S1851" s="194"/>
      <c r="T1851" s="194"/>
      <c r="U1851" s="194"/>
      <c r="V1851" s="194"/>
      <c r="W1851" s="194"/>
      <c r="X1851" s="194"/>
      <c r="Y1851" s="194"/>
      <c r="Z1851" s="194"/>
      <c r="AA1851" s="194"/>
      <c r="AB1851" s="194"/>
      <c r="AC1851" s="194"/>
    </row>
    <row r="1852" spans="1:29" ht="21" customHeight="1">
      <c r="A1852" s="187">
        <v>16</v>
      </c>
      <c r="B1852" s="185" t="s">
        <v>69</v>
      </c>
      <c r="C1852" s="326" t="s">
        <v>101</v>
      </c>
      <c r="D1852" s="326"/>
      <c r="E1852" s="151"/>
      <c r="F1852" s="144" t="s">
        <v>71</v>
      </c>
      <c r="G1852" s="203" t="s">
        <v>156</v>
      </c>
      <c r="H1852" s="202" t="s">
        <v>156</v>
      </c>
      <c r="I1852" s="202" t="s">
        <v>156</v>
      </c>
      <c r="J1852" s="202" t="s">
        <v>156</v>
      </c>
      <c r="K1852" s="202" t="s">
        <v>156</v>
      </c>
      <c r="L1852" s="202" t="s">
        <v>156</v>
      </c>
      <c r="M1852" s="93"/>
      <c r="N1852" s="219"/>
      <c r="O1852" s="195"/>
      <c r="P1852" s="196"/>
      <c r="Q1852" s="327"/>
      <c r="R1852" s="327"/>
      <c r="S1852" s="197"/>
      <c r="T1852" s="197"/>
      <c r="U1852" s="197"/>
      <c r="V1852" s="197"/>
      <c r="W1852" s="197"/>
      <c r="X1852" s="197"/>
      <c r="Y1852" s="197"/>
      <c r="Z1852" s="197"/>
      <c r="AA1852" s="197"/>
      <c r="AB1852" s="197"/>
      <c r="AC1852" s="197"/>
    </row>
    <row r="1853" spans="1:29" ht="21" customHeight="1">
      <c r="A1853" s="187">
        <v>17</v>
      </c>
      <c r="B1853" s="186" t="s">
        <v>69</v>
      </c>
      <c r="C1853" s="326" t="s">
        <v>141</v>
      </c>
      <c r="D1853" s="326"/>
      <c r="E1853" s="151"/>
      <c r="F1853" s="144" t="s">
        <v>71</v>
      </c>
      <c r="G1853" s="203" t="s">
        <v>156</v>
      </c>
      <c r="H1853" s="202" t="s">
        <v>156</v>
      </c>
      <c r="I1853" s="202" t="s">
        <v>156</v>
      </c>
      <c r="J1853" s="202" t="s">
        <v>156</v>
      </c>
      <c r="K1853" s="202" t="s">
        <v>156</v>
      </c>
      <c r="L1853" s="202" t="s">
        <v>156</v>
      </c>
      <c r="M1853" s="93"/>
      <c r="N1853" s="219"/>
      <c r="O1853" s="195"/>
      <c r="P1853" s="104"/>
      <c r="Q1853" s="327"/>
      <c r="R1853" s="327"/>
      <c r="S1853" s="197"/>
      <c r="T1853" s="197"/>
      <c r="U1853" s="197"/>
      <c r="V1853" s="197"/>
      <c r="W1853" s="197"/>
      <c r="X1853" s="197"/>
      <c r="Y1853" s="197"/>
      <c r="Z1853" s="197"/>
      <c r="AA1853" s="197"/>
      <c r="AB1853" s="197"/>
      <c r="AC1853" s="197"/>
    </row>
    <row r="1854" spans="1:29" ht="21" customHeight="1">
      <c r="A1854" s="187">
        <v>18</v>
      </c>
      <c r="B1854" s="186" t="s">
        <v>69</v>
      </c>
      <c r="C1854" s="326" t="s">
        <v>142</v>
      </c>
      <c r="D1854" s="326"/>
      <c r="E1854" s="151"/>
      <c r="F1854" s="144" t="s">
        <v>71</v>
      </c>
      <c r="G1854" s="203" t="s">
        <v>156</v>
      </c>
      <c r="H1854" s="202" t="s">
        <v>156</v>
      </c>
      <c r="I1854" s="202" t="s">
        <v>156</v>
      </c>
      <c r="J1854" s="202" t="s">
        <v>156</v>
      </c>
      <c r="K1854" s="202" t="s">
        <v>156</v>
      </c>
      <c r="L1854" s="202" t="s">
        <v>156</v>
      </c>
      <c r="M1854" s="93"/>
      <c r="N1854" s="219"/>
      <c r="O1854" s="195"/>
      <c r="P1854" s="104"/>
      <c r="Q1854" s="327"/>
      <c r="R1854" s="327"/>
      <c r="S1854" s="197"/>
      <c r="T1854" s="197"/>
      <c r="U1854" s="197"/>
      <c r="V1854" s="197"/>
      <c r="W1854" s="197"/>
      <c r="X1854" s="197"/>
      <c r="Y1854" s="197"/>
      <c r="Z1854" s="197"/>
      <c r="AA1854" s="197"/>
      <c r="AB1854" s="197"/>
      <c r="AC1854" s="197"/>
    </row>
    <row r="1855" spans="1:29" ht="21" customHeight="1">
      <c r="A1855" s="187">
        <v>19</v>
      </c>
      <c r="B1855" s="186" t="s">
        <v>69</v>
      </c>
      <c r="C1855" s="326" t="s">
        <v>143</v>
      </c>
      <c r="D1855" s="326"/>
      <c r="E1855" s="151"/>
      <c r="F1855" s="144" t="s">
        <v>71</v>
      </c>
      <c r="G1855" s="203" t="s">
        <v>156</v>
      </c>
      <c r="H1855" s="202" t="s">
        <v>156</v>
      </c>
      <c r="I1855" s="202" t="s">
        <v>156</v>
      </c>
      <c r="J1855" s="202" t="s">
        <v>156</v>
      </c>
      <c r="K1855" s="202" t="s">
        <v>156</v>
      </c>
      <c r="L1855" s="202" t="s">
        <v>156</v>
      </c>
      <c r="M1855" s="93"/>
      <c r="N1855" s="219"/>
      <c r="O1855" s="195"/>
      <c r="P1855" s="104"/>
      <c r="Q1855" s="327"/>
      <c r="R1855" s="327"/>
      <c r="S1855" s="197"/>
      <c r="T1855" s="197"/>
      <c r="U1855" s="197"/>
      <c r="V1855" s="197"/>
      <c r="W1855" s="197"/>
      <c r="X1855" s="197"/>
      <c r="Y1855" s="197"/>
      <c r="Z1855" s="197"/>
      <c r="AA1855" s="197"/>
      <c r="AB1855" s="197"/>
      <c r="AC1855" s="197"/>
    </row>
    <row r="1856" spans="1:29" ht="21" customHeight="1">
      <c r="A1856" s="187">
        <v>20</v>
      </c>
      <c r="B1856" s="186" t="s">
        <v>69</v>
      </c>
      <c r="C1856" s="326" t="s">
        <v>102</v>
      </c>
      <c r="D1856" s="326"/>
      <c r="E1856" s="150"/>
      <c r="F1856" s="154" t="s">
        <v>71</v>
      </c>
      <c r="G1856" s="203" t="s">
        <v>156</v>
      </c>
      <c r="H1856" s="202" t="s">
        <v>156</v>
      </c>
      <c r="I1856" s="202" t="s">
        <v>156</v>
      </c>
      <c r="J1856" s="202" t="s">
        <v>156</v>
      </c>
      <c r="K1856" s="202" t="s">
        <v>156</v>
      </c>
      <c r="L1856" s="202" t="s">
        <v>156</v>
      </c>
      <c r="M1856" s="93"/>
      <c r="N1856" s="219"/>
      <c r="O1856" s="195"/>
      <c r="P1856" s="104"/>
      <c r="Q1856" s="327"/>
      <c r="R1856" s="327"/>
      <c r="S1856" s="197"/>
      <c r="T1856" s="197"/>
      <c r="U1856" s="197"/>
      <c r="V1856" s="197"/>
      <c r="W1856" s="197"/>
      <c r="X1856" s="197"/>
      <c r="Y1856" s="197"/>
      <c r="Z1856" s="197"/>
      <c r="AA1856" s="197"/>
      <c r="AB1856" s="197"/>
      <c r="AC1856" s="197"/>
    </row>
    <row r="1857" spans="1:29" ht="24.75" customHeight="1">
      <c r="A1857" s="192" t="s">
        <v>128</v>
      </c>
      <c r="B1857" s="104"/>
      <c r="C1857" s="328" t="s">
        <v>130</v>
      </c>
      <c r="D1857" s="328"/>
      <c r="E1857" s="328"/>
      <c r="F1857" s="328"/>
      <c r="G1857" s="328"/>
      <c r="H1857" s="328"/>
      <c r="I1857" s="328"/>
      <c r="J1857" s="328"/>
      <c r="K1857" s="328"/>
      <c r="L1857" s="328"/>
      <c r="M1857" s="89"/>
      <c r="N1857" s="219"/>
      <c r="O1857" s="198"/>
      <c r="P1857" s="104"/>
      <c r="Q1857" s="329"/>
      <c r="R1857" s="329"/>
      <c r="S1857" s="329"/>
      <c r="T1857" s="329"/>
      <c r="U1857" s="329"/>
      <c r="V1857" s="329"/>
      <c r="W1857" s="329"/>
      <c r="X1857" s="329"/>
      <c r="Y1857" s="329"/>
      <c r="Z1857" s="329"/>
      <c r="AA1857" s="329"/>
      <c r="AB1857" s="329"/>
      <c r="AC1857" s="329"/>
    </row>
    <row r="1858" spans="1:29" ht="33" customHeight="1">
      <c r="A1858" s="189">
        <v>21</v>
      </c>
      <c r="B1858" s="188" t="s">
        <v>69</v>
      </c>
      <c r="C1858" s="307" t="s">
        <v>82</v>
      </c>
      <c r="D1858" s="308"/>
      <c r="E1858" s="182"/>
      <c r="F1858" s="191" t="s">
        <v>71</v>
      </c>
      <c r="G1858" s="201">
        <v>58</v>
      </c>
      <c r="H1858" s="201">
        <v>40</v>
      </c>
      <c r="I1858" s="201">
        <v>21</v>
      </c>
      <c r="J1858" s="201">
        <v>58</v>
      </c>
      <c r="K1858" s="201">
        <v>40</v>
      </c>
      <c r="L1858" s="201">
        <v>21</v>
      </c>
      <c r="M1858" s="89"/>
      <c r="N1858" s="219"/>
      <c r="O1858" s="199"/>
      <c r="P1858" s="200"/>
      <c r="Q1858" s="309"/>
      <c r="R1858" s="309"/>
      <c r="S1858" s="86"/>
      <c r="T1858" s="86"/>
      <c r="U1858" s="86"/>
      <c r="V1858" s="86"/>
      <c r="W1858" s="86"/>
      <c r="X1858" s="86"/>
      <c r="Y1858" s="86"/>
      <c r="Z1858" s="86"/>
      <c r="AA1858" s="86"/>
      <c r="AB1858" s="86"/>
      <c r="AC1858" s="86"/>
    </row>
    <row r="1859" spans="1:29" ht="33" customHeight="1">
      <c r="A1859" s="189">
        <v>22</v>
      </c>
      <c r="B1859" s="188" t="s">
        <v>69</v>
      </c>
      <c r="C1859" s="307" t="s">
        <v>103</v>
      </c>
      <c r="D1859" s="308"/>
      <c r="E1859" s="179"/>
      <c r="F1859" s="191" t="s">
        <v>71</v>
      </c>
      <c r="G1859" s="201">
        <v>9</v>
      </c>
      <c r="H1859" s="201">
        <v>9</v>
      </c>
      <c r="I1859" s="201">
        <v>7</v>
      </c>
      <c r="J1859" s="201">
        <v>9</v>
      </c>
      <c r="K1859" s="201">
        <v>9</v>
      </c>
      <c r="L1859" s="201">
        <v>7</v>
      </c>
      <c r="M1859" s="89"/>
      <c r="N1859" s="219"/>
      <c r="O1859" s="199"/>
      <c r="P1859" s="200"/>
      <c r="Q1859" s="309"/>
      <c r="R1859" s="309"/>
      <c r="S1859" s="86"/>
      <c r="T1859" s="86"/>
      <c r="U1859" s="86"/>
      <c r="V1859" s="86"/>
      <c r="W1859" s="86"/>
      <c r="X1859" s="86"/>
      <c r="Y1859" s="86"/>
      <c r="Z1859" s="86"/>
      <c r="AA1859" s="86"/>
      <c r="AB1859" s="86"/>
      <c r="AC1859" s="86"/>
    </row>
    <row r="1860" spans="1:29" ht="33" customHeight="1">
      <c r="A1860" s="189">
        <v>23</v>
      </c>
      <c r="B1860" s="188" t="s">
        <v>69</v>
      </c>
      <c r="C1860" s="307" t="s">
        <v>104</v>
      </c>
      <c r="D1860" s="308"/>
      <c r="E1860" s="179"/>
      <c r="F1860" s="191" t="s">
        <v>71</v>
      </c>
      <c r="G1860" s="201">
        <v>5</v>
      </c>
      <c r="H1860" s="201">
        <v>1</v>
      </c>
      <c r="I1860" s="201">
        <v>1</v>
      </c>
      <c r="J1860" s="201">
        <v>5</v>
      </c>
      <c r="K1860" s="201">
        <v>1</v>
      </c>
      <c r="L1860" s="201">
        <v>1</v>
      </c>
      <c r="M1860" s="89"/>
      <c r="N1860" s="219"/>
      <c r="O1860" s="199"/>
      <c r="P1860" s="200"/>
      <c r="Q1860" s="309"/>
      <c r="R1860" s="309"/>
      <c r="S1860" s="86"/>
      <c r="T1860" s="86"/>
      <c r="U1860" s="86"/>
      <c r="V1860" s="86"/>
      <c r="W1860" s="86"/>
      <c r="X1860" s="86"/>
      <c r="Y1860" s="86"/>
      <c r="Z1860" s="86"/>
      <c r="AA1860" s="86"/>
      <c r="AB1860" s="86"/>
      <c r="AC1860" s="86"/>
    </row>
    <row r="1861" spans="1:29" ht="27.75" customHeight="1">
      <c r="A1861" s="317" t="s">
        <v>135</v>
      </c>
      <c r="B1861" s="318"/>
      <c r="C1861" s="317" t="s">
        <v>68</v>
      </c>
      <c r="D1861" s="318"/>
      <c r="E1861" s="183"/>
      <c r="F1861" s="321" t="s">
        <v>136</v>
      </c>
      <c r="G1861" s="322" t="s">
        <v>155</v>
      </c>
      <c r="H1861" s="323"/>
      <c r="I1861" s="323"/>
      <c r="J1861" s="322" t="s">
        <v>154</v>
      </c>
      <c r="K1861" s="323"/>
      <c r="L1861" s="324"/>
      <c r="M1861" s="92"/>
      <c r="O1861" s="325"/>
      <c r="P1861" s="325"/>
      <c r="Q1861" s="325"/>
      <c r="R1861" s="325"/>
      <c r="S1861" s="316"/>
      <c r="T1861" s="316"/>
      <c r="U1861" s="316"/>
      <c r="V1861" s="316"/>
      <c r="W1861" s="316"/>
      <c r="X1861" s="316"/>
      <c r="Y1861" s="316"/>
      <c r="Z1861" s="316"/>
      <c r="AA1861" s="316"/>
      <c r="AB1861" s="316"/>
      <c r="AC1861" s="316"/>
    </row>
    <row r="1862" spans="1:29" ht="125.25" customHeight="1">
      <c r="A1862" s="319"/>
      <c r="B1862" s="320"/>
      <c r="C1862" s="319"/>
      <c r="D1862" s="320"/>
      <c r="E1862" s="184"/>
      <c r="F1862" s="321"/>
      <c r="G1862" s="153" t="s">
        <v>151</v>
      </c>
      <c r="H1862" s="153" t="s">
        <v>152</v>
      </c>
      <c r="I1862" s="153" t="s">
        <v>153</v>
      </c>
      <c r="J1862" s="153" t="s">
        <v>151</v>
      </c>
      <c r="K1862" s="153" t="s">
        <v>152</v>
      </c>
      <c r="L1862" s="153" t="s">
        <v>153</v>
      </c>
      <c r="O1862" s="325"/>
      <c r="P1862" s="325"/>
      <c r="Q1862" s="325"/>
      <c r="R1862" s="325"/>
      <c r="S1862" s="193"/>
      <c r="T1862" s="193"/>
      <c r="U1862" s="193"/>
      <c r="V1862" s="193"/>
      <c r="W1862" s="193"/>
      <c r="X1862" s="193"/>
      <c r="Y1862" s="193"/>
      <c r="Z1862" s="193"/>
      <c r="AA1862" s="193"/>
      <c r="AB1862" s="193"/>
      <c r="AC1862" s="193"/>
    </row>
    <row r="1863" spans="1:29" ht="30" customHeight="1">
      <c r="A1863" s="189">
        <v>24</v>
      </c>
      <c r="B1863" s="188" t="s">
        <v>69</v>
      </c>
      <c r="C1863" s="307" t="s">
        <v>131</v>
      </c>
      <c r="D1863" s="308"/>
      <c r="E1863" s="179"/>
      <c r="F1863" s="191" t="s">
        <v>71</v>
      </c>
      <c r="G1863" s="202" t="s">
        <v>156</v>
      </c>
      <c r="H1863" s="202" t="s">
        <v>156</v>
      </c>
      <c r="I1863" s="202" t="s">
        <v>156</v>
      </c>
      <c r="J1863" s="202" t="s">
        <v>156</v>
      </c>
      <c r="K1863" s="202" t="s">
        <v>156</v>
      </c>
      <c r="L1863" s="202" t="s">
        <v>156</v>
      </c>
      <c r="M1863" s="89"/>
      <c r="N1863" s="219"/>
      <c r="O1863" s="199"/>
      <c r="P1863" s="200"/>
      <c r="Q1863" s="309"/>
      <c r="R1863" s="309"/>
      <c r="S1863" s="86"/>
      <c r="T1863" s="86"/>
      <c r="U1863" s="86"/>
      <c r="V1863" s="86"/>
      <c r="W1863" s="86"/>
      <c r="X1863" s="86"/>
      <c r="Y1863" s="86"/>
      <c r="Z1863" s="86"/>
      <c r="AA1863" s="86"/>
      <c r="AB1863" s="86"/>
      <c r="AC1863" s="86"/>
    </row>
    <row r="1864" spans="1:29" ht="30" customHeight="1">
      <c r="A1864" s="189">
        <v>25</v>
      </c>
      <c r="B1864" s="188" t="s">
        <v>69</v>
      </c>
      <c r="C1864" s="307" t="s">
        <v>83</v>
      </c>
      <c r="D1864" s="308"/>
      <c r="E1864" s="179"/>
      <c r="F1864" s="191" t="s">
        <v>71</v>
      </c>
      <c r="G1864" s="201">
        <v>25</v>
      </c>
      <c r="H1864" s="201">
        <v>40</v>
      </c>
      <c r="I1864" s="201">
        <v>22</v>
      </c>
      <c r="J1864" s="201">
        <v>25</v>
      </c>
      <c r="K1864" s="201">
        <v>40</v>
      </c>
      <c r="L1864" s="201">
        <v>22</v>
      </c>
      <c r="M1864" s="89"/>
      <c r="N1864" s="219"/>
      <c r="O1864" s="199"/>
      <c r="P1864" s="200"/>
      <c r="Q1864" s="309"/>
      <c r="R1864" s="309"/>
      <c r="S1864" s="86"/>
      <c r="T1864" s="86"/>
      <c r="U1864" s="86"/>
      <c r="V1864" s="86"/>
      <c r="W1864" s="86"/>
      <c r="X1864" s="86"/>
      <c r="Y1864" s="86"/>
      <c r="Z1864" s="86"/>
      <c r="AA1864" s="86"/>
      <c r="AB1864" s="86"/>
      <c r="AC1864" s="86"/>
    </row>
    <row r="1865" spans="1:29" ht="30" customHeight="1">
      <c r="A1865" s="189">
        <v>26</v>
      </c>
      <c r="B1865" s="188" t="s">
        <v>69</v>
      </c>
      <c r="C1865" s="307" t="s">
        <v>84</v>
      </c>
      <c r="D1865" s="308"/>
      <c r="E1865" s="179"/>
      <c r="F1865" s="191" t="s">
        <v>71</v>
      </c>
      <c r="G1865" s="201">
        <v>5</v>
      </c>
      <c r="H1865" s="202" t="s">
        <v>156</v>
      </c>
      <c r="I1865" s="202" t="s">
        <v>156</v>
      </c>
      <c r="J1865" s="201">
        <v>5</v>
      </c>
      <c r="K1865" s="202" t="s">
        <v>156</v>
      </c>
      <c r="L1865" s="202" t="s">
        <v>156</v>
      </c>
      <c r="M1865" s="89"/>
      <c r="N1865" s="219"/>
      <c r="O1865" s="199"/>
      <c r="P1865" s="200"/>
      <c r="Q1865" s="309"/>
      <c r="R1865" s="309"/>
      <c r="S1865" s="86"/>
      <c r="T1865" s="86"/>
      <c r="U1865" s="86"/>
      <c r="V1865" s="86"/>
      <c r="W1865" s="86"/>
      <c r="X1865" s="86"/>
      <c r="Y1865" s="86"/>
      <c r="Z1865" s="86"/>
      <c r="AA1865" s="86"/>
      <c r="AB1865" s="86"/>
      <c r="AC1865" s="86"/>
    </row>
    <row r="1866" spans="1:29" ht="30" customHeight="1">
      <c r="A1866" s="189">
        <v>27</v>
      </c>
      <c r="B1866" s="188" t="s">
        <v>69</v>
      </c>
      <c r="C1866" s="307" t="s">
        <v>85</v>
      </c>
      <c r="D1866" s="308"/>
      <c r="E1866" s="179"/>
      <c r="F1866" s="191" t="s">
        <v>71</v>
      </c>
      <c r="G1866" s="201">
        <v>3</v>
      </c>
      <c r="H1866" s="201">
        <v>1</v>
      </c>
      <c r="I1866" s="201">
        <v>8</v>
      </c>
      <c r="J1866" s="201">
        <v>3</v>
      </c>
      <c r="K1866" s="201">
        <v>1</v>
      </c>
      <c r="L1866" s="201">
        <v>8</v>
      </c>
      <c r="M1866" s="89"/>
      <c r="N1866" s="219"/>
      <c r="O1866" s="199"/>
      <c r="P1866" s="200"/>
      <c r="Q1866" s="309"/>
      <c r="R1866" s="309"/>
      <c r="S1866" s="86"/>
      <c r="T1866" s="86"/>
      <c r="U1866" s="86"/>
      <c r="V1866" s="86"/>
      <c r="W1866" s="86"/>
      <c r="X1866" s="86"/>
      <c r="Y1866" s="86"/>
      <c r="Z1866" s="86"/>
      <c r="AA1866" s="86"/>
      <c r="AB1866" s="86"/>
      <c r="AC1866" s="86"/>
    </row>
    <row r="1867" spans="1:29" ht="30" customHeight="1">
      <c r="A1867" s="189">
        <v>28</v>
      </c>
      <c r="B1867" s="188" t="s">
        <v>69</v>
      </c>
      <c r="C1867" s="307" t="s">
        <v>132</v>
      </c>
      <c r="D1867" s="308"/>
      <c r="E1867" s="179"/>
      <c r="F1867" s="191" t="s">
        <v>71</v>
      </c>
      <c r="G1867" s="202" t="s">
        <v>156</v>
      </c>
      <c r="H1867" s="202" t="s">
        <v>156</v>
      </c>
      <c r="I1867" s="202" t="s">
        <v>156</v>
      </c>
      <c r="J1867" s="202" t="s">
        <v>156</v>
      </c>
      <c r="K1867" s="202" t="s">
        <v>156</v>
      </c>
      <c r="L1867" s="202" t="s">
        <v>156</v>
      </c>
      <c r="M1867" s="89"/>
      <c r="N1867" s="219"/>
      <c r="O1867" s="199"/>
      <c r="P1867" s="200"/>
      <c r="Q1867" s="309"/>
      <c r="R1867" s="309"/>
      <c r="S1867" s="86"/>
      <c r="T1867" s="86"/>
      <c r="U1867" s="86"/>
      <c r="V1867" s="86"/>
      <c r="W1867" s="86"/>
      <c r="X1867" s="86"/>
      <c r="Y1867" s="86"/>
      <c r="Z1867" s="86"/>
      <c r="AA1867" s="86"/>
      <c r="AB1867" s="86"/>
      <c r="AC1867" s="86"/>
    </row>
    <row r="1868" spans="1:29" ht="30" customHeight="1">
      <c r="A1868" s="189">
        <v>29</v>
      </c>
      <c r="B1868" s="188" t="s">
        <v>69</v>
      </c>
      <c r="C1868" s="307" t="s">
        <v>86</v>
      </c>
      <c r="D1868" s="308"/>
      <c r="E1868" s="179"/>
      <c r="F1868" s="191" t="s">
        <v>71</v>
      </c>
      <c r="G1868" s="201">
        <v>10</v>
      </c>
      <c r="H1868" s="201">
        <v>12</v>
      </c>
      <c r="I1868" s="201">
        <v>9</v>
      </c>
      <c r="J1868" s="201">
        <v>10</v>
      </c>
      <c r="K1868" s="201">
        <v>12</v>
      </c>
      <c r="L1868" s="201">
        <v>9</v>
      </c>
      <c r="M1868" s="89"/>
      <c r="N1868" s="219"/>
      <c r="O1868" s="199"/>
      <c r="P1868" s="200"/>
      <c r="Q1868" s="309"/>
      <c r="R1868" s="309"/>
      <c r="S1868" s="86"/>
      <c r="T1868" s="86"/>
      <c r="U1868" s="86"/>
      <c r="V1868" s="86"/>
      <c r="W1868" s="86"/>
      <c r="X1868" s="86"/>
      <c r="Y1868" s="86"/>
      <c r="Z1868" s="86"/>
      <c r="AA1868" s="86"/>
      <c r="AB1868" s="86"/>
      <c r="AC1868" s="86"/>
    </row>
    <row r="1869" spans="1:29" ht="30" customHeight="1">
      <c r="A1869" s="189">
        <v>30</v>
      </c>
      <c r="B1869" s="188" t="s">
        <v>69</v>
      </c>
      <c r="C1869" s="307" t="s">
        <v>87</v>
      </c>
      <c r="D1869" s="308"/>
      <c r="E1869" s="179"/>
      <c r="F1869" s="191" t="s">
        <v>71</v>
      </c>
      <c r="G1869" s="202" t="s">
        <v>156</v>
      </c>
      <c r="H1869" s="202" t="s">
        <v>156</v>
      </c>
      <c r="I1869" s="202" t="s">
        <v>156</v>
      </c>
      <c r="J1869" s="202" t="s">
        <v>156</v>
      </c>
      <c r="K1869" s="202" t="s">
        <v>156</v>
      </c>
      <c r="L1869" s="202" t="s">
        <v>156</v>
      </c>
      <c r="M1869" s="89"/>
      <c r="N1869" s="219"/>
      <c r="O1869" s="199"/>
      <c r="P1869" s="200"/>
      <c r="Q1869" s="309"/>
      <c r="R1869" s="309"/>
      <c r="S1869" s="86"/>
      <c r="T1869" s="86"/>
      <c r="U1869" s="86"/>
      <c r="V1869" s="86"/>
      <c r="W1869" s="86"/>
      <c r="X1869" s="86"/>
      <c r="Y1869" s="86"/>
      <c r="Z1869" s="86"/>
      <c r="AA1869" s="86"/>
      <c r="AB1869" s="86"/>
      <c r="AC1869" s="86"/>
    </row>
    <row r="1870" spans="1:29" ht="30" customHeight="1">
      <c r="A1870" s="189">
        <v>31</v>
      </c>
      <c r="B1870" s="188" t="s">
        <v>69</v>
      </c>
      <c r="C1870" s="307" t="s">
        <v>105</v>
      </c>
      <c r="D1870" s="308"/>
      <c r="E1870" s="179"/>
      <c r="F1870" s="191" t="s">
        <v>71</v>
      </c>
      <c r="G1870" s="201">
        <v>2</v>
      </c>
      <c r="H1870" s="203" t="s">
        <v>156</v>
      </c>
      <c r="I1870" s="201">
        <v>8</v>
      </c>
      <c r="J1870" s="201">
        <v>2</v>
      </c>
      <c r="K1870" s="203" t="s">
        <v>156</v>
      </c>
      <c r="L1870" s="201">
        <v>8</v>
      </c>
      <c r="M1870" s="89"/>
      <c r="N1870" s="219"/>
      <c r="O1870" s="199"/>
      <c r="P1870" s="200"/>
      <c r="Q1870" s="309"/>
      <c r="R1870" s="309"/>
      <c r="S1870" s="86"/>
      <c r="T1870" s="86"/>
      <c r="U1870" s="86"/>
      <c r="V1870" s="86"/>
      <c r="W1870" s="86"/>
      <c r="X1870" s="86"/>
      <c r="Y1870" s="86"/>
      <c r="Z1870" s="86"/>
      <c r="AA1870" s="86"/>
      <c r="AB1870" s="86"/>
      <c r="AC1870" s="86"/>
    </row>
    <row r="1871" spans="1:29" ht="30" customHeight="1">
      <c r="A1871" s="189">
        <v>32</v>
      </c>
      <c r="B1871" s="188" t="s">
        <v>69</v>
      </c>
      <c r="C1871" s="307" t="s">
        <v>133</v>
      </c>
      <c r="D1871" s="308"/>
      <c r="E1871" s="179"/>
      <c r="F1871" s="191" t="s">
        <v>71</v>
      </c>
      <c r="G1871" s="202" t="s">
        <v>156</v>
      </c>
      <c r="H1871" s="202" t="s">
        <v>156</v>
      </c>
      <c r="I1871" s="202" t="s">
        <v>156</v>
      </c>
      <c r="J1871" s="202" t="s">
        <v>156</v>
      </c>
      <c r="K1871" s="202" t="s">
        <v>156</v>
      </c>
      <c r="L1871" s="202" t="s">
        <v>156</v>
      </c>
      <c r="M1871" s="89"/>
      <c r="N1871" s="219"/>
      <c r="O1871" s="199"/>
      <c r="P1871" s="200"/>
      <c r="Q1871" s="309"/>
      <c r="R1871" s="309"/>
      <c r="S1871" s="86"/>
      <c r="T1871" s="86"/>
      <c r="U1871" s="86"/>
      <c r="V1871" s="86"/>
      <c r="W1871" s="86"/>
      <c r="X1871" s="86"/>
      <c r="Y1871" s="86"/>
      <c r="Z1871" s="86"/>
      <c r="AA1871" s="86"/>
      <c r="AB1871" s="86"/>
      <c r="AC1871" s="86"/>
    </row>
    <row r="1872" spans="1:29" ht="30" customHeight="1">
      <c r="A1872" s="189">
        <v>33</v>
      </c>
      <c r="B1872" s="188" t="s">
        <v>69</v>
      </c>
      <c r="C1872" s="307" t="s">
        <v>88</v>
      </c>
      <c r="D1872" s="308"/>
      <c r="E1872" s="179"/>
      <c r="F1872" s="191" t="s">
        <v>71</v>
      </c>
      <c r="G1872" s="201">
        <v>3</v>
      </c>
      <c r="H1872" s="201">
        <v>7</v>
      </c>
      <c r="I1872" s="201">
        <v>7</v>
      </c>
      <c r="J1872" s="201">
        <v>3</v>
      </c>
      <c r="K1872" s="201">
        <v>7</v>
      </c>
      <c r="L1872" s="201">
        <v>7</v>
      </c>
      <c r="M1872" s="89"/>
      <c r="N1872" s="219"/>
      <c r="O1872" s="199"/>
      <c r="P1872" s="200"/>
      <c r="Q1872" s="309"/>
      <c r="R1872" s="309"/>
      <c r="S1872" s="86"/>
      <c r="T1872" s="86"/>
      <c r="U1872" s="86"/>
      <c r="V1872" s="86"/>
      <c r="W1872" s="86"/>
      <c r="X1872" s="86"/>
      <c r="Y1872" s="86"/>
      <c r="Z1872" s="86"/>
      <c r="AA1872" s="86"/>
      <c r="AB1872" s="86"/>
      <c r="AC1872" s="86"/>
    </row>
    <row r="1873" spans="1:29" ht="30" customHeight="1">
      <c r="A1873" s="189">
        <v>34</v>
      </c>
      <c r="B1873" s="188" t="s">
        <v>69</v>
      </c>
      <c r="C1873" s="307" t="s">
        <v>89</v>
      </c>
      <c r="D1873" s="308"/>
      <c r="E1873" s="179"/>
      <c r="F1873" s="191" t="s">
        <v>71</v>
      </c>
      <c r="G1873" s="202" t="s">
        <v>156</v>
      </c>
      <c r="H1873" s="202" t="s">
        <v>156</v>
      </c>
      <c r="I1873" s="202" t="s">
        <v>156</v>
      </c>
      <c r="J1873" s="202" t="s">
        <v>156</v>
      </c>
      <c r="K1873" s="202" t="s">
        <v>156</v>
      </c>
      <c r="L1873" s="202" t="s">
        <v>156</v>
      </c>
      <c r="M1873" s="89"/>
      <c r="N1873" s="219"/>
      <c r="O1873" s="199"/>
      <c r="P1873" s="200"/>
      <c r="Q1873" s="309"/>
      <c r="R1873" s="309"/>
      <c r="S1873" s="86"/>
      <c r="T1873" s="86"/>
      <c r="U1873" s="86"/>
      <c r="V1873" s="86"/>
      <c r="W1873" s="86"/>
      <c r="X1873" s="86"/>
      <c r="Y1873" s="86"/>
      <c r="Z1873" s="86"/>
      <c r="AA1873" s="86"/>
      <c r="AB1873" s="86"/>
      <c r="AC1873" s="86"/>
    </row>
    <row r="1874" spans="1:29" ht="30" customHeight="1">
      <c r="A1874" s="189">
        <v>35</v>
      </c>
      <c r="B1874" s="188" t="s">
        <v>69</v>
      </c>
      <c r="C1874" s="307" t="s">
        <v>140</v>
      </c>
      <c r="D1874" s="308"/>
      <c r="E1874" s="179"/>
      <c r="F1874" s="191" t="s">
        <v>71</v>
      </c>
      <c r="G1874" s="202" t="s">
        <v>156</v>
      </c>
      <c r="H1874" s="202" t="s">
        <v>156</v>
      </c>
      <c r="I1874" s="201">
        <v>3</v>
      </c>
      <c r="J1874" s="202" t="s">
        <v>156</v>
      </c>
      <c r="K1874" s="202" t="s">
        <v>156</v>
      </c>
      <c r="L1874" s="201">
        <v>3</v>
      </c>
      <c r="M1874" s="89"/>
      <c r="N1874" s="220"/>
      <c r="O1874" s="199"/>
      <c r="P1874" s="200"/>
      <c r="Q1874" s="309"/>
      <c r="R1874" s="309"/>
      <c r="S1874" s="86"/>
      <c r="T1874" s="86"/>
      <c r="U1874" s="86"/>
      <c r="V1874" s="86"/>
      <c r="W1874" s="86"/>
      <c r="X1874" s="86"/>
      <c r="Y1874" s="86"/>
      <c r="Z1874" s="86"/>
      <c r="AA1874" s="86"/>
      <c r="AB1874" s="86"/>
      <c r="AC1874" s="86"/>
    </row>
    <row r="1875" spans="1:29" ht="30" customHeight="1">
      <c r="A1875" s="189">
        <v>36</v>
      </c>
      <c r="B1875" s="188" t="s">
        <v>69</v>
      </c>
      <c r="C1875" s="307" t="s">
        <v>134</v>
      </c>
      <c r="D1875" s="308"/>
      <c r="E1875" s="179"/>
      <c r="F1875" s="191" t="s">
        <v>71</v>
      </c>
      <c r="G1875" s="202" t="s">
        <v>156</v>
      </c>
      <c r="H1875" s="202" t="s">
        <v>156</v>
      </c>
      <c r="I1875" s="202" t="s">
        <v>156</v>
      </c>
      <c r="J1875" s="202" t="s">
        <v>156</v>
      </c>
      <c r="K1875" s="202" t="s">
        <v>156</v>
      </c>
      <c r="L1875" s="202" t="s">
        <v>156</v>
      </c>
      <c r="M1875" s="89"/>
      <c r="N1875" s="220"/>
      <c r="O1875" s="199"/>
      <c r="P1875" s="200"/>
      <c r="Q1875" s="309"/>
      <c r="R1875" s="309"/>
      <c r="S1875" s="86"/>
      <c r="T1875" s="86"/>
      <c r="U1875" s="86"/>
      <c r="V1875" s="86"/>
      <c r="W1875" s="86"/>
      <c r="X1875" s="86"/>
      <c r="Y1875" s="86"/>
      <c r="Z1875" s="86"/>
      <c r="AA1875" s="86"/>
      <c r="AB1875" s="86"/>
      <c r="AC1875" s="86"/>
    </row>
    <row r="1876" spans="1:29" ht="30" customHeight="1">
      <c r="A1876" s="189">
        <v>37</v>
      </c>
      <c r="B1876" s="188" t="s">
        <v>69</v>
      </c>
      <c r="C1876" s="307" t="s">
        <v>90</v>
      </c>
      <c r="D1876" s="308"/>
      <c r="E1876" s="179"/>
      <c r="F1876" s="191" t="s">
        <v>71</v>
      </c>
      <c r="G1876" s="202" t="s">
        <v>156</v>
      </c>
      <c r="H1876" s="202" t="s">
        <v>156</v>
      </c>
      <c r="I1876" s="202" t="s">
        <v>156</v>
      </c>
      <c r="J1876" s="202" t="s">
        <v>156</v>
      </c>
      <c r="K1876" s="202" t="s">
        <v>156</v>
      </c>
      <c r="L1876" s="202" t="s">
        <v>156</v>
      </c>
      <c r="M1876" s="89"/>
      <c r="N1876" s="220"/>
      <c r="O1876" s="199"/>
      <c r="P1876" s="200"/>
      <c r="Q1876" s="309"/>
      <c r="R1876" s="309"/>
      <c r="S1876" s="86"/>
      <c r="T1876" s="86"/>
      <c r="U1876" s="86"/>
      <c r="V1876" s="86"/>
      <c r="W1876" s="86"/>
      <c r="X1876" s="86"/>
      <c r="Y1876" s="86"/>
      <c r="Z1876" s="86"/>
      <c r="AA1876" s="86"/>
      <c r="AB1876" s="86"/>
      <c r="AC1876" s="86"/>
    </row>
    <row r="1877" spans="1:29" ht="30" customHeight="1">
      <c r="A1877" s="189">
        <v>38</v>
      </c>
      <c r="B1877" s="188" t="s">
        <v>69</v>
      </c>
      <c r="C1877" s="307" t="s">
        <v>106</v>
      </c>
      <c r="D1877" s="308"/>
      <c r="E1877" s="150"/>
      <c r="F1877" s="191" t="s">
        <v>71</v>
      </c>
      <c r="G1877" s="202" t="s">
        <v>156</v>
      </c>
      <c r="H1877" s="202" t="s">
        <v>156</v>
      </c>
      <c r="I1877" s="202" t="s">
        <v>156</v>
      </c>
      <c r="J1877" s="202" t="s">
        <v>156</v>
      </c>
      <c r="K1877" s="202" t="s">
        <v>156</v>
      </c>
      <c r="L1877" s="202" t="s">
        <v>156</v>
      </c>
      <c r="M1877" s="89"/>
      <c r="N1877" s="220"/>
      <c r="O1877" s="199"/>
      <c r="P1877" s="200"/>
      <c r="Q1877" s="309"/>
      <c r="R1877" s="309"/>
      <c r="S1877" s="86"/>
      <c r="T1877" s="86"/>
      <c r="U1877" s="86"/>
      <c r="V1877" s="86"/>
      <c r="W1877" s="86"/>
      <c r="X1877" s="86"/>
      <c r="Y1877" s="86"/>
      <c r="Z1877" s="86"/>
      <c r="AA1877" s="86"/>
      <c r="AB1877" s="86"/>
      <c r="AC1877" s="86"/>
    </row>
    <row r="1878" spans="1:29" ht="25.5" customHeight="1">
      <c r="A1878" s="310" t="s">
        <v>92</v>
      </c>
      <c r="B1878" s="310"/>
      <c r="C1878" s="310"/>
      <c r="D1878" s="310"/>
      <c r="E1878" s="310"/>
      <c r="F1878" s="310"/>
      <c r="G1878" s="310"/>
      <c r="H1878" s="310"/>
      <c r="I1878" s="310"/>
      <c r="J1878" s="310"/>
      <c r="K1878" s="310"/>
      <c r="L1878" s="310"/>
      <c r="M1878" s="92"/>
    </row>
    <row r="1879" spans="1:29" ht="19.5" customHeight="1">
      <c r="A1879" s="139"/>
      <c r="B1879" s="139"/>
      <c r="C1879" s="140"/>
      <c r="D1879" s="140" t="s">
        <v>145</v>
      </c>
      <c r="E1879" s="140"/>
      <c r="F1879" s="152" t="s">
        <v>54</v>
      </c>
      <c r="G1879" s="152"/>
      <c r="H1879" s="152"/>
      <c r="I1879" s="152"/>
      <c r="J1879" s="152" t="s">
        <v>144</v>
      </c>
      <c r="K1879" s="152"/>
      <c r="L1879" s="140"/>
      <c r="M1879" s="94"/>
    </row>
    <row r="1880" spans="1:29" ht="28.5" customHeight="1">
      <c r="A1880" s="310" t="s">
        <v>93</v>
      </c>
      <c r="B1880" s="310"/>
      <c r="C1880" s="310"/>
      <c r="D1880" s="310"/>
      <c r="E1880" s="310"/>
      <c r="F1880" s="310"/>
      <c r="G1880" s="310"/>
      <c r="H1880" s="310"/>
      <c r="I1880" s="310"/>
      <c r="J1880" s="310"/>
      <c r="K1880" s="310"/>
      <c r="L1880" s="310"/>
      <c r="M1880" s="92"/>
      <c r="N1880" s="311"/>
      <c r="O1880" s="311"/>
      <c r="P1880" s="311"/>
    </row>
    <row r="1881" spans="1:29" ht="20.25" customHeight="1">
      <c r="A1881" s="139"/>
      <c r="B1881" s="139"/>
      <c r="C1881" s="139"/>
      <c r="D1881" s="140" t="s">
        <v>145</v>
      </c>
      <c r="E1881" s="140"/>
      <c r="F1881" s="152" t="s">
        <v>54</v>
      </c>
      <c r="G1881" s="152"/>
      <c r="H1881" s="152"/>
      <c r="I1881" s="152"/>
      <c r="J1881" s="152" t="s">
        <v>144</v>
      </c>
      <c r="K1881" s="152"/>
      <c r="L1881" s="139"/>
      <c r="M1881" s="94"/>
      <c r="N1881" s="221"/>
      <c r="O1881" s="95"/>
      <c r="P1881" s="95"/>
    </row>
    <row r="1882" spans="1:29" ht="26.25" customHeight="1">
      <c r="A1882" s="312" t="s">
        <v>94</v>
      </c>
      <c r="B1882" s="312"/>
      <c r="C1882" s="312"/>
      <c r="D1882" s="312"/>
      <c r="E1882" s="312"/>
      <c r="F1882" s="312"/>
      <c r="G1882" s="312"/>
      <c r="H1882" s="312"/>
      <c r="I1882" s="312"/>
      <c r="J1882" s="312"/>
      <c r="K1882" s="312"/>
      <c r="L1882" s="312"/>
      <c r="M1882" s="92"/>
    </row>
    <row r="1883" spans="1:29" ht="22.5" customHeight="1">
      <c r="A1883" s="120"/>
      <c r="B1883" s="120"/>
      <c r="C1883" s="120"/>
      <c r="D1883" s="120"/>
      <c r="E1883" s="120"/>
      <c r="F1883" s="120"/>
      <c r="G1883" s="120"/>
      <c r="H1883" s="120"/>
      <c r="I1883" s="120"/>
      <c r="J1883" s="120"/>
      <c r="K1883" s="120"/>
      <c r="L1883" s="120"/>
      <c r="M1883" s="94"/>
    </row>
    <row r="1884" spans="1:29" ht="22.5" customHeight="1">
      <c r="A1884" s="313" t="s">
        <v>95</v>
      </c>
      <c r="B1884" s="313"/>
      <c r="C1884" s="313"/>
      <c r="D1884" s="313"/>
      <c r="E1884" s="313"/>
      <c r="F1884" s="313"/>
      <c r="G1884" s="313"/>
      <c r="H1884" s="313"/>
      <c r="I1884" s="313"/>
      <c r="J1884" s="313"/>
      <c r="K1884" s="313"/>
      <c r="L1884" s="313"/>
      <c r="M1884" s="92"/>
    </row>
    <row r="1885" spans="1:29" ht="19.5" customHeight="1">
      <c r="A1885" s="97"/>
      <c r="B1885" s="97"/>
      <c r="C1885" s="145"/>
      <c r="D1885" s="97"/>
      <c r="E1885" s="97"/>
      <c r="F1885" s="97"/>
      <c r="G1885" s="97"/>
      <c r="H1885" s="97"/>
      <c r="I1885" s="97"/>
      <c r="J1885" s="97"/>
      <c r="K1885" s="97"/>
      <c r="L1885" s="97"/>
      <c r="M1885" s="94"/>
    </row>
    <row r="1886" spans="1:29" ht="15.75">
      <c r="A1886" s="94"/>
      <c r="B1886" s="94"/>
      <c r="C1886" s="146"/>
      <c r="D1886" s="94"/>
      <c r="E1886" s="94"/>
      <c r="F1886" s="94"/>
      <c r="G1886" s="94"/>
      <c r="H1886" s="94"/>
      <c r="I1886" s="94"/>
      <c r="J1886" s="94"/>
      <c r="K1886" s="94"/>
      <c r="L1886" s="94"/>
      <c r="M1886" s="94"/>
    </row>
    <row r="1887" spans="1:29" ht="31.5" customHeight="1">
      <c r="A1887" s="314" t="s">
        <v>96</v>
      </c>
      <c r="B1887" s="314"/>
      <c r="C1887" s="314"/>
      <c r="D1887" s="314"/>
      <c r="E1887" s="98"/>
      <c r="F1887" s="98"/>
      <c r="G1887" s="98"/>
      <c r="H1887" s="315" t="s">
        <v>97</v>
      </c>
      <c r="I1887" s="315"/>
      <c r="J1887" s="315"/>
      <c r="K1887" s="315"/>
      <c r="L1887" s="315"/>
      <c r="M1887" s="94"/>
    </row>
    <row r="1888" spans="1:29" ht="95.1" customHeight="1">
      <c r="A1888" s="99"/>
      <c r="B1888" s="101" t="str">
        <f>B1818</f>
        <v>Ông Huỳnh Phước Hải        ….............</v>
      </c>
      <c r="C1888" s="147"/>
      <c r="D1888" s="99"/>
      <c r="E1888" s="81"/>
      <c r="F1888" s="100"/>
      <c r="G1888" s="100"/>
      <c r="H1888" s="306" t="str">
        <f>H1818</f>
        <v>Ông Phạm Tấn Việt          …..................</v>
      </c>
      <c r="I1888" s="306"/>
      <c r="J1888" s="306"/>
      <c r="K1888" s="306"/>
      <c r="L1888" s="306"/>
      <c r="M1888" s="94"/>
    </row>
    <row r="1889" spans="1:29" ht="27.75" customHeight="1">
      <c r="A1889" s="99"/>
      <c r="B1889" s="101"/>
      <c r="C1889" s="147"/>
      <c r="D1889" s="99"/>
      <c r="E1889" s="81"/>
      <c r="F1889" s="100"/>
      <c r="G1889" s="100"/>
      <c r="H1889" s="204"/>
      <c r="I1889" s="204"/>
      <c r="J1889" s="204"/>
      <c r="K1889" s="204"/>
      <c r="L1889" s="204"/>
      <c r="M1889" s="94"/>
    </row>
    <row r="1890" spans="1:29" ht="21.75" customHeight="1">
      <c r="A1890" s="348" t="s">
        <v>165</v>
      </c>
      <c r="B1890" s="348"/>
      <c r="C1890" s="348"/>
      <c r="D1890" s="348"/>
      <c r="E1890" s="348"/>
      <c r="F1890" s="348"/>
      <c r="G1890" s="348"/>
      <c r="H1890" s="348"/>
      <c r="I1890" s="348"/>
      <c r="J1890" s="348"/>
      <c r="K1890" s="348"/>
      <c r="L1890" s="348"/>
      <c r="M1890" s="82"/>
    </row>
    <row r="1891" spans="1:29" ht="19.5">
      <c r="A1891" s="84" t="str">
        <f>"Ngày "&amp;N1892&amp;" tháng "&amp;O3&amp;" năm "&amp;P3&amp;""</f>
        <v>Ngày 28 tháng 07 năm 2026</v>
      </c>
      <c r="B1891" s="84"/>
      <c r="C1891" s="85"/>
      <c r="N1891" s="216"/>
      <c r="O1891" s="20"/>
      <c r="P1891" s="20"/>
    </row>
    <row r="1892" spans="1:29" ht="16.5">
      <c r="A1892" s="337" t="s">
        <v>57</v>
      </c>
      <c r="B1892" s="337"/>
      <c r="C1892" s="337"/>
      <c r="D1892" s="311"/>
      <c r="E1892" s="311"/>
      <c r="F1892" s="311"/>
      <c r="G1892" s="95"/>
      <c r="H1892" s="95"/>
      <c r="I1892" s="95"/>
      <c r="J1892" s="95"/>
      <c r="K1892" s="95"/>
      <c r="L1892" s="95"/>
      <c r="N1892" s="217" t="s">
        <v>190</v>
      </c>
      <c r="O1892" s="214"/>
      <c r="P1892" s="17"/>
    </row>
    <row r="1893" spans="1:29" ht="15.75" customHeight="1">
      <c r="A1893" s="338"/>
      <c r="B1893" s="338"/>
      <c r="C1893" s="338"/>
      <c r="D1893" s="339" t="s">
        <v>58</v>
      </c>
      <c r="E1893" s="340"/>
      <c r="F1893" s="340"/>
      <c r="G1893" s="340"/>
      <c r="H1893" s="341"/>
      <c r="I1893" s="339" t="s">
        <v>59</v>
      </c>
      <c r="J1893" s="340"/>
      <c r="K1893" s="340"/>
      <c r="L1893" s="341"/>
    </row>
    <row r="1894" spans="1:29" ht="19.5" customHeight="1">
      <c r="A1894" s="342" t="s">
        <v>60</v>
      </c>
      <c r="B1894" s="342"/>
      <c r="C1894" s="342"/>
      <c r="D1894" s="343" t="s">
        <v>54</v>
      </c>
      <c r="E1894" s="344"/>
      <c r="F1894" s="344"/>
      <c r="G1894" s="344"/>
      <c r="H1894" s="345"/>
      <c r="I1894" s="343" t="s">
        <v>54</v>
      </c>
      <c r="J1894" s="344"/>
      <c r="K1894" s="344"/>
      <c r="L1894" s="345"/>
    </row>
    <row r="1895" spans="1:29" ht="22.5" customHeight="1">
      <c r="A1895" s="342" t="s">
        <v>61</v>
      </c>
      <c r="B1895" s="342"/>
      <c r="C1895" s="342"/>
      <c r="D1895" s="343" t="s">
        <v>163</v>
      </c>
      <c r="E1895" s="344"/>
      <c r="F1895" s="344"/>
      <c r="G1895" s="344"/>
      <c r="H1895" s="345"/>
      <c r="I1895" s="343" t="str">
        <f>D1895</f>
        <v>31° - 34°</v>
      </c>
      <c r="J1895" s="344"/>
      <c r="K1895" s="344"/>
      <c r="L1895" s="345"/>
    </row>
    <row r="1896" spans="1:29" s="87" customFormat="1" ht="19.5" customHeight="1">
      <c r="A1896" s="310" t="s">
        <v>62</v>
      </c>
      <c r="B1896" s="310"/>
      <c r="C1896" s="310"/>
      <c r="D1896" s="310"/>
      <c r="E1896" s="310"/>
      <c r="F1896" s="310"/>
      <c r="G1896" s="310"/>
      <c r="H1896" s="310"/>
      <c r="I1896" s="310"/>
      <c r="J1896" s="310"/>
      <c r="K1896" s="310"/>
      <c r="L1896" s="310"/>
      <c r="M1896" s="85"/>
      <c r="N1896" s="218"/>
    </row>
    <row r="1897" spans="1:29" s="87" customFormat="1" ht="15.75">
      <c r="A1897" s="332" t="s">
        <v>63</v>
      </c>
      <c r="B1897" s="332"/>
      <c r="C1897" s="332"/>
      <c r="D1897" s="332"/>
      <c r="E1897" s="332"/>
      <c r="F1897" s="332"/>
      <c r="G1897" s="332"/>
      <c r="H1897" s="332"/>
      <c r="I1897" s="332"/>
      <c r="J1897" s="332"/>
      <c r="K1897" s="332"/>
      <c r="L1897" s="332"/>
      <c r="M1897" s="85"/>
      <c r="N1897" s="218"/>
    </row>
    <row r="1898" spans="1:29" s="87" customFormat="1" ht="20.100000000000001" customHeight="1">
      <c r="A1898" s="88"/>
      <c r="B1898" s="88"/>
      <c r="C1898" s="333" t="s">
        <v>64</v>
      </c>
      <c r="D1898" s="334"/>
      <c r="E1898" s="334"/>
      <c r="F1898" s="334"/>
      <c r="G1898" s="334"/>
      <c r="H1898" s="334"/>
      <c r="I1898" s="334"/>
      <c r="J1898" s="334"/>
      <c r="K1898" s="334"/>
      <c r="L1898" s="334"/>
      <c r="M1898" s="85"/>
      <c r="N1898" s="218"/>
    </row>
    <row r="1899" spans="1:29" s="87" customFormat="1" ht="20.100000000000001" customHeight="1">
      <c r="A1899" s="88"/>
      <c r="B1899" s="88"/>
      <c r="C1899" s="333" t="s">
        <v>65</v>
      </c>
      <c r="D1899" s="334"/>
      <c r="E1899" s="334"/>
      <c r="F1899" s="334"/>
      <c r="G1899" s="334"/>
      <c r="H1899" s="334"/>
      <c r="I1899" s="334"/>
      <c r="J1899" s="334"/>
      <c r="K1899" s="334"/>
      <c r="L1899" s="334"/>
      <c r="M1899" s="85"/>
      <c r="N1899" s="218"/>
    </row>
    <row r="1900" spans="1:29" s="87" customFormat="1" ht="17.25" customHeight="1">
      <c r="A1900" s="335" t="s">
        <v>66</v>
      </c>
      <c r="B1900" s="335"/>
      <c r="C1900" s="335"/>
      <c r="D1900" s="335"/>
      <c r="E1900" s="335"/>
      <c r="F1900" s="335"/>
      <c r="G1900" s="335"/>
      <c r="H1900" s="335"/>
      <c r="I1900" s="335"/>
      <c r="J1900" s="335"/>
      <c r="K1900" s="335"/>
      <c r="L1900" s="335"/>
      <c r="M1900" s="85"/>
      <c r="N1900" s="218"/>
    </row>
    <row r="1901" spans="1:29" s="87" customFormat="1" ht="7.5" customHeight="1">
      <c r="A1901" s="119"/>
      <c r="B1901" s="119"/>
      <c r="C1901" s="119"/>
      <c r="D1901" s="119"/>
      <c r="E1901" s="119"/>
      <c r="F1901" s="119"/>
      <c r="G1901" s="119"/>
      <c r="H1901" s="119"/>
      <c r="I1901" s="119"/>
      <c r="J1901" s="119"/>
      <c r="K1901" s="119"/>
      <c r="L1901" s="119"/>
      <c r="M1901" s="85"/>
      <c r="N1901" s="218"/>
    </row>
    <row r="1902" spans="1:29" ht="15.75">
      <c r="A1902" s="336" t="s">
        <v>67</v>
      </c>
      <c r="B1902" s="336"/>
      <c r="C1902" s="336"/>
      <c r="D1902" s="336"/>
      <c r="E1902" s="336"/>
      <c r="F1902" s="336"/>
      <c r="G1902" s="336"/>
      <c r="H1902" s="336"/>
      <c r="I1902" s="336"/>
      <c r="J1902" s="336"/>
      <c r="K1902" s="336"/>
      <c r="L1902" s="336"/>
    </row>
    <row r="1903" spans="1:29" ht="2.25" customHeight="1">
      <c r="A1903" s="141"/>
      <c r="B1903" s="141"/>
      <c r="C1903" s="141"/>
      <c r="D1903" s="141"/>
      <c r="E1903" s="141"/>
      <c r="F1903" s="141"/>
      <c r="G1903" s="155"/>
      <c r="H1903" s="155"/>
      <c r="I1903" s="155"/>
      <c r="J1903" s="155"/>
      <c r="K1903" s="155"/>
      <c r="L1903" s="155"/>
    </row>
    <row r="1904" spans="1:29" ht="27.75" customHeight="1">
      <c r="A1904" s="317" t="s">
        <v>135</v>
      </c>
      <c r="B1904" s="318"/>
      <c r="C1904" s="317" t="s">
        <v>68</v>
      </c>
      <c r="D1904" s="318"/>
      <c r="E1904" s="183"/>
      <c r="F1904" s="321" t="s">
        <v>136</v>
      </c>
      <c r="G1904" s="322" t="s">
        <v>155</v>
      </c>
      <c r="H1904" s="323"/>
      <c r="I1904" s="323"/>
      <c r="J1904" s="322" t="s">
        <v>154</v>
      </c>
      <c r="K1904" s="323"/>
      <c r="L1904" s="324"/>
      <c r="M1904" s="92"/>
      <c r="O1904" s="325"/>
      <c r="P1904" s="325"/>
      <c r="Q1904" s="325"/>
      <c r="R1904" s="325"/>
      <c r="S1904" s="316"/>
      <c r="T1904" s="316"/>
      <c r="U1904" s="316"/>
      <c r="V1904" s="316"/>
      <c r="W1904" s="316"/>
      <c r="X1904" s="316"/>
      <c r="Y1904" s="316"/>
      <c r="Z1904" s="316"/>
      <c r="AA1904" s="316"/>
      <c r="AB1904" s="316"/>
      <c r="AC1904" s="316"/>
    </row>
    <row r="1905" spans="1:29" ht="125.25" customHeight="1">
      <c r="A1905" s="319"/>
      <c r="B1905" s="320"/>
      <c r="C1905" s="319"/>
      <c r="D1905" s="320"/>
      <c r="E1905" s="184"/>
      <c r="F1905" s="321"/>
      <c r="G1905" s="153" t="s">
        <v>151</v>
      </c>
      <c r="H1905" s="153" t="s">
        <v>152</v>
      </c>
      <c r="I1905" s="153" t="s">
        <v>153</v>
      </c>
      <c r="J1905" s="153" t="s">
        <v>151</v>
      </c>
      <c r="K1905" s="153" t="s">
        <v>152</v>
      </c>
      <c r="L1905" s="153" t="s">
        <v>153</v>
      </c>
      <c r="O1905" s="325"/>
      <c r="P1905" s="325"/>
      <c r="Q1905" s="325"/>
      <c r="R1905" s="325"/>
      <c r="S1905" s="193"/>
      <c r="T1905" s="193"/>
      <c r="U1905" s="193"/>
      <c r="V1905" s="193"/>
      <c r="W1905" s="193"/>
      <c r="X1905" s="193"/>
      <c r="Y1905" s="193"/>
      <c r="Z1905" s="193"/>
      <c r="AA1905" s="193"/>
      <c r="AB1905" s="193"/>
      <c r="AC1905" s="193"/>
    </row>
    <row r="1906" spans="1:29" ht="24.75" customHeight="1">
      <c r="A1906" s="190" t="s">
        <v>128</v>
      </c>
      <c r="B1906" s="142"/>
      <c r="C1906" s="330" t="s">
        <v>129</v>
      </c>
      <c r="D1906" s="330"/>
      <c r="E1906" s="330"/>
      <c r="F1906" s="330"/>
      <c r="G1906" s="330"/>
      <c r="H1906" s="330"/>
      <c r="I1906" s="330"/>
      <c r="J1906" s="330"/>
      <c r="K1906" s="330"/>
      <c r="L1906" s="330"/>
      <c r="M1906" s="93"/>
      <c r="O1906" s="156"/>
      <c r="P1906" s="142"/>
      <c r="Q1906" s="331"/>
      <c r="R1906" s="331"/>
      <c r="S1906" s="331"/>
      <c r="T1906" s="331"/>
      <c r="U1906" s="331"/>
      <c r="V1906" s="331"/>
      <c r="W1906" s="331"/>
      <c r="X1906" s="331"/>
      <c r="Y1906" s="331"/>
      <c r="Z1906" s="331"/>
      <c r="AA1906" s="331"/>
      <c r="AB1906" s="331"/>
      <c r="AC1906" s="331"/>
    </row>
    <row r="1907" spans="1:29" ht="20.100000000000001" customHeight="1">
      <c r="A1907" s="187">
        <v>1</v>
      </c>
      <c r="B1907" s="185" t="s">
        <v>69</v>
      </c>
      <c r="C1907" s="326" t="s">
        <v>70</v>
      </c>
      <c r="D1907" s="326"/>
      <c r="E1907" s="176"/>
      <c r="F1907" s="144" t="s">
        <v>71</v>
      </c>
      <c r="G1907" s="203" t="s">
        <v>156</v>
      </c>
      <c r="H1907" s="202" t="s">
        <v>156</v>
      </c>
      <c r="I1907" s="201">
        <v>1</v>
      </c>
      <c r="J1907" s="202" t="s">
        <v>156</v>
      </c>
      <c r="K1907" s="202" t="s">
        <v>156</v>
      </c>
      <c r="L1907" s="201">
        <v>1</v>
      </c>
      <c r="M1907" s="93"/>
      <c r="O1907" s="195"/>
      <c r="P1907" s="196"/>
      <c r="Q1907" s="327"/>
      <c r="R1907" s="327"/>
      <c r="S1907" s="86"/>
      <c r="T1907" s="86"/>
      <c r="U1907" s="86"/>
      <c r="V1907" s="86"/>
      <c r="W1907" s="194"/>
      <c r="X1907" s="194"/>
      <c r="Y1907" s="194"/>
      <c r="Z1907" s="194"/>
      <c r="AA1907" s="194"/>
      <c r="AB1907" s="194"/>
      <c r="AC1907" s="194"/>
    </row>
    <row r="1908" spans="1:29" ht="20.100000000000001" customHeight="1">
      <c r="A1908" s="187">
        <v>2</v>
      </c>
      <c r="B1908" s="185" t="s">
        <v>69</v>
      </c>
      <c r="C1908" s="326" t="s">
        <v>72</v>
      </c>
      <c r="D1908" s="326"/>
      <c r="E1908" s="176"/>
      <c r="F1908" s="144" t="s">
        <v>71</v>
      </c>
      <c r="G1908" s="203" t="s">
        <v>156</v>
      </c>
      <c r="H1908" s="202" t="s">
        <v>156</v>
      </c>
      <c r="I1908" s="202" t="s">
        <v>156</v>
      </c>
      <c r="J1908" s="202" t="s">
        <v>156</v>
      </c>
      <c r="K1908" s="202" t="s">
        <v>156</v>
      </c>
      <c r="L1908" s="202" t="s">
        <v>156</v>
      </c>
      <c r="M1908" s="93"/>
      <c r="O1908" s="195"/>
      <c r="P1908" s="196"/>
      <c r="Q1908" s="327"/>
      <c r="R1908" s="327"/>
      <c r="S1908" s="194"/>
      <c r="T1908" s="194"/>
      <c r="U1908" s="194"/>
      <c r="V1908" s="86"/>
      <c r="W1908" s="86"/>
      <c r="X1908" s="86"/>
      <c r="Y1908" s="86"/>
      <c r="Z1908" s="194"/>
      <c r="AA1908" s="194"/>
      <c r="AB1908" s="194"/>
      <c r="AC1908" s="194"/>
    </row>
    <row r="1909" spans="1:29" ht="20.100000000000001" customHeight="1">
      <c r="A1909" s="187">
        <v>3</v>
      </c>
      <c r="B1909" s="185" t="s">
        <v>69</v>
      </c>
      <c r="C1909" s="326" t="s">
        <v>73</v>
      </c>
      <c r="D1909" s="326"/>
      <c r="E1909" s="176"/>
      <c r="F1909" s="144" t="s">
        <v>71</v>
      </c>
      <c r="G1909" s="203" t="s">
        <v>156</v>
      </c>
      <c r="H1909" s="202" t="s">
        <v>156</v>
      </c>
      <c r="I1909" s="202" t="s">
        <v>156</v>
      </c>
      <c r="J1909" s="202" t="s">
        <v>156</v>
      </c>
      <c r="K1909" s="202" t="s">
        <v>156</v>
      </c>
      <c r="L1909" s="202" t="s">
        <v>156</v>
      </c>
      <c r="M1909" s="93"/>
      <c r="O1909" s="195"/>
      <c r="P1909" s="196"/>
      <c r="Q1909" s="327"/>
      <c r="R1909" s="327"/>
      <c r="S1909" s="194"/>
      <c r="T1909" s="86"/>
      <c r="U1909" s="86"/>
      <c r="V1909" s="86"/>
      <c r="W1909" s="86"/>
      <c r="X1909" s="194"/>
      <c r="Y1909" s="194"/>
      <c r="Z1909" s="194"/>
      <c r="AA1909" s="194"/>
      <c r="AB1909" s="194"/>
      <c r="AC1909" s="194"/>
    </row>
    <row r="1910" spans="1:29" ht="20.100000000000001" customHeight="1">
      <c r="A1910" s="187">
        <v>4</v>
      </c>
      <c r="B1910" s="185" t="s">
        <v>69</v>
      </c>
      <c r="C1910" s="326" t="s">
        <v>98</v>
      </c>
      <c r="D1910" s="326"/>
      <c r="E1910" s="176"/>
      <c r="F1910" s="144" t="s">
        <v>71</v>
      </c>
      <c r="G1910" s="203" t="s">
        <v>156</v>
      </c>
      <c r="H1910" s="202" t="s">
        <v>156</v>
      </c>
      <c r="I1910" s="202" t="s">
        <v>156</v>
      </c>
      <c r="J1910" s="202" t="s">
        <v>156</v>
      </c>
      <c r="K1910" s="202" t="s">
        <v>156</v>
      </c>
      <c r="L1910" s="202" t="s">
        <v>156</v>
      </c>
      <c r="M1910" s="93"/>
      <c r="O1910" s="195"/>
      <c r="P1910" s="196"/>
      <c r="Q1910" s="327"/>
      <c r="R1910" s="327"/>
      <c r="S1910" s="194"/>
      <c r="T1910" s="194"/>
      <c r="U1910" s="194"/>
      <c r="V1910" s="194"/>
      <c r="W1910" s="194"/>
      <c r="X1910" s="194"/>
      <c r="Y1910" s="194"/>
      <c r="Z1910" s="86"/>
      <c r="AA1910" s="86"/>
      <c r="AB1910" s="86"/>
      <c r="AC1910" s="86"/>
    </row>
    <row r="1911" spans="1:29" ht="20.100000000000001" customHeight="1">
      <c r="A1911" s="187">
        <v>5</v>
      </c>
      <c r="B1911" s="185" t="s">
        <v>69</v>
      </c>
      <c r="C1911" s="326" t="s">
        <v>74</v>
      </c>
      <c r="D1911" s="326"/>
      <c r="E1911" s="176"/>
      <c r="F1911" s="144" t="s">
        <v>71</v>
      </c>
      <c r="G1911" s="203" t="s">
        <v>156</v>
      </c>
      <c r="H1911" s="202" t="s">
        <v>156</v>
      </c>
      <c r="I1911" s="202" t="s">
        <v>156</v>
      </c>
      <c r="J1911" s="202" t="s">
        <v>156</v>
      </c>
      <c r="K1911" s="202" t="s">
        <v>156</v>
      </c>
      <c r="L1911" s="202" t="s">
        <v>156</v>
      </c>
      <c r="M1911" s="93"/>
      <c r="O1911" s="195"/>
      <c r="P1911" s="196"/>
      <c r="Q1911" s="327"/>
      <c r="R1911" s="327"/>
      <c r="S1911" s="194"/>
      <c r="T1911" s="194"/>
      <c r="U1911" s="194"/>
      <c r="V1911" s="194"/>
      <c r="W1911" s="194"/>
      <c r="X1911" s="194"/>
      <c r="Y1911" s="194"/>
      <c r="Z1911" s="194"/>
      <c r="AA1911" s="194"/>
      <c r="AB1911" s="194"/>
      <c r="AC1911" s="194"/>
    </row>
    <row r="1912" spans="1:29" ht="20.100000000000001" customHeight="1">
      <c r="A1912" s="187">
        <v>6</v>
      </c>
      <c r="B1912" s="185" t="s">
        <v>69</v>
      </c>
      <c r="C1912" s="326" t="s">
        <v>75</v>
      </c>
      <c r="D1912" s="326"/>
      <c r="E1912" s="176"/>
      <c r="F1912" s="144" t="s">
        <v>71</v>
      </c>
      <c r="G1912" s="203" t="s">
        <v>156</v>
      </c>
      <c r="H1912" s="202" t="s">
        <v>156</v>
      </c>
      <c r="I1912" s="202" t="s">
        <v>156</v>
      </c>
      <c r="J1912" s="202" t="s">
        <v>156</v>
      </c>
      <c r="K1912" s="202" t="s">
        <v>156</v>
      </c>
      <c r="L1912" s="202" t="s">
        <v>156</v>
      </c>
      <c r="M1912" s="93"/>
      <c r="O1912" s="195"/>
      <c r="P1912" s="196"/>
      <c r="Q1912" s="327"/>
      <c r="R1912" s="327"/>
      <c r="S1912" s="194"/>
      <c r="T1912" s="194"/>
      <c r="U1912" s="194"/>
      <c r="V1912" s="194"/>
      <c r="W1912" s="194"/>
      <c r="X1912" s="194"/>
      <c r="Y1912" s="194"/>
      <c r="Z1912" s="194"/>
      <c r="AA1912" s="194"/>
      <c r="AB1912" s="194"/>
      <c r="AC1912" s="194"/>
    </row>
    <row r="1913" spans="1:29" ht="20.100000000000001" customHeight="1">
      <c r="A1913" s="187">
        <v>7</v>
      </c>
      <c r="B1913" s="185" t="s">
        <v>69</v>
      </c>
      <c r="C1913" s="326" t="s">
        <v>76</v>
      </c>
      <c r="D1913" s="326"/>
      <c r="E1913" s="176"/>
      <c r="F1913" s="144" t="s">
        <v>71</v>
      </c>
      <c r="G1913" s="203" t="s">
        <v>156</v>
      </c>
      <c r="H1913" s="202" t="s">
        <v>156</v>
      </c>
      <c r="I1913" s="202" t="s">
        <v>156</v>
      </c>
      <c r="J1913" s="202" t="s">
        <v>156</v>
      </c>
      <c r="K1913" s="202" t="s">
        <v>156</v>
      </c>
      <c r="L1913" s="202" t="s">
        <v>156</v>
      </c>
      <c r="M1913" s="93"/>
      <c r="O1913" s="195"/>
      <c r="P1913" s="196"/>
      <c r="Q1913" s="327"/>
      <c r="R1913" s="327"/>
      <c r="S1913" s="194"/>
      <c r="T1913" s="194"/>
      <c r="U1913" s="194"/>
      <c r="V1913" s="194"/>
      <c r="W1913" s="194"/>
      <c r="X1913" s="194"/>
      <c r="Y1913" s="194"/>
      <c r="Z1913" s="194"/>
      <c r="AA1913" s="194"/>
      <c r="AB1913" s="194"/>
      <c r="AC1913" s="194"/>
    </row>
    <row r="1914" spans="1:29" ht="20.100000000000001" customHeight="1">
      <c r="A1914" s="187">
        <v>8</v>
      </c>
      <c r="B1914" s="185" t="s">
        <v>69</v>
      </c>
      <c r="C1914" s="326" t="s">
        <v>99</v>
      </c>
      <c r="D1914" s="326"/>
      <c r="E1914" s="176"/>
      <c r="F1914" s="144" t="s">
        <v>71</v>
      </c>
      <c r="G1914" s="203" t="s">
        <v>156</v>
      </c>
      <c r="H1914" s="202" t="s">
        <v>156</v>
      </c>
      <c r="I1914" s="202" t="s">
        <v>156</v>
      </c>
      <c r="J1914" s="202" t="s">
        <v>156</v>
      </c>
      <c r="K1914" s="202" t="s">
        <v>156</v>
      </c>
      <c r="L1914" s="202" t="s">
        <v>156</v>
      </c>
      <c r="M1914" s="93"/>
      <c r="O1914" s="195"/>
      <c r="P1914" s="196"/>
      <c r="Q1914" s="327"/>
      <c r="R1914" s="327"/>
      <c r="S1914" s="194"/>
      <c r="T1914" s="194"/>
      <c r="U1914" s="194"/>
      <c r="V1914" s="194"/>
      <c r="W1914" s="194"/>
      <c r="X1914" s="194"/>
      <c r="Y1914" s="194"/>
      <c r="Z1914" s="194"/>
      <c r="AA1914" s="194"/>
      <c r="AB1914" s="194"/>
      <c r="AC1914" s="194"/>
    </row>
    <row r="1915" spans="1:29" ht="20.100000000000001" customHeight="1">
      <c r="A1915" s="187">
        <v>9</v>
      </c>
      <c r="B1915" s="185" t="s">
        <v>69</v>
      </c>
      <c r="C1915" s="326" t="s">
        <v>77</v>
      </c>
      <c r="D1915" s="326"/>
      <c r="E1915" s="176"/>
      <c r="F1915" s="144" t="s">
        <v>71</v>
      </c>
      <c r="G1915" s="203" t="s">
        <v>156</v>
      </c>
      <c r="H1915" s="202" t="s">
        <v>156</v>
      </c>
      <c r="I1915" s="202" t="s">
        <v>156</v>
      </c>
      <c r="J1915" s="202" t="s">
        <v>156</v>
      </c>
      <c r="K1915" s="202" t="s">
        <v>156</v>
      </c>
      <c r="L1915" s="202" t="s">
        <v>156</v>
      </c>
      <c r="M1915" s="93"/>
      <c r="O1915" s="195"/>
      <c r="P1915" s="196"/>
      <c r="Q1915" s="327"/>
      <c r="R1915" s="327"/>
      <c r="S1915" s="194"/>
      <c r="T1915" s="194"/>
      <c r="U1915" s="194"/>
      <c r="V1915" s="194"/>
      <c r="W1915" s="194"/>
      <c r="X1915" s="194"/>
      <c r="Y1915" s="194"/>
      <c r="Z1915" s="194"/>
      <c r="AA1915" s="194"/>
      <c r="AB1915" s="194"/>
      <c r="AC1915" s="194"/>
    </row>
    <row r="1916" spans="1:29" ht="20.100000000000001" customHeight="1">
      <c r="A1916" s="187">
        <v>10</v>
      </c>
      <c r="B1916" s="185" t="s">
        <v>69</v>
      </c>
      <c r="C1916" s="326" t="s">
        <v>78</v>
      </c>
      <c r="D1916" s="326"/>
      <c r="E1916" s="176"/>
      <c r="F1916" s="144" t="s">
        <v>71</v>
      </c>
      <c r="G1916" s="203" t="s">
        <v>156</v>
      </c>
      <c r="H1916" s="202" t="s">
        <v>156</v>
      </c>
      <c r="I1916" s="202" t="s">
        <v>156</v>
      </c>
      <c r="J1916" s="202" t="s">
        <v>156</v>
      </c>
      <c r="K1916" s="202" t="s">
        <v>156</v>
      </c>
      <c r="L1916" s="202" t="s">
        <v>156</v>
      </c>
      <c r="M1916" s="93"/>
      <c r="O1916" s="195"/>
      <c r="P1916" s="196"/>
      <c r="Q1916" s="327"/>
      <c r="R1916" s="327"/>
      <c r="S1916" s="194"/>
      <c r="T1916" s="194"/>
      <c r="U1916" s="194"/>
      <c r="V1916" s="194"/>
      <c r="W1916" s="194"/>
      <c r="X1916" s="194"/>
      <c r="Y1916" s="194"/>
      <c r="Z1916" s="194"/>
      <c r="AA1916" s="194"/>
      <c r="AB1916" s="194"/>
      <c r="AC1916" s="194"/>
    </row>
    <row r="1917" spans="1:29" ht="20.100000000000001" customHeight="1">
      <c r="A1917" s="187">
        <v>11</v>
      </c>
      <c r="B1917" s="185" t="s">
        <v>69</v>
      </c>
      <c r="C1917" s="326" t="s">
        <v>79</v>
      </c>
      <c r="D1917" s="326"/>
      <c r="E1917" s="176"/>
      <c r="F1917" s="144" t="s">
        <v>71</v>
      </c>
      <c r="G1917" s="203" t="s">
        <v>156</v>
      </c>
      <c r="H1917" s="202" t="s">
        <v>156</v>
      </c>
      <c r="I1917" s="202" t="s">
        <v>156</v>
      </c>
      <c r="J1917" s="202" t="s">
        <v>156</v>
      </c>
      <c r="K1917" s="202" t="s">
        <v>156</v>
      </c>
      <c r="L1917" s="202" t="s">
        <v>156</v>
      </c>
      <c r="M1917" s="93"/>
      <c r="O1917" s="195"/>
      <c r="P1917" s="196"/>
      <c r="Q1917" s="327"/>
      <c r="R1917" s="327"/>
      <c r="S1917" s="194"/>
      <c r="T1917" s="194"/>
      <c r="U1917" s="194"/>
      <c r="V1917" s="194"/>
      <c r="W1917" s="194"/>
      <c r="X1917" s="194"/>
      <c r="Y1917" s="194"/>
      <c r="Z1917" s="194"/>
      <c r="AA1917" s="194"/>
      <c r="AB1917" s="194"/>
      <c r="AC1917" s="194"/>
    </row>
    <row r="1918" spans="1:29" ht="20.100000000000001" customHeight="1">
      <c r="A1918" s="187">
        <v>12</v>
      </c>
      <c r="B1918" s="185" t="s">
        <v>69</v>
      </c>
      <c r="C1918" s="326" t="s">
        <v>100</v>
      </c>
      <c r="D1918" s="326"/>
      <c r="E1918" s="176"/>
      <c r="F1918" s="144" t="s">
        <v>71</v>
      </c>
      <c r="G1918" s="203" t="s">
        <v>156</v>
      </c>
      <c r="H1918" s="202" t="s">
        <v>156</v>
      </c>
      <c r="I1918" s="202" t="s">
        <v>156</v>
      </c>
      <c r="J1918" s="202" t="s">
        <v>156</v>
      </c>
      <c r="K1918" s="202" t="s">
        <v>156</v>
      </c>
      <c r="L1918" s="202" t="s">
        <v>156</v>
      </c>
      <c r="M1918" s="93"/>
      <c r="O1918" s="195"/>
      <c r="P1918" s="196"/>
      <c r="Q1918" s="327"/>
      <c r="R1918" s="327"/>
      <c r="S1918" s="194"/>
      <c r="T1918" s="194"/>
      <c r="U1918" s="194"/>
      <c r="V1918" s="194"/>
      <c r="W1918" s="194"/>
      <c r="X1918" s="194"/>
      <c r="Y1918" s="194"/>
      <c r="Z1918" s="194"/>
      <c r="AA1918" s="194"/>
      <c r="AB1918" s="194"/>
      <c r="AC1918" s="194"/>
    </row>
    <row r="1919" spans="1:29" ht="20.100000000000001" customHeight="1">
      <c r="A1919" s="187">
        <v>13</v>
      </c>
      <c r="B1919" s="185" t="s">
        <v>69</v>
      </c>
      <c r="C1919" s="326" t="s">
        <v>80</v>
      </c>
      <c r="D1919" s="326"/>
      <c r="E1919" s="176"/>
      <c r="F1919" s="144" t="s">
        <v>71</v>
      </c>
      <c r="G1919" s="203" t="s">
        <v>156</v>
      </c>
      <c r="H1919" s="202" t="s">
        <v>156</v>
      </c>
      <c r="I1919" s="202" t="s">
        <v>156</v>
      </c>
      <c r="J1919" s="202" t="s">
        <v>156</v>
      </c>
      <c r="K1919" s="202" t="s">
        <v>156</v>
      </c>
      <c r="L1919" s="202" t="s">
        <v>156</v>
      </c>
      <c r="M1919" s="93"/>
      <c r="O1919" s="195"/>
      <c r="P1919" s="196"/>
      <c r="Q1919" s="327"/>
      <c r="R1919" s="327"/>
      <c r="S1919" s="194"/>
      <c r="T1919" s="194"/>
      <c r="U1919" s="194"/>
      <c r="V1919" s="194"/>
      <c r="W1919" s="194"/>
      <c r="X1919" s="194"/>
      <c r="Y1919" s="194"/>
      <c r="Z1919" s="194"/>
      <c r="AA1919" s="194"/>
      <c r="AB1919" s="194"/>
      <c r="AC1919" s="194"/>
    </row>
    <row r="1920" spans="1:29" ht="20.100000000000001" customHeight="1">
      <c r="A1920" s="187">
        <v>14</v>
      </c>
      <c r="B1920" s="185" t="s">
        <v>69</v>
      </c>
      <c r="C1920" s="326" t="s">
        <v>91</v>
      </c>
      <c r="D1920" s="326"/>
      <c r="E1920" s="176"/>
      <c r="F1920" s="144" t="s">
        <v>71</v>
      </c>
      <c r="G1920" s="203" t="s">
        <v>156</v>
      </c>
      <c r="H1920" s="202" t="s">
        <v>156</v>
      </c>
      <c r="I1920" s="202" t="s">
        <v>156</v>
      </c>
      <c r="J1920" s="202" t="s">
        <v>156</v>
      </c>
      <c r="K1920" s="202" t="s">
        <v>156</v>
      </c>
      <c r="L1920" s="202" t="s">
        <v>156</v>
      </c>
      <c r="M1920" s="93"/>
      <c r="O1920" s="195"/>
      <c r="P1920" s="196"/>
      <c r="Q1920" s="327"/>
      <c r="R1920" s="327"/>
      <c r="S1920" s="194"/>
      <c r="T1920" s="194"/>
      <c r="U1920" s="194"/>
      <c r="V1920" s="194"/>
      <c r="W1920" s="194"/>
      <c r="X1920" s="194"/>
      <c r="Y1920" s="194"/>
      <c r="Z1920" s="194"/>
      <c r="AA1920" s="194"/>
      <c r="AB1920" s="194"/>
      <c r="AC1920" s="194"/>
    </row>
    <row r="1921" spans="1:29" ht="20.100000000000001" customHeight="1">
      <c r="A1921" s="187">
        <v>15</v>
      </c>
      <c r="B1921" s="185" t="s">
        <v>69</v>
      </c>
      <c r="C1921" s="326" t="s">
        <v>81</v>
      </c>
      <c r="D1921" s="326"/>
      <c r="E1921" s="176"/>
      <c r="F1921" s="144" t="s">
        <v>71</v>
      </c>
      <c r="G1921" s="203" t="s">
        <v>156</v>
      </c>
      <c r="H1921" s="202" t="s">
        <v>156</v>
      </c>
      <c r="I1921" s="202" t="s">
        <v>156</v>
      </c>
      <c r="J1921" s="202" t="s">
        <v>156</v>
      </c>
      <c r="K1921" s="202" t="s">
        <v>156</v>
      </c>
      <c r="L1921" s="202" t="s">
        <v>156</v>
      </c>
      <c r="M1921" s="93"/>
      <c r="O1921" s="195"/>
      <c r="P1921" s="196"/>
      <c r="Q1921" s="327"/>
      <c r="R1921" s="327"/>
      <c r="S1921" s="194"/>
      <c r="T1921" s="194"/>
      <c r="U1921" s="194"/>
      <c r="V1921" s="194"/>
      <c r="W1921" s="194"/>
      <c r="X1921" s="194"/>
      <c r="Y1921" s="194"/>
      <c r="Z1921" s="194"/>
      <c r="AA1921" s="194"/>
      <c r="AB1921" s="194"/>
      <c r="AC1921" s="194"/>
    </row>
    <row r="1922" spans="1:29" ht="20.100000000000001" customHeight="1">
      <c r="A1922" s="187">
        <v>16</v>
      </c>
      <c r="B1922" s="185" t="s">
        <v>69</v>
      </c>
      <c r="C1922" s="326" t="s">
        <v>101</v>
      </c>
      <c r="D1922" s="326"/>
      <c r="E1922" s="151"/>
      <c r="F1922" s="144" t="s">
        <v>71</v>
      </c>
      <c r="G1922" s="203" t="s">
        <v>156</v>
      </c>
      <c r="H1922" s="202" t="s">
        <v>156</v>
      </c>
      <c r="I1922" s="202" t="s">
        <v>156</v>
      </c>
      <c r="J1922" s="202" t="s">
        <v>156</v>
      </c>
      <c r="K1922" s="202" t="s">
        <v>156</v>
      </c>
      <c r="L1922" s="202" t="s">
        <v>156</v>
      </c>
      <c r="M1922" s="93"/>
      <c r="N1922" s="219"/>
      <c r="O1922" s="195"/>
      <c r="P1922" s="196"/>
      <c r="Q1922" s="327"/>
      <c r="R1922" s="327"/>
      <c r="S1922" s="197"/>
      <c r="T1922" s="197"/>
      <c r="U1922" s="197"/>
      <c r="V1922" s="197"/>
      <c r="W1922" s="197"/>
      <c r="X1922" s="197"/>
      <c r="Y1922" s="197"/>
      <c r="Z1922" s="197"/>
      <c r="AA1922" s="197"/>
      <c r="AB1922" s="197"/>
      <c r="AC1922" s="197"/>
    </row>
    <row r="1923" spans="1:29" ht="20.100000000000001" customHeight="1">
      <c r="A1923" s="187">
        <v>17</v>
      </c>
      <c r="B1923" s="186" t="s">
        <v>69</v>
      </c>
      <c r="C1923" s="326" t="s">
        <v>141</v>
      </c>
      <c r="D1923" s="326"/>
      <c r="E1923" s="151"/>
      <c r="F1923" s="144" t="s">
        <v>71</v>
      </c>
      <c r="G1923" s="203" t="s">
        <v>156</v>
      </c>
      <c r="H1923" s="202" t="s">
        <v>156</v>
      </c>
      <c r="I1923" s="202" t="s">
        <v>156</v>
      </c>
      <c r="J1923" s="202" t="s">
        <v>156</v>
      </c>
      <c r="K1923" s="202" t="s">
        <v>156</v>
      </c>
      <c r="L1923" s="202" t="s">
        <v>156</v>
      </c>
      <c r="M1923" s="93"/>
      <c r="N1923" s="219"/>
      <c r="O1923" s="195"/>
      <c r="P1923" s="104"/>
      <c r="Q1923" s="327"/>
      <c r="R1923" s="327"/>
      <c r="S1923" s="197"/>
      <c r="T1923" s="197"/>
      <c r="U1923" s="197"/>
      <c r="V1923" s="197"/>
      <c r="W1923" s="197"/>
      <c r="X1923" s="197"/>
      <c r="Y1923" s="197"/>
      <c r="Z1923" s="197"/>
      <c r="AA1923" s="197"/>
      <c r="AB1923" s="197"/>
      <c r="AC1923" s="197"/>
    </row>
    <row r="1924" spans="1:29" ht="20.100000000000001" customHeight="1">
      <c r="A1924" s="187">
        <v>18</v>
      </c>
      <c r="B1924" s="186" t="s">
        <v>69</v>
      </c>
      <c r="C1924" s="326" t="s">
        <v>142</v>
      </c>
      <c r="D1924" s="326"/>
      <c r="E1924" s="151"/>
      <c r="F1924" s="144" t="s">
        <v>71</v>
      </c>
      <c r="G1924" s="203" t="s">
        <v>156</v>
      </c>
      <c r="H1924" s="202" t="s">
        <v>156</v>
      </c>
      <c r="I1924" s="202" t="s">
        <v>156</v>
      </c>
      <c r="J1924" s="202" t="s">
        <v>156</v>
      </c>
      <c r="K1924" s="202" t="s">
        <v>156</v>
      </c>
      <c r="L1924" s="202" t="s">
        <v>156</v>
      </c>
      <c r="M1924" s="93"/>
      <c r="N1924" s="219"/>
      <c r="O1924" s="195"/>
      <c r="P1924" s="104"/>
      <c r="Q1924" s="327"/>
      <c r="R1924" s="327"/>
      <c r="S1924" s="197"/>
      <c r="T1924" s="197"/>
      <c r="U1924" s="197"/>
      <c r="V1924" s="197"/>
      <c r="W1924" s="197"/>
      <c r="X1924" s="197"/>
      <c r="Y1924" s="197"/>
      <c r="Z1924" s="197"/>
      <c r="AA1924" s="197"/>
      <c r="AB1924" s="197"/>
      <c r="AC1924" s="197"/>
    </row>
    <row r="1925" spans="1:29" ht="20.100000000000001" customHeight="1">
      <c r="A1925" s="187">
        <v>19</v>
      </c>
      <c r="B1925" s="186" t="s">
        <v>69</v>
      </c>
      <c r="C1925" s="326" t="s">
        <v>143</v>
      </c>
      <c r="D1925" s="326"/>
      <c r="E1925" s="151"/>
      <c r="F1925" s="144" t="s">
        <v>71</v>
      </c>
      <c r="G1925" s="203" t="s">
        <v>156</v>
      </c>
      <c r="H1925" s="202" t="s">
        <v>156</v>
      </c>
      <c r="I1925" s="202" t="s">
        <v>156</v>
      </c>
      <c r="J1925" s="202" t="s">
        <v>156</v>
      </c>
      <c r="K1925" s="202" t="s">
        <v>156</v>
      </c>
      <c r="L1925" s="202" t="s">
        <v>156</v>
      </c>
      <c r="M1925" s="93"/>
      <c r="N1925" s="219"/>
      <c r="O1925" s="195"/>
      <c r="P1925" s="104"/>
      <c r="Q1925" s="327"/>
      <c r="R1925" s="327"/>
      <c r="S1925" s="197"/>
      <c r="T1925" s="197"/>
      <c r="U1925" s="197"/>
      <c r="V1925" s="197"/>
      <c r="W1925" s="197"/>
      <c r="X1925" s="197"/>
      <c r="Y1925" s="197"/>
      <c r="Z1925" s="197"/>
      <c r="AA1925" s="197"/>
      <c r="AB1925" s="197"/>
      <c r="AC1925" s="197"/>
    </row>
    <row r="1926" spans="1:29" ht="20.100000000000001" customHeight="1">
      <c r="A1926" s="187">
        <v>20</v>
      </c>
      <c r="B1926" s="186" t="s">
        <v>69</v>
      </c>
      <c r="C1926" s="326" t="s">
        <v>102</v>
      </c>
      <c r="D1926" s="326"/>
      <c r="E1926" s="150"/>
      <c r="F1926" s="154" t="s">
        <v>71</v>
      </c>
      <c r="G1926" s="203" t="s">
        <v>156</v>
      </c>
      <c r="H1926" s="202" t="s">
        <v>156</v>
      </c>
      <c r="I1926" s="202" t="s">
        <v>156</v>
      </c>
      <c r="J1926" s="202" t="s">
        <v>156</v>
      </c>
      <c r="K1926" s="202" t="s">
        <v>156</v>
      </c>
      <c r="L1926" s="202" t="s">
        <v>156</v>
      </c>
      <c r="M1926" s="93"/>
      <c r="N1926" s="219"/>
      <c r="O1926" s="195"/>
      <c r="P1926" s="104"/>
      <c r="Q1926" s="327"/>
      <c r="R1926" s="327"/>
      <c r="S1926" s="197"/>
      <c r="T1926" s="197"/>
      <c r="U1926" s="197"/>
      <c r="V1926" s="197"/>
      <c r="W1926" s="197"/>
      <c r="X1926" s="197"/>
      <c r="Y1926" s="197"/>
      <c r="Z1926" s="197"/>
      <c r="AA1926" s="197"/>
      <c r="AB1926" s="197"/>
      <c r="AC1926" s="197"/>
    </row>
    <row r="1927" spans="1:29" ht="24.75" customHeight="1">
      <c r="A1927" s="190" t="s">
        <v>128</v>
      </c>
      <c r="B1927" s="142"/>
      <c r="C1927" s="330" t="s">
        <v>130</v>
      </c>
      <c r="D1927" s="330"/>
      <c r="E1927" s="330"/>
      <c r="F1927" s="330"/>
      <c r="G1927" s="330"/>
      <c r="H1927" s="330"/>
      <c r="I1927" s="330"/>
      <c r="J1927" s="330"/>
      <c r="K1927" s="330"/>
      <c r="L1927" s="330"/>
      <c r="M1927" s="93"/>
      <c r="O1927" s="156"/>
      <c r="P1927" s="142"/>
      <c r="Q1927" s="331"/>
      <c r="R1927" s="331"/>
      <c r="S1927" s="331"/>
      <c r="T1927" s="331"/>
      <c r="U1927" s="331"/>
      <c r="V1927" s="331"/>
      <c r="W1927" s="331"/>
      <c r="X1927" s="331"/>
      <c r="Y1927" s="331"/>
      <c r="Z1927" s="331"/>
      <c r="AA1927" s="331"/>
      <c r="AB1927" s="331"/>
      <c r="AC1927" s="331"/>
    </row>
    <row r="1928" spans="1:29" ht="33" customHeight="1">
      <c r="A1928" s="189">
        <v>21</v>
      </c>
      <c r="B1928" s="188" t="s">
        <v>69</v>
      </c>
      <c r="C1928" s="307" t="s">
        <v>82</v>
      </c>
      <c r="D1928" s="308"/>
      <c r="E1928" s="182"/>
      <c r="F1928" s="191" t="s">
        <v>71</v>
      </c>
      <c r="G1928" s="201">
        <v>58</v>
      </c>
      <c r="H1928" s="201">
        <v>40</v>
      </c>
      <c r="I1928" s="201">
        <v>21</v>
      </c>
      <c r="J1928" s="201">
        <v>58</v>
      </c>
      <c r="K1928" s="201">
        <v>40</v>
      </c>
      <c r="L1928" s="201">
        <v>21</v>
      </c>
      <c r="M1928" s="89"/>
      <c r="N1928" s="219"/>
      <c r="O1928" s="199"/>
      <c r="P1928" s="200"/>
      <c r="Q1928" s="309"/>
      <c r="R1928" s="309"/>
      <c r="S1928" s="86"/>
      <c r="T1928" s="86"/>
      <c r="U1928" s="86"/>
      <c r="V1928" s="86"/>
      <c r="W1928" s="86"/>
      <c r="X1928" s="86"/>
      <c r="Y1928" s="86"/>
      <c r="Z1928" s="86"/>
      <c r="AA1928" s="86"/>
      <c r="AB1928" s="86"/>
      <c r="AC1928" s="86"/>
    </row>
    <row r="1929" spans="1:29" ht="33" customHeight="1">
      <c r="A1929" s="189">
        <v>22</v>
      </c>
      <c r="B1929" s="188" t="s">
        <v>69</v>
      </c>
      <c r="C1929" s="307" t="s">
        <v>103</v>
      </c>
      <c r="D1929" s="308"/>
      <c r="E1929" s="179"/>
      <c r="F1929" s="191" t="s">
        <v>71</v>
      </c>
      <c r="G1929" s="201">
        <v>9</v>
      </c>
      <c r="H1929" s="201">
        <v>9</v>
      </c>
      <c r="I1929" s="201">
        <v>7</v>
      </c>
      <c r="J1929" s="201">
        <v>9</v>
      </c>
      <c r="K1929" s="201">
        <v>9</v>
      </c>
      <c r="L1929" s="201">
        <v>7</v>
      </c>
      <c r="M1929" s="89"/>
      <c r="N1929" s="219"/>
      <c r="O1929" s="199"/>
      <c r="P1929" s="200"/>
      <c r="Q1929" s="309"/>
      <c r="R1929" s="309"/>
      <c r="S1929" s="86"/>
      <c r="T1929" s="86"/>
      <c r="U1929" s="86"/>
      <c r="V1929" s="86"/>
      <c r="W1929" s="86"/>
      <c r="X1929" s="86"/>
      <c r="Y1929" s="86"/>
      <c r="Z1929" s="86"/>
      <c r="AA1929" s="86"/>
      <c r="AB1929" s="86"/>
      <c r="AC1929" s="86"/>
    </row>
    <row r="1930" spans="1:29" ht="33" customHeight="1">
      <c r="A1930" s="189">
        <v>23</v>
      </c>
      <c r="B1930" s="188" t="s">
        <v>69</v>
      </c>
      <c r="C1930" s="307" t="s">
        <v>104</v>
      </c>
      <c r="D1930" s="308"/>
      <c r="E1930" s="179"/>
      <c r="F1930" s="191" t="s">
        <v>71</v>
      </c>
      <c r="G1930" s="201">
        <v>5</v>
      </c>
      <c r="H1930" s="201">
        <v>1</v>
      </c>
      <c r="I1930" s="201">
        <v>1</v>
      </c>
      <c r="J1930" s="201">
        <v>5</v>
      </c>
      <c r="K1930" s="201">
        <v>1</v>
      </c>
      <c r="L1930" s="201">
        <v>1</v>
      </c>
      <c r="M1930" s="89"/>
      <c r="N1930" s="219"/>
      <c r="O1930" s="199"/>
      <c r="P1930" s="200"/>
      <c r="Q1930" s="309"/>
      <c r="R1930" s="309"/>
      <c r="S1930" s="86"/>
      <c r="T1930" s="86"/>
      <c r="U1930" s="86"/>
      <c r="V1930" s="86"/>
      <c r="W1930" s="86"/>
      <c r="X1930" s="86"/>
      <c r="Y1930" s="86"/>
      <c r="Z1930" s="86"/>
      <c r="AA1930" s="86"/>
      <c r="AB1930" s="86"/>
      <c r="AC1930" s="86"/>
    </row>
    <row r="1931" spans="1:29" ht="27.75" customHeight="1">
      <c r="A1931" s="317" t="s">
        <v>135</v>
      </c>
      <c r="B1931" s="318"/>
      <c r="C1931" s="317" t="s">
        <v>68</v>
      </c>
      <c r="D1931" s="318"/>
      <c r="E1931" s="183"/>
      <c r="F1931" s="321" t="s">
        <v>136</v>
      </c>
      <c r="G1931" s="322" t="s">
        <v>155</v>
      </c>
      <c r="H1931" s="323"/>
      <c r="I1931" s="323"/>
      <c r="J1931" s="322" t="s">
        <v>154</v>
      </c>
      <c r="K1931" s="323"/>
      <c r="L1931" s="324"/>
      <c r="M1931" s="92"/>
      <c r="O1931" s="325"/>
      <c r="P1931" s="325"/>
      <c r="Q1931" s="325"/>
      <c r="R1931" s="325"/>
      <c r="S1931" s="316"/>
      <c r="T1931" s="316"/>
      <c r="U1931" s="316"/>
      <c r="V1931" s="316"/>
      <c r="W1931" s="316"/>
      <c r="X1931" s="316"/>
      <c r="Y1931" s="316"/>
      <c r="Z1931" s="316"/>
      <c r="AA1931" s="316"/>
      <c r="AB1931" s="316"/>
      <c r="AC1931" s="316"/>
    </row>
    <row r="1932" spans="1:29" ht="125.25" customHeight="1">
      <c r="A1932" s="319"/>
      <c r="B1932" s="320"/>
      <c r="C1932" s="319"/>
      <c r="D1932" s="320"/>
      <c r="E1932" s="184"/>
      <c r="F1932" s="321"/>
      <c r="G1932" s="153" t="s">
        <v>151</v>
      </c>
      <c r="H1932" s="153" t="s">
        <v>152</v>
      </c>
      <c r="I1932" s="153" t="s">
        <v>153</v>
      </c>
      <c r="J1932" s="153" t="s">
        <v>151</v>
      </c>
      <c r="K1932" s="153" t="s">
        <v>152</v>
      </c>
      <c r="L1932" s="153" t="s">
        <v>153</v>
      </c>
      <c r="O1932" s="325"/>
      <c r="P1932" s="325"/>
      <c r="Q1932" s="325"/>
      <c r="R1932" s="325"/>
      <c r="S1932" s="193"/>
      <c r="T1932" s="193"/>
      <c r="U1932" s="193"/>
      <c r="V1932" s="193"/>
      <c r="W1932" s="193"/>
      <c r="X1932" s="193"/>
      <c r="Y1932" s="193"/>
      <c r="Z1932" s="193"/>
      <c r="AA1932" s="193"/>
      <c r="AB1932" s="193"/>
      <c r="AC1932" s="193"/>
    </row>
    <row r="1933" spans="1:29" ht="30" customHeight="1">
      <c r="A1933" s="189">
        <v>24</v>
      </c>
      <c r="B1933" s="188" t="s">
        <v>69</v>
      </c>
      <c r="C1933" s="307" t="s">
        <v>131</v>
      </c>
      <c r="D1933" s="308"/>
      <c r="E1933" s="179"/>
      <c r="F1933" s="191" t="s">
        <v>71</v>
      </c>
      <c r="G1933" s="202" t="s">
        <v>156</v>
      </c>
      <c r="H1933" s="202" t="s">
        <v>156</v>
      </c>
      <c r="I1933" s="202" t="s">
        <v>156</v>
      </c>
      <c r="J1933" s="202" t="s">
        <v>156</v>
      </c>
      <c r="K1933" s="202" t="s">
        <v>156</v>
      </c>
      <c r="L1933" s="202" t="s">
        <v>156</v>
      </c>
      <c r="M1933" s="89"/>
      <c r="N1933" s="219"/>
      <c r="O1933" s="199"/>
      <c r="P1933" s="200"/>
      <c r="Q1933" s="309"/>
      <c r="R1933" s="309"/>
      <c r="S1933" s="86"/>
      <c r="T1933" s="86"/>
      <c r="U1933" s="86"/>
      <c r="V1933" s="86"/>
      <c r="W1933" s="86"/>
      <c r="X1933" s="86"/>
      <c r="Y1933" s="86"/>
      <c r="Z1933" s="86"/>
      <c r="AA1933" s="86"/>
      <c r="AB1933" s="86"/>
      <c r="AC1933" s="86"/>
    </row>
    <row r="1934" spans="1:29" ht="30" customHeight="1">
      <c r="A1934" s="189">
        <v>25</v>
      </c>
      <c r="B1934" s="188" t="s">
        <v>69</v>
      </c>
      <c r="C1934" s="307" t="s">
        <v>83</v>
      </c>
      <c r="D1934" s="308"/>
      <c r="E1934" s="179"/>
      <c r="F1934" s="191" t="s">
        <v>71</v>
      </c>
      <c r="G1934" s="201">
        <v>25</v>
      </c>
      <c r="H1934" s="201">
        <v>40</v>
      </c>
      <c r="I1934" s="201">
        <v>22</v>
      </c>
      <c r="J1934" s="201">
        <v>25</v>
      </c>
      <c r="K1934" s="201">
        <v>40</v>
      </c>
      <c r="L1934" s="201">
        <v>22</v>
      </c>
      <c r="M1934" s="89"/>
      <c r="N1934" s="219"/>
      <c r="O1934" s="199"/>
      <c r="P1934" s="200"/>
      <c r="Q1934" s="309"/>
      <c r="R1934" s="309"/>
      <c r="S1934" s="86"/>
      <c r="T1934" s="86"/>
      <c r="U1934" s="86"/>
      <c r="V1934" s="86"/>
      <c r="W1934" s="86"/>
      <c r="X1934" s="86"/>
      <c r="Y1934" s="86"/>
      <c r="Z1934" s="86"/>
      <c r="AA1934" s="86"/>
      <c r="AB1934" s="86"/>
      <c r="AC1934" s="86"/>
    </row>
    <row r="1935" spans="1:29" ht="30" customHeight="1">
      <c r="A1935" s="189">
        <v>26</v>
      </c>
      <c r="B1935" s="188" t="s">
        <v>69</v>
      </c>
      <c r="C1935" s="307" t="s">
        <v>84</v>
      </c>
      <c r="D1935" s="308"/>
      <c r="E1935" s="179"/>
      <c r="F1935" s="191" t="s">
        <v>71</v>
      </c>
      <c r="G1935" s="201">
        <v>5</v>
      </c>
      <c r="H1935" s="202" t="s">
        <v>156</v>
      </c>
      <c r="I1935" s="202" t="s">
        <v>156</v>
      </c>
      <c r="J1935" s="201">
        <v>5</v>
      </c>
      <c r="K1935" s="202" t="s">
        <v>156</v>
      </c>
      <c r="L1935" s="202" t="s">
        <v>156</v>
      </c>
      <c r="M1935" s="89"/>
      <c r="N1935" s="219"/>
      <c r="O1935" s="199"/>
      <c r="P1935" s="200"/>
      <c r="Q1935" s="309"/>
      <c r="R1935" s="309"/>
      <c r="S1935" s="86"/>
      <c r="T1935" s="86"/>
      <c r="U1935" s="86"/>
      <c r="V1935" s="86"/>
      <c r="W1935" s="86"/>
      <c r="X1935" s="86"/>
      <c r="Y1935" s="86"/>
      <c r="Z1935" s="86"/>
      <c r="AA1935" s="86"/>
      <c r="AB1935" s="86"/>
      <c r="AC1935" s="86"/>
    </row>
    <row r="1936" spans="1:29" ht="30" customHeight="1">
      <c r="A1936" s="189">
        <v>27</v>
      </c>
      <c r="B1936" s="188" t="s">
        <v>69</v>
      </c>
      <c r="C1936" s="307" t="s">
        <v>85</v>
      </c>
      <c r="D1936" s="308"/>
      <c r="E1936" s="179"/>
      <c r="F1936" s="191" t="s">
        <v>71</v>
      </c>
      <c r="G1936" s="201">
        <v>3</v>
      </c>
      <c r="H1936" s="201">
        <v>1</v>
      </c>
      <c r="I1936" s="201">
        <v>8</v>
      </c>
      <c r="J1936" s="201">
        <v>3</v>
      </c>
      <c r="K1936" s="201">
        <v>1</v>
      </c>
      <c r="L1936" s="201">
        <v>8</v>
      </c>
      <c r="M1936" s="89"/>
      <c r="N1936" s="219"/>
      <c r="O1936" s="199"/>
      <c r="P1936" s="200"/>
      <c r="Q1936" s="309"/>
      <c r="R1936" s="309"/>
      <c r="S1936" s="86"/>
      <c r="T1936" s="86"/>
      <c r="U1936" s="86"/>
      <c r="V1936" s="86"/>
      <c r="W1936" s="86"/>
      <c r="X1936" s="86"/>
      <c r="Y1936" s="86"/>
      <c r="Z1936" s="86"/>
      <c r="AA1936" s="86"/>
      <c r="AB1936" s="86"/>
      <c r="AC1936" s="86"/>
    </row>
    <row r="1937" spans="1:29" ht="30" customHeight="1">
      <c r="A1937" s="189">
        <v>28</v>
      </c>
      <c r="B1937" s="188" t="s">
        <v>69</v>
      </c>
      <c r="C1937" s="307" t="s">
        <v>132</v>
      </c>
      <c r="D1937" s="308"/>
      <c r="E1937" s="179"/>
      <c r="F1937" s="191" t="s">
        <v>71</v>
      </c>
      <c r="G1937" s="202" t="s">
        <v>156</v>
      </c>
      <c r="H1937" s="202" t="s">
        <v>156</v>
      </c>
      <c r="I1937" s="202" t="s">
        <v>156</v>
      </c>
      <c r="J1937" s="202" t="s">
        <v>156</v>
      </c>
      <c r="K1937" s="202" t="s">
        <v>156</v>
      </c>
      <c r="L1937" s="202" t="s">
        <v>156</v>
      </c>
      <c r="M1937" s="89"/>
      <c r="N1937" s="219"/>
      <c r="O1937" s="199"/>
      <c r="P1937" s="200"/>
      <c r="Q1937" s="309"/>
      <c r="R1937" s="309"/>
      <c r="S1937" s="86"/>
      <c r="T1937" s="86"/>
      <c r="U1937" s="86"/>
      <c r="V1937" s="86"/>
      <c r="W1937" s="86"/>
      <c r="X1937" s="86"/>
      <c r="Y1937" s="86"/>
      <c r="Z1937" s="86"/>
      <c r="AA1937" s="86"/>
      <c r="AB1937" s="86"/>
      <c r="AC1937" s="86"/>
    </row>
    <row r="1938" spans="1:29" ht="30" customHeight="1">
      <c r="A1938" s="189">
        <v>29</v>
      </c>
      <c r="B1938" s="188" t="s">
        <v>69</v>
      </c>
      <c r="C1938" s="307" t="s">
        <v>86</v>
      </c>
      <c r="D1938" s="308"/>
      <c r="E1938" s="179"/>
      <c r="F1938" s="191" t="s">
        <v>71</v>
      </c>
      <c r="G1938" s="201">
        <v>10</v>
      </c>
      <c r="H1938" s="201">
        <v>12</v>
      </c>
      <c r="I1938" s="201">
        <v>9</v>
      </c>
      <c r="J1938" s="201">
        <v>10</v>
      </c>
      <c r="K1938" s="201">
        <v>12</v>
      </c>
      <c r="L1938" s="201">
        <v>9</v>
      </c>
      <c r="M1938" s="89"/>
      <c r="N1938" s="219"/>
      <c r="O1938" s="199"/>
      <c r="P1938" s="200"/>
      <c r="Q1938" s="309"/>
      <c r="R1938" s="309"/>
      <c r="S1938" s="86"/>
      <c r="T1938" s="86"/>
      <c r="U1938" s="86"/>
      <c r="V1938" s="86"/>
      <c r="W1938" s="86"/>
      <c r="X1938" s="86"/>
      <c r="Y1938" s="86"/>
      <c r="Z1938" s="86"/>
      <c r="AA1938" s="86"/>
      <c r="AB1938" s="86"/>
      <c r="AC1938" s="86"/>
    </row>
    <row r="1939" spans="1:29" ht="30" customHeight="1">
      <c r="A1939" s="189">
        <v>30</v>
      </c>
      <c r="B1939" s="188" t="s">
        <v>69</v>
      </c>
      <c r="C1939" s="307" t="s">
        <v>87</v>
      </c>
      <c r="D1939" s="308"/>
      <c r="E1939" s="179"/>
      <c r="F1939" s="191" t="s">
        <v>71</v>
      </c>
      <c r="G1939" s="202" t="s">
        <v>156</v>
      </c>
      <c r="H1939" s="202" t="s">
        <v>156</v>
      </c>
      <c r="I1939" s="202" t="s">
        <v>156</v>
      </c>
      <c r="J1939" s="202" t="s">
        <v>156</v>
      </c>
      <c r="K1939" s="202" t="s">
        <v>156</v>
      </c>
      <c r="L1939" s="202" t="s">
        <v>156</v>
      </c>
      <c r="M1939" s="89"/>
      <c r="N1939" s="219"/>
      <c r="O1939" s="199"/>
      <c r="P1939" s="200"/>
      <c r="Q1939" s="309"/>
      <c r="R1939" s="309"/>
      <c r="S1939" s="86"/>
      <c r="T1939" s="86"/>
      <c r="U1939" s="86"/>
      <c r="V1939" s="86"/>
      <c r="W1939" s="86"/>
      <c r="X1939" s="86"/>
      <c r="Y1939" s="86"/>
      <c r="Z1939" s="86"/>
      <c r="AA1939" s="86"/>
      <c r="AB1939" s="86"/>
      <c r="AC1939" s="86"/>
    </row>
    <row r="1940" spans="1:29" ht="30" customHeight="1">
      <c r="A1940" s="189">
        <v>31</v>
      </c>
      <c r="B1940" s="188" t="s">
        <v>69</v>
      </c>
      <c r="C1940" s="307" t="s">
        <v>105</v>
      </c>
      <c r="D1940" s="308"/>
      <c r="E1940" s="179"/>
      <c r="F1940" s="191" t="s">
        <v>71</v>
      </c>
      <c r="G1940" s="201">
        <v>2</v>
      </c>
      <c r="H1940" s="203" t="s">
        <v>156</v>
      </c>
      <c r="I1940" s="201">
        <v>8</v>
      </c>
      <c r="J1940" s="201">
        <v>2</v>
      </c>
      <c r="K1940" s="203" t="s">
        <v>156</v>
      </c>
      <c r="L1940" s="201">
        <v>8</v>
      </c>
      <c r="M1940" s="89"/>
      <c r="N1940" s="219"/>
      <c r="O1940" s="199"/>
      <c r="P1940" s="200"/>
      <c r="Q1940" s="309"/>
      <c r="R1940" s="309"/>
      <c r="S1940" s="86"/>
      <c r="T1940" s="86"/>
      <c r="U1940" s="86"/>
      <c r="V1940" s="86"/>
      <c r="W1940" s="86"/>
      <c r="X1940" s="86"/>
      <c r="Y1940" s="86"/>
      <c r="Z1940" s="86"/>
      <c r="AA1940" s="86"/>
      <c r="AB1940" s="86"/>
      <c r="AC1940" s="86"/>
    </row>
    <row r="1941" spans="1:29" ht="30" customHeight="1">
      <c r="A1941" s="189">
        <v>32</v>
      </c>
      <c r="B1941" s="188" t="s">
        <v>69</v>
      </c>
      <c r="C1941" s="307" t="s">
        <v>133</v>
      </c>
      <c r="D1941" s="308"/>
      <c r="E1941" s="179"/>
      <c r="F1941" s="191" t="s">
        <v>71</v>
      </c>
      <c r="G1941" s="202" t="s">
        <v>156</v>
      </c>
      <c r="H1941" s="202" t="s">
        <v>156</v>
      </c>
      <c r="I1941" s="202" t="s">
        <v>156</v>
      </c>
      <c r="J1941" s="202" t="s">
        <v>156</v>
      </c>
      <c r="K1941" s="202" t="s">
        <v>156</v>
      </c>
      <c r="L1941" s="202" t="s">
        <v>156</v>
      </c>
      <c r="M1941" s="89"/>
      <c r="N1941" s="219"/>
      <c r="O1941" s="199"/>
      <c r="P1941" s="200"/>
      <c r="Q1941" s="309"/>
      <c r="R1941" s="309"/>
      <c r="S1941" s="86"/>
      <c r="T1941" s="86"/>
      <c r="U1941" s="86"/>
      <c r="V1941" s="86"/>
      <c r="W1941" s="86"/>
      <c r="X1941" s="86"/>
      <c r="Y1941" s="86"/>
      <c r="Z1941" s="86"/>
      <c r="AA1941" s="86"/>
      <c r="AB1941" s="86"/>
      <c r="AC1941" s="86"/>
    </row>
    <row r="1942" spans="1:29" ht="30" customHeight="1">
      <c r="A1942" s="189">
        <v>33</v>
      </c>
      <c r="B1942" s="188" t="s">
        <v>69</v>
      </c>
      <c r="C1942" s="307" t="s">
        <v>88</v>
      </c>
      <c r="D1942" s="308"/>
      <c r="E1942" s="179"/>
      <c r="F1942" s="191" t="s">
        <v>71</v>
      </c>
      <c r="G1942" s="201">
        <v>3</v>
      </c>
      <c r="H1942" s="201">
        <v>7</v>
      </c>
      <c r="I1942" s="201">
        <v>7</v>
      </c>
      <c r="J1942" s="201">
        <v>3</v>
      </c>
      <c r="K1942" s="201">
        <v>7</v>
      </c>
      <c r="L1942" s="201">
        <v>7</v>
      </c>
      <c r="M1942" s="89"/>
      <c r="N1942" s="219"/>
      <c r="O1942" s="199"/>
      <c r="P1942" s="200"/>
      <c r="Q1942" s="309"/>
      <c r="R1942" s="309"/>
      <c r="S1942" s="86"/>
      <c r="T1942" s="86"/>
      <c r="U1942" s="86"/>
      <c r="V1942" s="86"/>
      <c r="W1942" s="86"/>
      <c r="X1942" s="86"/>
      <c r="Y1942" s="86"/>
      <c r="Z1942" s="86"/>
      <c r="AA1942" s="86"/>
      <c r="AB1942" s="86"/>
      <c r="AC1942" s="86"/>
    </row>
    <row r="1943" spans="1:29" ht="30" customHeight="1">
      <c r="A1943" s="189">
        <v>34</v>
      </c>
      <c r="B1943" s="188" t="s">
        <v>69</v>
      </c>
      <c r="C1943" s="307" t="s">
        <v>89</v>
      </c>
      <c r="D1943" s="308"/>
      <c r="E1943" s="179"/>
      <c r="F1943" s="191" t="s">
        <v>71</v>
      </c>
      <c r="G1943" s="202" t="s">
        <v>156</v>
      </c>
      <c r="H1943" s="202" t="s">
        <v>156</v>
      </c>
      <c r="I1943" s="202" t="s">
        <v>156</v>
      </c>
      <c r="J1943" s="202" t="s">
        <v>156</v>
      </c>
      <c r="K1943" s="202" t="s">
        <v>156</v>
      </c>
      <c r="L1943" s="202" t="s">
        <v>156</v>
      </c>
      <c r="M1943" s="89"/>
      <c r="N1943" s="219"/>
      <c r="O1943" s="199"/>
      <c r="P1943" s="200"/>
      <c r="Q1943" s="309"/>
      <c r="R1943" s="309"/>
      <c r="S1943" s="86"/>
      <c r="T1943" s="86"/>
      <c r="U1943" s="86"/>
      <c r="V1943" s="86"/>
      <c r="W1943" s="86"/>
      <c r="X1943" s="86"/>
      <c r="Y1943" s="86"/>
      <c r="Z1943" s="86"/>
      <c r="AA1943" s="86"/>
      <c r="AB1943" s="86"/>
      <c r="AC1943" s="86"/>
    </row>
    <row r="1944" spans="1:29" ht="30" customHeight="1">
      <c r="A1944" s="189">
        <v>35</v>
      </c>
      <c r="B1944" s="188" t="s">
        <v>69</v>
      </c>
      <c r="C1944" s="307" t="s">
        <v>140</v>
      </c>
      <c r="D1944" s="308"/>
      <c r="E1944" s="179"/>
      <c r="F1944" s="191" t="s">
        <v>71</v>
      </c>
      <c r="G1944" s="202" t="s">
        <v>156</v>
      </c>
      <c r="H1944" s="202" t="s">
        <v>156</v>
      </c>
      <c r="I1944" s="201">
        <v>3</v>
      </c>
      <c r="J1944" s="202" t="s">
        <v>156</v>
      </c>
      <c r="K1944" s="202" t="s">
        <v>156</v>
      </c>
      <c r="L1944" s="201">
        <v>3</v>
      </c>
      <c r="M1944" s="89"/>
      <c r="N1944" s="220"/>
      <c r="O1944" s="199"/>
      <c r="P1944" s="200"/>
      <c r="Q1944" s="309"/>
      <c r="R1944" s="309"/>
      <c r="S1944" s="86"/>
      <c r="T1944" s="86"/>
      <c r="U1944" s="86"/>
      <c r="V1944" s="86"/>
      <c r="W1944" s="86"/>
      <c r="X1944" s="86"/>
      <c r="Y1944" s="86"/>
      <c r="Z1944" s="86"/>
      <c r="AA1944" s="86"/>
      <c r="AB1944" s="86"/>
      <c r="AC1944" s="86"/>
    </row>
    <row r="1945" spans="1:29" ht="30" customHeight="1">
      <c r="A1945" s="189">
        <v>36</v>
      </c>
      <c r="B1945" s="188" t="s">
        <v>69</v>
      </c>
      <c r="C1945" s="307" t="s">
        <v>134</v>
      </c>
      <c r="D1945" s="308"/>
      <c r="E1945" s="179"/>
      <c r="F1945" s="191" t="s">
        <v>71</v>
      </c>
      <c r="G1945" s="202" t="s">
        <v>156</v>
      </c>
      <c r="H1945" s="202" t="s">
        <v>156</v>
      </c>
      <c r="I1945" s="202" t="s">
        <v>156</v>
      </c>
      <c r="J1945" s="202" t="s">
        <v>156</v>
      </c>
      <c r="K1945" s="202" t="s">
        <v>156</v>
      </c>
      <c r="L1945" s="202" t="s">
        <v>156</v>
      </c>
      <c r="M1945" s="89"/>
      <c r="N1945" s="220"/>
      <c r="O1945" s="199"/>
      <c r="P1945" s="200"/>
      <c r="Q1945" s="309"/>
      <c r="R1945" s="309"/>
      <c r="S1945" s="86"/>
      <c r="T1945" s="86"/>
      <c r="U1945" s="86"/>
      <c r="V1945" s="86"/>
      <c r="W1945" s="86"/>
      <c r="X1945" s="86"/>
      <c r="Y1945" s="86"/>
      <c r="Z1945" s="86"/>
      <c r="AA1945" s="86"/>
      <c r="AB1945" s="86"/>
      <c r="AC1945" s="86"/>
    </row>
    <row r="1946" spans="1:29" ht="30" customHeight="1">
      <c r="A1946" s="189">
        <v>37</v>
      </c>
      <c r="B1946" s="188" t="s">
        <v>69</v>
      </c>
      <c r="C1946" s="307" t="s">
        <v>90</v>
      </c>
      <c r="D1946" s="308"/>
      <c r="E1946" s="179"/>
      <c r="F1946" s="191" t="s">
        <v>71</v>
      </c>
      <c r="G1946" s="202" t="s">
        <v>156</v>
      </c>
      <c r="H1946" s="202" t="s">
        <v>156</v>
      </c>
      <c r="I1946" s="202" t="s">
        <v>156</v>
      </c>
      <c r="J1946" s="202" t="s">
        <v>156</v>
      </c>
      <c r="K1946" s="202" t="s">
        <v>156</v>
      </c>
      <c r="L1946" s="202" t="s">
        <v>156</v>
      </c>
      <c r="M1946" s="89"/>
      <c r="N1946" s="220"/>
      <c r="O1946" s="199"/>
      <c r="P1946" s="200"/>
      <c r="Q1946" s="309"/>
      <c r="R1946" s="309"/>
      <c r="S1946" s="86"/>
      <c r="T1946" s="86"/>
      <c r="U1946" s="86"/>
      <c r="V1946" s="86"/>
      <c r="W1946" s="86"/>
      <c r="X1946" s="86"/>
      <c r="Y1946" s="86"/>
      <c r="Z1946" s="86"/>
      <c r="AA1946" s="86"/>
      <c r="AB1946" s="86"/>
      <c r="AC1946" s="86"/>
    </row>
    <row r="1947" spans="1:29" ht="30" customHeight="1">
      <c r="A1947" s="189">
        <v>38</v>
      </c>
      <c r="B1947" s="188" t="s">
        <v>69</v>
      </c>
      <c r="C1947" s="307" t="s">
        <v>106</v>
      </c>
      <c r="D1947" s="308"/>
      <c r="E1947" s="150"/>
      <c r="F1947" s="191" t="s">
        <v>71</v>
      </c>
      <c r="G1947" s="202" t="s">
        <v>156</v>
      </c>
      <c r="H1947" s="202" t="s">
        <v>156</v>
      </c>
      <c r="I1947" s="202" t="s">
        <v>156</v>
      </c>
      <c r="J1947" s="202" t="s">
        <v>156</v>
      </c>
      <c r="K1947" s="202" t="s">
        <v>156</v>
      </c>
      <c r="L1947" s="202" t="s">
        <v>156</v>
      </c>
      <c r="M1947" s="89"/>
      <c r="N1947" s="220"/>
      <c r="O1947" s="199"/>
      <c r="P1947" s="200"/>
      <c r="Q1947" s="309"/>
      <c r="R1947" s="309"/>
      <c r="S1947" s="86"/>
      <c r="T1947" s="86"/>
      <c r="U1947" s="86"/>
      <c r="V1947" s="86"/>
      <c r="W1947" s="86"/>
      <c r="X1947" s="86"/>
      <c r="Y1947" s="86"/>
      <c r="Z1947" s="86"/>
      <c r="AA1947" s="86"/>
      <c r="AB1947" s="86"/>
      <c r="AC1947" s="86"/>
    </row>
    <row r="1948" spans="1:29" ht="25.5" customHeight="1">
      <c r="A1948" s="310" t="s">
        <v>92</v>
      </c>
      <c r="B1948" s="310"/>
      <c r="C1948" s="310"/>
      <c r="D1948" s="310"/>
      <c r="E1948" s="310"/>
      <c r="F1948" s="310"/>
      <c r="G1948" s="310"/>
      <c r="H1948" s="310"/>
      <c r="I1948" s="310"/>
      <c r="J1948" s="310"/>
      <c r="K1948" s="310"/>
      <c r="L1948" s="310"/>
      <c r="M1948" s="92"/>
    </row>
    <row r="1949" spans="1:29" ht="19.5" customHeight="1">
      <c r="A1949" s="139"/>
      <c r="B1949" s="139"/>
      <c r="C1949" s="140"/>
      <c r="D1949" s="140" t="s">
        <v>145</v>
      </c>
      <c r="E1949" s="140"/>
      <c r="F1949" s="152" t="s">
        <v>54</v>
      </c>
      <c r="G1949" s="152"/>
      <c r="H1949" s="152"/>
      <c r="I1949" s="152"/>
      <c r="J1949" s="152" t="s">
        <v>144</v>
      </c>
      <c r="K1949" s="152"/>
      <c r="L1949" s="140"/>
      <c r="M1949" s="94"/>
    </row>
    <row r="1950" spans="1:29" ht="28.5" customHeight="1">
      <c r="A1950" s="310" t="s">
        <v>93</v>
      </c>
      <c r="B1950" s="310"/>
      <c r="C1950" s="310"/>
      <c r="D1950" s="310"/>
      <c r="E1950" s="310"/>
      <c r="F1950" s="310"/>
      <c r="G1950" s="310"/>
      <c r="H1950" s="310"/>
      <c r="I1950" s="310"/>
      <c r="J1950" s="310"/>
      <c r="K1950" s="310"/>
      <c r="L1950" s="310"/>
      <c r="M1950" s="92"/>
      <c r="N1950" s="311"/>
      <c r="O1950" s="311"/>
      <c r="P1950" s="311"/>
    </row>
    <row r="1951" spans="1:29" ht="20.25" customHeight="1">
      <c r="A1951" s="139"/>
      <c r="B1951" s="139"/>
      <c r="C1951" s="139"/>
      <c r="D1951" s="140" t="s">
        <v>145</v>
      </c>
      <c r="E1951" s="140"/>
      <c r="F1951" s="152" t="s">
        <v>54</v>
      </c>
      <c r="G1951" s="152"/>
      <c r="H1951" s="152"/>
      <c r="I1951" s="152"/>
      <c r="J1951" s="152" t="s">
        <v>144</v>
      </c>
      <c r="K1951" s="152"/>
      <c r="L1951" s="139"/>
      <c r="M1951" s="94"/>
      <c r="N1951" s="221"/>
      <c r="O1951" s="95"/>
      <c r="P1951" s="95"/>
    </row>
    <row r="1952" spans="1:29" ht="26.25" customHeight="1">
      <c r="A1952" s="312" t="s">
        <v>94</v>
      </c>
      <c r="B1952" s="312"/>
      <c r="C1952" s="312"/>
      <c r="D1952" s="312"/>
      <c r="E1952" s="312"/>
      <c r="F1952" s="312"/>
      <c r="G1952" s="312"/>
      <c r="H1952" s="312"/>
      <c r="I1952" s="312"/>
      <c r="J1952" s="312"/>
      <c r="K1952" s="312"/>
      <c r="L1952" s="312"/>
      <c r="M1952" s="92"/>
    </row>
    <row r="1953" spans="1:16" ht="22.5" customHeight="1">
      <c r="A1953" s="120"/>
      <c r="B1953" s="120"/>
      <c r="C1953" s="120"/>
      <c r="D1953" s="120"/>
      <c r="E1953" s="120"/>
      <c r="F1953" s="120"/>
      <c r="G1953" s="120"/>
      <c r="H1953" s="120"/>
      <c r="I1953" s="120"/>
      <c r="J1953" s="120"/>
      <c r="K1953" s="120"/>
      <c r="L1953" s="120"/>
      <c r="M1953" s="94"/>
    </row>
    <row r="1954" spans="1:16" ht="22.5" customHeight="1">
      <c r="A1954" s="313" t="s">
        <v>95</v>
      </c>
      <c r="B1954" s="313"/>
      <c r="C1954" s="313"/>
      <c r="D1954" s="313"/>
      <c r="E1954" s="313"/>
      <c r="F1954" s="313"/>
      <c r="G1954" s="313"/>
      <c r="H1954" s="313"/>
      <c r="I1954" s="313"/>
      <c r="J1954" s="313"/>
      <c r="K1954" s="313"/>
      <c r="L1954" s="313"/>
      <c r="M1954" s="92"/>
    </row>
    <row r="1955" spans="1:16" ht="19.5" customHeight="1">
      <c r="A1955" s="97"/>
      <c r="B1955" s="97"/>
      <c r="C1955" s="145"/>
      <c r="D1955" s="97"/>
      <c r="E1955" s="97"/>
      <c r="F1955" s="97"/>
      <c r="G1955" s="97"/>
      <c r="H1955" s="97"/>
      <c r="I1955" s="97"/>
      <c r="J1955" s="97"/>
      <c r="K1955" s="97"/>
      <c r="L1955" s="97"/>
      <c r="M1955" s="94"/>
    </row>
    <row r="1956" spans="1:16" ht="5.25" customHeight="1">
      <c r="A1956" s="94"/>
      <c r="B1956" s="94"/>
      <c r="C1956" s="146"/>
      <c r="D1956" s="94"/>
      <c r="E1956" s="94"/>
      <c r="F1956" s="94"/>
      <c r="G1956" s="94"/>
      <c r="H1956" s="94"/>
      <c r="I1956" s="94"/>
      <c r="J1956" s="94"/>
      <c r="K1956" s="94"/>
      <c r="L1956" s="94"/>
      <c r="M1956" s="94"/>
    </row>
    <row r="1957" spans="1:16" ht="16.5" customHeight="1">
      <c r="A1957" s="314" t="s">
        <v>96</v>
      </c>
      <c r="B1957" s="314"/>
      <c r="C1957" s="314"/>
      <c r="D1957" s="314"/>
      <c r="E1957" s="98"/>
      <c r="F1957" s="98"/>
      <c r="G1957" s="98"/>
      <c r="H1957" s="315" t="s">
        <v>97</v>
      </c>
      <c r="I1957" s="315"/>
      <c r="J1957" s="315"/>
      <c r="K1957" s="315"/>
      <c r="L1957" s="315"/>
      <c r="M1957" s="94"/>
    </row>
    <row r="1958" spans="1:16" ht="95.1" customHeight="1">
      <c r="A1958" s="99"/>
      <c r="B1958" s="101" t="str">
        <f>B1888</f>
        <v>Ông Huỳnh Phước Hải        ….............</v>
      </c>
      <c r="C1958" s="147"/>
      <c r="D1958" s="99"/>
      <c r="E1958" s="81"/>
      <c r="F1958" s="100"/>
      <c r="G1958" s="100"/>
      <c r="H1958" s="306" t="str">
        <f>H1888</f>
        <v>Ông Phạm Tấn Việt          …..................</v>
      </c>
      <c r="I1958" s="306"/>
      <c r="J1958" s="306"/>
      <c r="K1958" s="306"/>
      <c r="L1958" s="306"/>
      <c r="M1958" s="94"/>
    </row>
    <row r="1959" spans="1:16" ht="50.25" customHeight="1">
      <c r="A1959" s="99"/>
      <c r="B1959" s="99"/>
      <c r="C1959" s="147"/>
      <c r="D1959" s="99"/>
      <c r="E1959" s="81"/>
      <c r="F1959" s="100"/>
      <c r="G1959" s="100"/>
      <c r="H1959" s="100"/>
      <c r="I1959" s="100"/>
      <c r="J1959" s="99"/>
      <c r="K1959" s="99"/>
      <c r="L1959" s="99"/>
      <c r="M1959" s="94"/>
    </row>
    <row r="1960" spans="1:16" ht="21.75" customHeight="1">
      <c r="A1960" s="348" t="s">
        <v>165</v>
      </c>
      <c r="B1960" s="348"/>
      <c r="C1960" s="348"/>
      <c r="D1960" s="348"/>
      <c r="E1960" s="348"/>
      <c r="F1960" s="348"/>
      <c r="G1960" s="348"/>
      <c r="H1960" s="348"/>
      <c r="I1960" s="348"/>
      <c r="J1960" s="348"/>
      <c r="K1960" s="348"/>
      <c r="L1960" s="348"/>
      <c r="M1960" s="82"/>
    </row>
    <row r="1961" spans="1:16" ht="19.5">
      <c r="A1961" s="84" t="str">
        <f>"Ngày "&amp;N1962&amp;" tháng "&amp;O3&amp;" năm "&amp;P3&amp;""</f>
        <v>Ngày 29 tháng 07 năm 2026</v>
      </c>
      <c r="B1961" s="84"/>
      <c r="C1961" s="85"/>
      <c r="N1961" s="216"/>
      <c r="O1961" s="20"/>
      <c r="P1961" s="20"/>
    </row>
    <row r="1962" spans="1:16" ht="16.5">
      <c r="A1962" s="337" t="s">
        <v>57</v>
      </c>
      <c r="B1962" s="337"/>
      <c r="C1962" s="337"/>
      <c r="D1962" s="311"/>
      <c r="E1962" s="311"/>
      <c r="F1962" s="311"/>
      <c r="G1962" s="95"/>
      <c r="H1962" s="95"/>
      <c r="I1962" s="95"/>
      <c r="J1962" s="95"/>
      <c r="K1962" s="95"/>
      <c r="L1962" s="95"/>
      <c r="N1962" s="217" t="s">
        <v>191</v>
      </c>
      <c r="O1962" s="214"/>
      <c r="P1962" s="17"/>
    </row>
    <row r="1963" spans="1:16" ht="15.75" customHeight="1">
      <c r="A1963" s="338"/>
      <c r="B1963" s="338"/>
      <c r="C1963" s="338"/>
      <c r="D1963" s="339" t="s">
        <v>58</v>
      </c>
      <c r="E1963" s="340"/>
      <c r="F1963" s="340"/>
      <c r="G1963" s="340"/>
      <c r="H1963" s="341"/>
      <c r="I1963" s="339" t="s">
        <v>59</v>
      </c>
      <c r="J1963" s="340"/>
      <c r="K1963" s="340"/>
      <c r="L1963" s="341"/>
    </row>
    <row r="1964" spans="1:16" ht="19.5" customHeight="1">
      <c r="A1964" s="342" t="s">
        <v>60</v>
      </c>
      <c r="B1964" s="342"/>
      <c r="C1964" s="342"/>
      <c r="D1964" s="343" t="s">
        <v>54</v>
      </c>
      <c r="E1964" s="344"/>
      <c r="F1964" s="344"/>
      <c r="G1964" s="344"/>
      <c r="H1964" s="345"/>
      <c r="I1964" s="343" t="s">
        <v>54</v>
      </c>
      <c r="J1964" s="344"/>
      <c r="K1964" s="344"/>
      <c r="L1964" s="345"/>
    </row>
    <row r="1965" spans="1:16" ht="22.5" customHeight="1">
      <c r="A1965" s="342" t="s">
        <v>61</v>
      </c>
      <c r="B1965" s="342"/>
      <c r="C1965" s="342"/>
      <c r="D1965" s="343" t="s">
        <v>163</v>
      </c>
      <c r="E1965" s="344"/>
      <c r="F1965" s="344"/>
      <c r="G1965" s="344"/>
      <c r="H1965" s="345"/>
      <c r="I1965" s="343" t="str">
        <f>D1965</f>
        <v>31° - 34°</v>
      </c>
      <c r="J1965" s="344"/>
      <c r="K1965" s="344"/>
      <c r="L1965" s="345"/>
    </row>
    <row r="1966" spans="1:16" s="87" customFormat="1" ht="19.5" customHeight="1">
      <c r="A1966" s="310" t="s">
        <v>62</v>
      </c>
      <c r="B1966" s="310"/>
      <c r="C1966" s="310"/>
      <c r="D1966" s="310"/>
      <c r="E1966" s="310"/>
      <c r="F1966" s="310"/>
      <c r="G1966" s="310"/>
      <c r="H1966" s="310"/>
      <c r="I1966" s="310"/>
      <c r="J1966" s="310"/>
      <c r="K1966" s="310"/>
      <c r="L1966" s="310"/>
      <c r="M1966" s="85"/>
      <c r="N1966" s="218"/>
    </row>
    <row r="1967" spans="1:16" s="87" customFormat="1" ht="15.75">
      <c r="A1967" s="332" t="s">
        <v>63</v>
      </c>
      <c r="B1967" s="332"/>
      <c r="C1967" s="332"/>
      <c r="D1967" s="332"/>
      <c r="E1967" s="332"/>
      <c r="F1967" s="332"/>
      <c r="G1967" s="332"/>
      <c r="H1967" s="332"/>
      <c r="I1967" s="332"/>
      <c r="J1967" s="332"/>
      <c r="K1967" s="332"/>
      <c r="L1967" s="332"/>
      <c r="M1967" s="85"/>
      <c r="N1967" s="218"/>
    </row>
    <row r="1968" spans="1:16" s="87" customFormat="1" ht="20.100000000000001" customHeight="1">
      <c r="A1968" s="88"/>
      <c r="B1968" s="88"/>
      <c r="C1968" s="333" t="s">
        <v>64</v>
      </c>
      <c r="D1968" s="334"/>
      <c r="E1968" s="334"/>
      <c r="F1968" s="334"/>
      <c r="G1968" s="334"/>
      <c r="H1968" s="334"/>
      <c r="I1968" s="334"/>
      <c r="J1968" s="334"/>
      <c r="K1968" s="334"/>
      <c r="L1968" s="334"/>
      <c r="M1968" s="85"/>
      <c r="N1968" s="218"/>
    </row>
    <row r="1969" spans="1:29" s="87" customFormat="1" ht="20.100000000000001" customHeight="1">
      <c r="A1969" s="88"/>
      <c r="B1969" s="88"/>
      <c r="C1969" s="333" t="s">
        <v>65</v>
      </c>
      <c r="D1969" s="334"/>
      <c r="E1969" s="334"/>
      <c r="F1969" s="334"/>
      <c r="G1969" s="334"/>
      <c r="H1969" s="334"/>
      <c r="I1969" s="334"/>
      <c r="J1969" s="334"/>
      <c r="K1969" s="334"/>
      <c r="L1969" s="334"/>
      <c r="M1969" s="85"/>
      <c r="N1969" s="218"/>
    </row>
    <row r="1970" spans="1:29" s="87" customFormat="1" ht="17.25" customHeight="1">
      <c r="A1970" s="335" t="s">
        <v>66</v>
      </c>
      <c r="B1970" s="335"/>
      <c r="C1970" s="335"/>
      <c r="D1970" s="335"/>
      <c r="E1970" s="335"/>
      <c r="F1970" s="335"/>
      <c r="G1970" s="335"/>
      <c r="H1970" s="335"/>
      <c r="I1970" s="335"/>
      <c r="J1970" s="335"/>
      <c r="K1970" s="335"/>
      <c r="L1970" s="335"/>
      <c r="M1970" s="85"/>
      <c r="N1970" s="218"/>
    </row>
    <row r="1971" spans="1:29" s="87" customFormat="1" ht="7.5" customHeight="1">
      <c r="A1971" s="119"/>
      <c r="B1971" s="119"/>
      <c r="C1971" s="119"/>
      <c r="D1971" s="119"/>
      <c r="E1971" s="119"/>
      <c r="F1971" s="119"/>
      <c r="G1971" s="119"/>
      <c r="H1971" s="119"/>
      <c r="I1971" s="119"/>
      <c r="J1971" s="119"/>
      <c r="K1971" s="119"/>
      <c r="L1971" s="119"/>
      <c r="M1971" s="85"/>
      <c r="N1971" s="218"/>
    </row>
    <row r="1972" spans="1:29" ht="15.75">
      <c r="A1972" s="336" t="s">
        <v>67</v>
      </c>
      <c r="B1972" s="336"/>
      <c r="C1972" s="336"/>
      <c r="D1972" s="336"/>
      <c r="E1972" s="336"/>
      <c r="F1972" s="336"/>
      <c r="G1972" s="336"/>
      <c r="H1972" s="336"/>
      <c r="I1972" s="336"/>
      <c r="J1972" s="336"/>
      <c r="K1972" s="336"/>
      <c r="L1972" s="336"/>
    </row>
    <row r="1973" spans="1:29" ht="2.25" customHeight="1">
      <c r="A1973" s="141"/>
      <c r="B1973" s="141"/>
      <c r="C1973" s="141"/>
      <c r="D1973" s="141"/>
      <c r="E1973" s="141"/>
      <c r="F1973" s="141"/>
      <c r="G1973" s="155"/>
      <c r="H1973" s="155"/>
      <c r="I1973" s="155"/>
      <c r="J1973" s="155"/>
      <c r="K1973" s="155"/>
      <c r="L1973" s="155"/>
    </row>
    <row r="1974" spans="1:29" ht="27.75" customHeight="1">
      <c r="A1974" s="317" t="s">
        <v>135</v>
      </c>
      <c r="B1974" s="318"/>
      <c r="C1974" s="317" t="s">
        <v>68</v>
      </c>
      <c r="D1974" s="318"/>
      <c r="E1974" s="183"/>
      <c r="F1974" s="321" t="s">
        <v>136</v>
      </c>
      <c r="G1974" s="322" t="s">
        <v>155</v>
      </c>
      <c r="H1974" s="323"/>
      <c r="I1974" s="323"/>
      <c r="J1974" s="322" t="s">
        <v>154</v>
      </c>
      <c r="K1974" s="323"/>
      <c r="L1974" s="324"/>
      <c r="M1974" s="92"/>
      <c r="O1974" s="325"/>
      <c r="P1974" s="325"/>
      <c r="Q1974" s="325"/>
      <c r="R1974" s="325"/>
      <c r="S1974" s="316"/>
      <c r="T1974" s="316"/>
      <c r="U1974" s="316"/>
      <c r="V1974" s="316"/>
      <c r="W1974" s="316"/>
      <c r="X1974" s="316"/>
      <c r="Y1974" s="316"/>
      <c r="Z1974" s="316"/>
      <c r="AA1974" s="316"/>
      <c r="AB1974" s="316"/>
      <c r="AC1974" s="316"/>
    </row>
    <row r="1975" spans="1:29" ht="125.25" customHeight="1">
      <c r="A1975" s="319"/>
      <c r="B1975" s="320"/>
      <c r="C1975" s="319"/>
      <c r="D1975" s="320"/>
      <c r="E1975" s="184"/>
      <c r="F1975" s="321"/>
      <c r="G1975" s="153" t="s">
        <v>151</v>
      </c>
      <c r="H1975" s="153" t="s">
        <v>152</v>
      </c>
      <c r="I1975" s="153" t="s">
        <v>153</v>
      </c>
      <c r="J1975" s="153" t="s">
        <v>151</v>
      </c>
      <c r="K1975" s="153" t="s">
        <v>152</v>
      </c>
      <c r="L1975" s="153" t="s">
        <v>153</v>
      </c>
      <c r="O1975" s="325"/>
      <c r="P1975" s="325"/>
      <c r="Q1975" s="325"/>
      <c r="R1975" s="325"/>
      <c r="S1975" s="193"/>
      <c r="T1975" s="193"/>
      <c r="U1975" s="193"/>
      <c r="V1975" s="193"/>
      <c r="W1975" s="193"/>
      <c r="X1975" s="193"/>
      <c r="Y1975" s="193"/>
      <c r="Z1975" s="193"/>
      <c r="AA1975" s="193"/>
      <c r="AB1975" s="193"/>
      <c r="AC1975" s="193"/>
    </row>
    <row r="1976" spans="1:29" ht="24.75" customHeight="1">
      <c r="A1976" s="190" t="s">
        <v>128</v>
      </c>
      <c r="B1976" s="142"/>
      <c r="C1976" s="330" t="s">
        <v>129</v>
      </c>
      <c r="D1976" s="330"/>
      <c r="E1976" s="330"/>
      <c r="F1976" s="330"/>
      <c r="G1976" s="330"/>
      <c r="H1976" s="330"/>
      <c r="I1976" s="330"/>
      <c r="J1976" s="330"/>
      <c r="K1976" s="330"/>
      <c r="L1976" s="330"/>
      <c r="M1976" s="93"/>
      <c r="O1976" s="156"/>
      <c r="P1976" s="142"/>
      <c r="Q1976" s="331"/>
      <c r="R1976" s="331"/>
      <c r="S1976" s="331"/>
      <c r="T1976" s="331"/>
      <c r="U1976" s="331"/>
      <c r="V1976" s="331"/>
      <c r="W1976" s="331"/>
      <c r="X1976" s="331"/>
      <c r="Y1976" s="331"/>
      <c r="Z1976" s="331"/>
      <c r="AA1976" s="331"/>
      <c r="AB1976" s="331"/>
      <c r="AC1976" s="331"/>
    </row>
    <row r="1977" spans="1:29" ht="20.100000000000001" customHeight="1">
      <c r="A1977" s="187">
        <v>1</v>
      </c>
      <c r="B1977" s="185" t="s">
        <v>69</v>
      </c>
      <c r="C1977" s="326" t="s">
        <v>70</v>
      </c>
      <c r="D1977" s="326"/>
      <c r="E1977" s="176"/>
      <c r="F1977" s="144" t="s">
        <v>71</v>
      </c>
      <c r="G1977" s="203" t="s">
        <v>156</v>
      </c>
      <c r="H1977" s="202" t="s">
        <v>156</v>
      </c>
      <c r="I1977" s="201">
        <v>1</v>
      </c>
      <c r="J1977" s="202" t="s">
        <v>156</v>
      </c>
      <c r="K1977" s="202" t="s">
        <v>156</v>
      </c>
      <c r="L1977" s="201">
        <v>1</v>
      </c>
      <c r="M1977" s="93"/>
      <c r="O1977" s="195"/>
      <c r="P1977" s="196"/>
      <c r="Q1977" s="327"/>
      <c r="R1977" s="327"/>
      <c r="S1977" s="86"/>
      <c r="T1977" s="86"/>
      <c r="U1977" s="86"/>
      <c r="V1977" s="86"/>
      <c r="W1977" s="194"/>
      <c r="X1977" s="194"/>
      <c r="Y1977" s="194"/>
      <c r="Z1977" s="194"/>
      <c r="AA1977" s="194"/>
      <c r="AB1977" s="194"/>
      <c r="AC1977" s="194"/>
    </row>
    <row r="1978" spans="1:29" ht="20.100000000000001" customHeight="1">
      <c r="A1978" s="187">
        <v>2</v>
      </c>
      <c r="B1978" s="185" t="s">
        <v>69</v>
      </c>
      <c r="C1978" s="326" t="s">
        <v>72</v>
      </c>
      <c r="D1978" s="326"/>
      <c r="E1978" s="176"/>
      <c r="F1978" s="144" t="s">
        <v>71</v>
      </c>
      <c r="G1978" s="203" t="s">
        <v>156</v>
      </c>
      <c r="H1978" s="202" t="s">
        <v>156</v>
      </c>
      <c r="I1978" s="202" t="s">
        <v>156</v>
      </c>
      <c r="J1978" s="202" t="s">
        <v>156</v>
      </c>
      <c r="K1978" s="202" t="s">
        <v>156</v>
      </c>
      <c r="L1978" s="202" t="s">
        <v>156</v>
      </c>
      <c r="M1978" s="93"/>
      <c r="O1978" s="195"/>
      <c r="P1978" s="196"/>
      <c r="Q1978" s="327"/>
      <c r="R1978" s="327"/>
      <c r="S1978" s="194"/>
      <c r="T1978" s="194"/>
      <c r="U1978" s="194"/>
      <c r="V1978" s="86"/>
      <c r="W1978" s="86"/>
      <c r="X1978" s="86"/>
      <c r="Y1978" s="86"/>
      <c r="Z1978" s="194"/>
      <c r="AA1978" s="194"/>
      <c r="AB1978" s="194"/>
      <c r="AC1978" s="194"/>
    </row>
    <row r="1979" spans="1:29" ht="20.100000000000001" customHeight="1">
      <c r="A1979" s="187">
        <v>3</v>
      </c>
      <c r="B1979" s="185" t="s">
        <v>69</v>
      </c>
      <c r="C1979" s="326" t="s">
        <v>73</v>
      </c>
      <c r="D1979" s="326"/>
      <c r="E1979" s="176"/>
      <c r="F1979" s="144" t="s">
        <v>71</v>
      </c>
      <c r="G1979" s="203" t="s">
        <v>156</v>
      </c>
      <c r="H1979" s="202" t="s">
        <v>156</v>
      </c>
      <c r="I1979" s="202" t="s">
        <v>156</v>
      </c>
      <c r="J1979" s="202" t="s">
        <v>156</v>
      </c>
      <c r="K1979" s="202" t="s">
        <v>156</v>
      </c>
      <c r="L1979" s="202" t="s">
        <v>156</v>
      </c>
      <c r="M1979" s="93"/>
      <c r="O1979" s="195"/>
      <c r="P1979" s="196"/>
      <c r="Q1979" s="327"/>
      <c r="R1979" s="327"/>
      <c r="S1979" s="194"/>
      <c r="T1979" s="86"/>
      <c r="U1979" s="86"/>
      <c r="V1979" s="86"/>
      <c r="W1979" s="86"/>
      <c r="X1979" s="194"/>
      <c r="Y1979" s="194"/>
      <c r="Z1979" s="194"/>
      <c r="AA1979" s="194"/>
      <c r="AB1979" s="194"/>
      <c r="AC1979" s="194"/>
    </row>
    <row r="1980" spans="1:29" ht="20.100000000000001" customHeight="1">
      <c r="A1980" s="187">
        <v>4</v>
      </c>
      <c r="B1980" s="185" t="s">
        <v>69</v>
      </c>
      <c r="C1980" s="326" t="s">
        <v>98</v>
      </c>
      <c r="D1980" s="326"/>
      <c r="E1980" s="176"/>
      <c r="F1980" s="144" t="s">
        <v>71</v>
      </c>
      <c r="G1980" s="203" t="s">
        <v>156</v>
      </c>
      <c r="H1980" s="202" t="s">
        <v>156</v>
      </c>
      <c r="I1980" s="202" t="s">
        <v>156</v>
      </c>
      <c r="J1980" s="202" t="s">
        <v>156</v>
      </c>
      <c r="K1980" s="202" t="s">
        <v>156</v>
      </c>
      <c r="L1980" s="202" t="s">
        <v>156</v>
      </c>
      <c r="M1980" s="93"/>
      <c r="O1980" s="195"/>
      <c r="P1980" s="196"/>
      <c r="Q1980" s="327"/>
      <c r="R1980" s="327"/>
      <c r="S1980" s="194"/>
      <c r="T1980" s="194"/>
      <c r="U1980" s="194"/>
      <c r="V1980" s="194"/>
      <c r="W1980" s="194"/>
      <c r="X1980" s="194"/>
      <c r="Y1980" s="194"/>
      <c r="Z1980" s="86"/>
      <c r="AA1980" s="86"/>
      <c r="AB1980" s="86"/>
      <c r="AC1980" s="86"/>
    </row>
    <row r="1981" spans="1:29" ht="20.100000000000001" customHeight="1">
      <c r="A1981" s="187">
        <v>5</v>
      </c>
      <c r="B1981" s="185" t="s">
        <v>69</v>
      </c>
      <c r="C1981" s="326" t="s">
        <v>74</v>
      </c>
      <c r="D1981" s="326"/>
      <c r="E1981" s="176"/>
      <c r="F1981" s="144" t="s">
        <v>71</v>
      </c>
      <c r="G1981" s="203" t="s">
        <v>156</v>
      </c>
      <c r="H1981" s="202" t="s">
        <v>156</v>
      </c>
      <c r="I1981" s="202" t="s">
        <v>156</v>
      </c>
      <c r="J1981" s="202" t="s">
        <v>156</v>
      </c>
      <c r="K1981" s="202" t="s">
        <v>156</v>
      </c>
      <c r="L1981" s="202" t="s">
        <v>156</v>
      </c>
      <c r="M1981" s="93"/>
      <c r="O1981" s="195"/>
      <c r="P1981" s="196"/>
      <c r="Q1981" s="327"/>
      <c r="R1981" s="327"/>
      <c r="S1981" s="194"/>
      <c r="T1981" s="194"/>
      <c r="U1981" s="194"/>
      <c r="V1981" s="194"/>
      <c r="W1981" s="194"/>
      <c r="X1981" s="194"/>
      <c r="Y1981" s="194"/>
      <c r="Z1981" s="194"/>
      <c r="AA1981" s="194"/>
      <c r="AB1981" s="194"/>
      <c r="AC1981" s="194"/>
    </row>
    <row r="1982" spans="1:29" ht="20.100000000000001" customHeight="1">
      <c r="A1982" s="187">
        <v>6</v>
      </c>
      <c r="B1982" s="185" t="s">
        <v>69</v>
      </c>
      <c r="C1982" s="326" t="s">
        <v>75</v>
      </c>
      <c r="D1982" s="326"/>
      <c r="E1982" s="176"/>
      <c r="F1982" s="144" t="s">
        <v>71</v>
      </c>
      <c r="G1982" s="203" t="s">
        <v>156</v>
      </c>
      <c r="H1982" s="202" t="s">
        <v>156</v>
      </c>
      <c r="I1982" s="202" t="s">
        <v>156</v>
      </c>
      <c r="J1982" s="202" t="s">
        <v>156</v>
      </c>
      <c r="K1982" s="202" t="s">
        <v>156</v>
      </c>
      <c r="L1982" s="202" t="s">
        <v>156</v>
      </c>
      <c r="M1982" s="93"/>
      <c r="O1982" s="195"/>
      <c r="P1982" s="196"/>
      <c r="Q1982" s="327"/>
      <c r="R1982" s="327"/>
      <c r="S1982" s="194"/>
      <c r="T1982" s="194"/>
      <c r="U1982" s="194"/>
      <c r="V1982" s="194"/>
      <c r="W1982" s="194"/>
      <c r="X1982" s="194"/>
      <c r="Y1982" s="194"/>
      <c r="Z1982" s="194"/>
      <c r="AA1982" s="194"/>
      <c r="AB1982" s="194"/>
      <c r="AC1982" s="194"/>
    </row>
    <row r="1983" spans="1:29" ht="20.100000000000001" customHeight="1">
      <c r="A1983" s="187">
        <v>7</v>
      </c>
      <c r="B1983" s="185" t="s">
        <v>69</v>
      </c>
      <c r="C1983" s="326" t="s">
        <v>76</v>
      </c>
      <c r="D1983" s="326"/>
      <c r="E1983" s="176"/>
      <c r="F1983" s="144" t="s">
        <v>71</v>
      </c>
      <c r="G1983" s="203" t="s">
        <v>156</v>
      </c>
      <c r="H1983" s="202" t="s">
        <v>156</v>
      </c>
      <c r="I1983" s="202" t="s">
        <v>156</v>
      </c>
      <c r="J1983" s="202" t="s">
        <v>156</v>
      </c>
      <c r="K1983" s="202" t="s">
        <v>156</v>
      </c>
      <c r="L1983" s="202" t="s">
        <v>156</v>
      </c>
      <c r="M1983" s="93"/>
      <c r="O1983" s="195"/>
      <c r="P1983" s="196"/>
      <c r="Q1983" s="327"/>
      <c r="R1983" s="327"/>
      <c r="S1983" s="194"/>
      <c r="T1983" s="194"/>
      <c r="U1983" s="194"/>
      <c r="V1983" s="194"/>
      <c r="W1983" s="194"/>
      <c r="X1983" s="194"/>
      <c r="Y1983" s="194"/>
      <c r="Z1983" s="194"/>
      <c r="AA1983" s="194"/>
      <c r="AB1983" s="194"/>
      <c r="AC1983" s="194"/>
    </row>
    <row r="1984" spans="1:29" ht="20.100000000000001" customHeight="1">
      <c r="A1984" s="187">
        <v>8</v>
      </c>
      <c r="B1984" s="185" t="s">
        <v>69</v>
      </c>
      <c r="C1984" s="326" t="s">
        <v>99</v>
      </c>
      <c r="D1984" s="326"/>
      <c r="E1984" s="176"/>
      <c r="F1984" s="144" t="s">
        <v>71</v>
      </c>
      <c r="G1984" s="203" t="s">
        <v>156</v>
      </c>
      <c r="H1984" s="202" t="s">
        <v>156</v>
      </c>
      <c r="I1984" s="202" t="s">
        <v>156</v>
      </c>
      <c r="J1984" s="202" t="s">
        <v>156</v>
      </c>
      <c r="K1984" s="202" t="s">
        <v>156</v>
      </c>
      <c r="L1984" s="202" t="s">
        <v>156</v>
      </c>
      <c r="M1984" s="93"/>
      <c r="O1984" s="195"/>
      <c r="P1984" s="196"/>
      <c r="Q1984" s="327"/>
      <c r="R1984" s="327"/>
      <c r="S1984" s="194"/>
      <c r="T1984" s="194"/>
      <c r="U1984" s="194"/>
      <c r="V1984" s="194"/>
      <c r="W1984" s="194"/>
      <c r="X1984" s="194"/>
      <c r="Y1984" s="194"/>
      <c r="Z1984" s="194"/>
      <c r="AA1984" s="194"/>
      <c r="AB1984" s="194"/>
      <c r="AC1984" s="194"/>
    </row>
    <row r="1985" spans="1:29" ht="20.100000000000001" customHeight="1">
      <c r="A1985" s="187">
        <v>9</v>
      </c>
      <c r="B1985" s="185" t="s">
        <v>69</v>
      </c>
      <c r="C1985" s="326" t="s">
        <v>77</v>
      </c>
      <c r="D1985" s="326"/>
      <c r="E1985" s="176"/>
      <c r="F1985" s="144" t="s">
        <v>71</v>
      </c>
      <c r="G1985" s="203" t="s">
        <v>156</v>
      </c>
      <c r="H1985" s="202" t="s">
        <v>156</v>
      </c>
      <c r="I1985" s="202" t="s">
        <v>156</v>
      </c>
      <c r="J1985" s="202" t="s">
        <v>156</v>
      </c>
      <c r="K1985" s="202" t="s">
        <v>156</v>
      </c>
      <c r="L1985" s="202" t="s">
        <v>156</v>
      </c>
      <c r="M1985" s="93"/>
      <c r="O1985" s="195"/>
      <c r="P1985" s="196"/>
      <c r="Q1985" s="327"/>
      <c r="R1985" s="327"/>
      <c r="S1985" s="194"/>
      <c r="T1985" s="194"/>
      <c r="U1985" s="194"/>
      <c r="V1985" s="194"/>
      <c r="W1985" s="194"/>
      <c r="X1985" s="194"/>
      <c r="Y1985" s="194"/>
      <c r="Z1985" s="194"/>
      <c r="AA1985" s="194"/>
      <c r="AB1985" s="194"/>
      <c r="AC1985" s="194"/>
    </row>
    <row r="1986" spans="1:29" ht="20.100000000000001" customHeight="1">
      <c r="A1986" s="187">
        <v>10</v>
      </c>
      <c r="B1986" s="185" t="s">
        <v>69</v>
      </c>
      <c r="C1986" s="326" t="s">
        <v>78</v>
      </c>
      <c r="D1986" s="326"/>
      <c r="E1986" s="176"/>
      <c r="F1986" s="144" t="s">
        <v>71</v>
      </c>
      <c r="G1986" s="203" t="s">
        <v>156</v>
      </c>
      <c r="H1986" s="202" t="s">
        <v>156</v>
      </c>
      <c r="I1986" s="202" t="s">
        <v>156</v>
      </c>
      <c r="J1986" s="202" t="s">
        <v>156</v>
      </c>
      <c r="K1986" s="202" t="s">
        <v>156</v>
      </c>
      <c r="L1986" s="202" t="s">
        <v>156</v>
      </c>
      <c r="M1986" s="93"/>
      <c r="O1986" s="195"/>
      <c r="P1986" s="196"/>
      <c r="Q1986" s="327"/>
      <c r="R1986" s="327"/>
      <c r="S1986" s="194"/>
      <c r="T1986" s="194"/>
      <c r="U1986" s="194"/>
      <c r="V1986" s="194"/>
      <c r="W1986" s="194"/>
      <c r="X1986" s="194"/>
      <c r="Y1986" s="194"/>
      <c r="Z1986" s="194"/>
      <c r="AA1986" s="194"/>
      <c r="AB1986" s="194"/>
      <c r="AC1986" s="194"/>
    </row>
    <row r="1987" spans="1:29" ht="20.100000000000001" customHeight="1">
      <c r="A1987" s="187">
        <v>11</v>
      </c>
      <c r="B1987" s="185" t="s">
        <v>69</v>
      </c>
      <c r="C1987" s="326" t="s">
        <v>79</v>
      </c>
      <c r="D1987" s="326"/>
      <c r="E1987" s="176"/>
      <c r="F1987" s="144" t="s">
        <v>71</v>
      </c>
      <c r="G1987" s="203" t="s">
        <v>156</v>
      </c>
      <c r="H1987" s="202" t="s">
        <v>156</v>
      </c>
      <c r="I1987" s="202" t="s">
        <v>156</v>
      </c>
      <c r="J1987" s="202" t="s">
        <v>156</v>
      </c>
      <c r="K1987" s="202" t="s">
        <v>156</v>
      </c>
      <c r="L1987" s="202" t="s">
        <v>156</v>
      </c>
      <c r="M1987" s="93"/>
      <c r="O1987" s="195"/>
      <c r="P1987" s="196"/>
      <c r="Q1987" s="327"/>
      <c r="R1987" s="327"/>
      <c r="S1987" s="194"/>
      <c r="T1987" s="194"/>
      <c r="U1987" s="194"/>
      <c r="V1987" s="194"/>
      <c r="W1987" s="194"/>
      <c r="X1987" s="194"/>
      <c r="Y1987" s="194"/>
      <c r="Z1987" s="194"/>
      <c r="AA1987" s="194"/>
      <c r="AB1987" s="194"/>
      <c r="AC1987" s="194"/>
    </row>
    <row r="1988" spans="1:29" ht="20.100000000000001" customHeight="1">
      <c r="A1988" s="187">
        <v>12</v>
      </c>
      <c r="B1988" s="185" t="s">
        <v>69</v>
      </c>
      <c r="C1988" s="326" t="s">
        <v>100</v>
      </c>
      <c r="D1988" s="326"/>
      <c r="E1988" s="176"/>
      <c r="F1988" s="144" t="s">
        <v>71</v>
      </c>
      <c r="G1988" s="203" t="s">
        <v>156</v>
      </c>
      <c r="H1988" s="202" t="s">
        <v>156</v>
      </c>
      <c r="I1988" s="202" t="s">
        <v>156</v>
      </c>
      <c r="J1988" s="202" t="s">
        <v>156</v>
      </c>
      <c r="K1988" s="202" t="s">
        <v>156</v>
      </c>
      <c r="L1988" s="202" t="s">
        <v>156</v>
      </c>
      <c r="M1988" s="93"/>
      <c r="O1988" s="195"/>
      <c r="P1988" s="196"/>
      <c r="Q1988" s="327"/>
      <c r="R1988" s="327"/>
      <c r="S1988" s="194"/>
      <c r="T1988" s="194"/>
      <c r="U1988" s="194"/>
      <c r="V1988" s="194"/>
      <c r="W1988" s="194"/>
      <c r="X1988" s="194"/>
      <c r="Y1988" s="194"/>
      <c r="Z1988" s="194"/>
      <c r="AA1988" s="194"/>
      <c r="AB1988" s="194"/>
      <c r="AC1988" s="194"/>
    </row>
    <row r="1989" spans="1:29" ht="20.100000000000001" customHeight="1">
      <c r="A1989" s="187">
        <v>13</v>
      </c>
      <c r="B1989" s="185" t="s">
        <v>69</v>
      </c>
      <c r="C1989" s="326" t="s">
        <v>80</v>
      </c>
      <c r="D1989" s="326"/>
      <c r="E1989" s="176"/>
      <c r="F1989" s="144" t="s">
        <v>71</v>
      </c>
      <c r="G1989" s="203" t="s">
        <v>156</v>
      </c>
      <c r="H1989" s="202" t="s">
        <v>156</v>
      </c>
      <c r="I1989" s="202" t="s">
        <v>156</v>
      </c>
      <c r="J1989" s="202" t="s">
        <v>156</v>
      </c>
      <c r="K1989" s="202" t="s">
        <v>156</v>
      </c>
      <c r="L1989" s="202" t="s">
        <v>156</v>
      </c>
      <c r="M1989" s="93"/>
      <c r="O1989" s="195"/>
      <c r="P1989" s="196"/>
      <c r="Q1989" s="327"/>
      <c r="R1989" s="327"/>
      <c r="S1989" s="194"/>
      <c r="T1989" s="194"/>
      <c r="U1989" s="194"/>
      <c r="V1989" s="194"/>
      <c r="W1989" s="194"/>
      <c r="X1989" s="194"/>
      <c r="Y1989" s="194"/>
      <c r="Z1989" s="194"/>
      <c r="AA1989" s="194"/>
      <c r="AB1989" s="194"/>
      <c r="AC1989" s="194"/>
    </row>
    <row r="1990" spans="1:29" ht="20.100000000000001" customHeight="1">
      <c r="A1990" s="187">
        <v>14</v>
      </c>
      <c r="B1990" s="185" t="s">
        <v>69</v>
      </c>
      <c r="C1990" s="326" t="s">
        <v>91</v>
      </c>
      <c r="D1990" s="326"/>
      <c r="E1990" s="176"/>
      <c r="F1990" s="144" t="s">
        <v>71</v>
      </c>
      <c r="G1990" s="203" t="s">
        <v>156</v>
      </c>
      <c r="H1990" s="202" t="s">
        <v>156</v>
      </c>
      <c r="I1990" s="202" t="s">
        <v>156</v>
      </c>
      <c r="J1990" s="202" t="s">
        <v>156</v>
      </c>
      <c r="K1990" s="202" t="s">
        <v>156</v>
      </c>
      <c r="L1990" s="202" t="s">
        <v>156</v>
      </c>
      <c r="M1990" s="93"/>
      <c r="O1990" s="195"/>
      <c r="P1990" s="196"/>
      <c r="Q1990" s="327"/>
      <c r="R1990" s="327"/>
      <c r="S1990" s="194"/>
      <c r="T1990" s="194"/>
      <c r="U1990" s="194"/>
      <c r="V1990" s="194"/>
      <c r="W1990" s="194"/>
      <c r="X1990" s="194"/>
      <c r="Y1990" s="194"/>
      <c r="Z1990" s="194"/>
      <c r="AA1990" s="194"/>
      <c r="AB1990" s="194"/>
      <c r="AC1990" s="194"/>
    </row>
    <row r="1991" spans="1:29" ht="20.100000000000001" customHeight="1">
      <c r="A1991" s="187">
        <v>15</v>
      </c>
      <c r="B1991" s="185" t="s">
        <v>69</v>
      </c>
      <c r="C1991" s="326" t="s">
        <v>81</v>
      </c>
      <c r="D1991" s="326"/>
      <c r="E1991" s="176"/>
      <c r="F1991" s="144" t="s">
        <v>71</v>
      </c>
      <c r="G1991" s="203" t="s">
        <v>156</v>
      </c>
      <c r="H1991" s="202" t="s">
        <v>156</v>
      </c>
      <c r="I1991" s="202" t="s">
        <v>156</v>
      </c>
      <c r="J1991" s="202" t="s">
        <v>156</v>
      </c>
      <c r="K1991" s="202" t="s">
        <v>156</v>
      </c>
      <c r="L1991" s="202" t="s">
        <v>156</v>
      </c>
      <c r="M1991" s="93"/>
      <c r="O1991" s="195"/>
      <c r="P1991" s="196"/>
      <c r="Q1991" s="327"/>
      <c r="R1991" s="327"/>
      <c r="S1991" s="194"/>
      <c r="T1991" s="194"/>
      <c r="U1991" s="194"/>
      <c r="V1991" s="194"/>
      <c r="W1991" s="194"/>
      <c r="X1991" s="194"/>
      <c r="Y1991" s="194"/>
      <c r="Z1991" s="194"/>
      <c r="AA1991" s="194"/>
      <c r="AB1991" s="194"/>
      <c r="AC1991" s="194"/>
    </row>
    <row r="1992" spans="1:29" ht="20.100000000000001" customHeight="1">
      <c r="A1992" s="187">
        <v>16</v>
      </c>
      <c r="B1992" s="185" t="s">
        <v>69</v>
      </c>
      <c r="C1992" s="326" t="s">
        <v>101</v>
      </c>
      <c r="D1992" s="326"/>
      <c r="E1992" s="151"/>
      <c r="F1992" s="144" t="s">
        <v>71</v>
      </c>
      <c r="G1992" s="203" t="s">
        <v>156</v>
      </c>
      <c r="H1992" s="202" t="s">
        <v>156</v>
      </c>
      <c r="I1992" s="202" t="s">
        <v>156</v>
      </c>
      <c r="J1992" s="202" t="s">
        <v>156</v>
      </c>
      <c r="K1992" s="202" t="s">
        <v>156</v>
      </c>
      <c r="L1992" s="202" t="s">
        <v>156</v>
      </c>
      <c r="M1992" s="93"/>
      <c r="N1992" s="219"/>
      <c r="O1992" s="195"/>
      <c r="P1992" s="196"/>
      <c r="Q1992" s="327"/>
      <c r="R1992" s="327"/>
      <c r="S1992" s="197"/>
      <c r="T1992" s="197"/>
      <c r="U1992" s="197"/>
      <c r="V1992" s="197"/>
      <c r="W1992" s="197"/>
      <c r="X1992" s="197"/>
      <c r="Y1992" s="197"/>
      <c r="Z1992" s="197"/>
      <c r="AA1992" s="197"/>
      <c r="AB1992" s="197"/>
      <c r="AC1992" s="197"/>
    </row>
    <row r="1993" spans="1:29" ht="20.100000000000001" customHeight="1">
      <c r="A1993" s="187">
        <v>17</v>
      </c>
      <c r="B1993" s="186" t="s">
        <v>69</v>
      </c>
      <c r="C1993" s="326" t="s">
        <v>141</v>
      </c>
      <c r="D1993" s="326"/>
      <c r="E1993" s="151"/>
      <c r="F1993" s="144" t="s">
        <v>71</v>
      </c>
      <c r="G1993" s="203" t="s">
        <v>156</v>
      </c>
      <c r="H1993" s="202" t="s">
        <v>156</v>
      </c>
      <c r="I1993" s="202" t="s">
        <v>156</v>
      </c>
      <c r="J1993" s="202" t="s">
        <v>156</v>
      </c>
      <c r="K1993" s="202" t="s">
        <v>156</v>
      </c>
      <c r="L1993" s="202" t="s">
        <v>156</v>
      </c>
      <c r="M1993" s="93"/>
      <c r="N1993" s="219"/>
      <c r="O1993" s="195"/>
      <c r="P1993" s="104"/>
      <c r="Q1993" s="327"/>
      <c r="R1993" s="327"/>
      <c r="S1993" s="197"/>
      <c r="T1993" s="197"/>
      <c r="U1993" s="197"/>
      <c r="V1993" s="197"/>
      <c r="W1993" s="197"/>
      <c r="X1993" s="197"/>
      <c r="Y1993" s="197"/>
      <c r="Z1993" s="197"/>
      <c r="AA1993" s="197"/>
      <c r="AB1993" s="197"/>
      <c r="AC1993" s="197"/>
    </row>
    <row r="1994" spans="1:29" ht="20.100000000000001" customHeight="1">
      <c r="A1994" s="187">
        <v>18</v>
      </c>
      <c r="B1994" s="186" t="s">
        <v>69</v>
      </c>
      <c r="C1994" s="326" t="s">
        <v>142</v>
      </c>
      <c r="D1994" s="326"/>
      <c r="E1994" s="151"/>
      <c r="F1994" s="144" t="s">
        <v>71</v>
      </c>
      <c r="G1994" s="203" t="s">
        <v>156</v>
      </c>
      <c r="H1994" s="202" t="s">
        <v>156</v>
      </c>
      <c r="I1994" s="202" t="s">
        <v>156</v>
      </c>
      <c r="J1994" s="202" t="s">
        <v>156</v>
      </c>
      <c r="K1994" s="202" t="s">
        <v>156</v>
      </c>
      <c r="L1994" s="202" t="s">
        <v>156</v>
      </c>
      <c r="M1994" s="93"/>
      <c r="N1994" s="219"/>
      <c r="O1994" s="195"/>
      <c r="P1994" s="104"/>
      <c r="Q1994" s="327"/>
      <c r="R1994" s="327"/>
      <c r="S1994" s="197"/>
      <c r="T1994" s="197"/>
      <c r="U1994" s="197"/>
      <c r="V1994" s="197"/>
      <c r="W1994" s="197"/>
      <c r="X1994" s="197"/>
      <c r="Y1994" s="197"/>
      <c r="Z1994" s="197"/>
      <c r="AA1994" s="197"/>
      <c r="AB1994" s="197"/>
      <c r="AC1994" s="197"/>
    </row>
    <row r="1995" spans="1:29" ht="20.100000000000001" customHeight="1">
      <c r="A1995" s="187">
        <v>19</v>
      </c>
      <c r="B1995" s="186" t="s">
        <v>69</v>
      </c>
      <c r="C1995" s="326" t="s">
        <v>143</v>
      </c>
      <c r="D1995" s="326"/>
      <c r="E1995" s="151"/>
      <c r="F1995" s="144" t="s">
        <v>71</v>
      </c>
      <c r="G1995" s="203" t="s">
        <v>156</v>
      </c>
      <c r="H1995" s="202" t="s">
        <v>156</v>
      </c>
      <c r="I1995" s="202" t="s">
        <v>156</v>
      </c>
      <c r="J1995" s="202" t="s">
        <v>156</v>
      </c>
      <c r="K1995" s="202" t="s">
        <v>156</v>
      </c>
      <c r="L1995" s="202" t="s">
        <v>156</v>
      </c>
      <c r="M1995" s="93"/>
      <c r="N1995" s="219"/>
      <c r="O1995" s="195"/>
      <c r="P1995" s="104"/>
      <c r="Q1995" s="327"/>
      <c r="R1995" s="327"/>
      <c r="S1995" s="197"/>
      <c r="T1995" s="197"/>
      <c r="U1995" s="197"/>
      <c r="V1995" s="197"/>
      <c r="W1995" s="197"/>
      <c r="X1995" s="197"/>
      <c r="Y1995" s="197"/>
      <c r="Z1995" s="197"/>
      <c r="AA1995" s="197"/>
      <c r="AB1995" s="197"/>
      <c r="AC1995" s="197"/>
    </row>
    <row r="1996" spans="1:29" ht="20.100000000000001" customHeight="1">
      <c r="A1996" s="187">
        <v>20</v>
      </c>
      <c r="B1996" s="186" t="s">
        <v>69</v>
      </c>
      <c r="C1996" s="326" t="s">
        <v>102</v>
      </c>
      <c r="D1996" s="326"/>
      <c r="E1996" s="150"/>
      <c r="F1996" s="154" t="s">
        <v>71</v>
      </c>
      <c r="G1996" s="203" t="s">
        <v>156</v>
      </c>
      <c r="H1996" s="202" t="s">
        <v>156</v>
      </c>
      <c r="I1996" s="202" t="s">
        <v>156</v>
      </c>
      <c r="J1996" s="202" t="s">
        <v>156</v>
      </c>
      <c r="K1996" s="202" t="s">
        <v>156</v>
      </c>
      <c r="L1996" s="202" t="s">
        <v>156</v>
      </c>
      <c r="M1996" s="93"/>
      <c r="N1996" s="219"/>
      <c r="O1996" s="195"/>
      <c r="P1996" s="104"/>
      <c r="Q1996" s="327"/>
      <c r="R1996" s="327"/>
      <c r="S1996" s="197"/>
      <c r="T1996" s="197"/>
      <c r="U1996" s="197"/>
      <c r="V1996" s="197"/>
      <c r="W1996" s="197"/>
      <c r="X1996" s="197"/>
      <c r="Y1996" s="197"/>
      <c r="Z1996" s="197"/>
      <c r="AA1996" s="197"/>
      <c r="AB1996" s="197"/>
      <c r="AC1996" s="197"/>
    </row>
    <row r="1997" spans="1:29" ht="24.75" customHeight="1">
      <c r="A1997" s="190" t="s">
        <v>128</v>
      </c>
      <c r="B1997" s="142"/>
      <c r="C1997" s="330" t="s">
        <v>130</v>
      </c>
      <c r="D1997" s="330"/>
      <c r="E1997" s="330"/>
      <c r="F1997" s="330"/>
      <c r="G1997" s="330"/>
      <c r="H1997" s="330"/>
      <c r="I1997" s="330"/>
      <c r="J1997" s="330"/>
      <c r="K1997" s="330"/>
      <c r="L1997" s="330"/>
      <c r="M1997" s="93"/>
      <c r="O1997" s="156"/>
      <c r="P1997" s="142"/>
      <c r="Q1997" s="331"/>
      <c r="R1997" s="331"/>
      <c r="S1997" s="331"/>
      <c r="T1997" s="331"/>
      <c r="U1997" s="331"/>
      <c r="V1997" s="331"/>
      <c r="W1997" s="331"/>
      <c r="X1997" s="331"/>
      <c r="Y1997" s="331"/>
      <c r="Z1997" s="331"/>
      <c r="AA1997" s="331"/>
      <c r="AB1997" s="331"/>
      <c r="AC1997" s="331"/>
    </row>
    <row r="1998" spans="1:29" ht="33" customHeight="1">
      <c r="A1998" s="189">
        <v>21</v>
      </c>
      <c r="B1998" s="188" t="s">
        <v>69</v>
      </c>
      <c r="C1998" s="307" t="s">
        <v>82</v>
      </c>
      <c r="D1998" s="308"/>
      <c r="E1998" s="182"/>
      <c r="F1998" s="191" t="s">
        <v>71</v>
      </c>
      <c r="G1998" s="201">
        <v>58</v>
      </c>
      <c r="H1998" s="201">
        <v>40</v>
      </c>
      <c r="I1998" s="201">
        <v>21</v>
      </c>
      <c r="J1998" s="201">
        <v>58</v>
      </c>
      <c r="K1998" s="201">
        <v>40</v>
      </c>
      <c r="L1998" s="201">
        <v>21</v>
      </c>
      <c r="M1998" s="89"/>
      <c r="N1998" s="219"/>
      <c r="O1998" s="199"/>
      <c r="P1998" s="200"/>
      <c r="Q1998" s="309"/>
      <c r="R1998" s="309"/>
      <c r="S1998" s="86"/>
      <c r="T1998" s="86"/>
      <c r="U1998" s="86"/>
      <c r="V1998" s="86"/>
      <c r="W1998" s="86"/>
      <c r="X1998" s="86"/>
      <c r="Y1998" s="86"/>
      <c r="Z1998" s="86"/>
      <c r="AA1998" s="86"/>
      <c r="AB1998" s="86"/>
      <c r="AC1998" s="86"/>
    </row>
    <row r="1999" spans="1:29" ht="33" customHeight="1">
      <c r="A1999" s="189">
        <v>22</v>
      </c>
      <c r="B1999" s="188" t="s">
        <v>69</v>
      </c>
      <c r="C1999" s="307" t="s">
        <v>103</v>
      </c>
      <c r="D1999" s="308"/>
      <c r="E1999" s="179"/>
      <c r="F1999" s="191" t="s">
        <v>71</v>
      </c>
      <c r="G1999" s="201">
        <v>9</v>
      </c>
      <c r="H1999" s="201">
        <v>9</v>
      </c>
      <c r="I1999" s="201">
        <v>7</v>
      </c>
      <c r="J1999" s="201">
        <v>9</v>
      </c>
      <c r="K1999" s="201">
        <v>9</v>
      </c>
      <c r="L1999" s="201">
        <v>7</v>
      </c>
      <c r="M1999" s="89"/>
      <c r="N1999" s="219"/>
      <c r="O1999" s="199"/>
      <c r="P1999" s="200"/>
      <c r="Q1999" s="309"/>
      <c r="R1999" s="309"/>
      <c r="S1999" s="86"/>
      <c r="T1999" s="86"/>
      <c r="U1999" s="86"/>
      <c r="V1999" s="86"/>
      <c r="W1999" s="86"/>
      <c r="X1999" s="86"/>
      <c r="Y1999" s="86"/>
      <c r="Z1999" s="86"/>
      <c r="AA1999" s="86"/>
      <c r="AB1999" s="86"/>
      <c r="AC1999" s="86"/>
    </row>
    <row r="2000" spans="1:29" ht="33" customHeight="1">
      <c r="A2000" s="189">
        <v>23</v>
      </c>
      <c r="B2000" s="188" t="s">
        <v>69</v>
      </c>
      <c r="C2000" s="307" t="s">
        <v>104</v>
      </c>
      <c r="D2000" s="308"/>
      <c r="E2000" s="179"/>
      <c r="F2000" s="191" t="s">
        <v>71</v>
      </c>
      <c r="G2000" s="201">
        <v>5</v>
      </c>
      <c r="H2000" s="201">
        <v>1</v>
      </c>
      <c r="I2000" s="201">
        <v>1</v>
      </c>
      <c r="J2000" s="201">
        <v>5</v>
      </c>
      <c r="K2000" s="201">
        <v>1</v>
      </c>
      <c r="L2000" s="201">
        <v>1</v>
      </c>
      <c r="M2000" s="89"/>
      <c r="N2000" s="219"/>
      <c r="O2000" s="199"/>
      <c r="P2000" s="200"/>
      <c r="Q2000" s="309"/>
      <c r="R2000" s="309"/>
      <c r="S2000" s="86"/>
      <c r="T2000" s="86"/>
      <c r="U2000" s="86"/>
      <c r="V2000" s="86"/>
      <c r="W2000" s="86"/>
      <c r="X2000" s="86"/>
      <c r="Y2000" s="86"/>
      <c r="Z2000" s="86"/>
      <c r="AA2000" s="86"/>
      <c r="AB2000" s="86"/>
      <c r="AC2000" s="86"/>
    </row>
    <row r="2001" spans="1:29" ht="27.75" customHeight="1">
      <c r="A2001" s="317" t="s">
        <v>135</v>
      </c>
      <c r="B2001" s="318"/>
      <c r="C2001" s="317" t="s">
        <v>68</v>
      </c>
      <c r="D2001" s="318"/>
      <c r="E2001" s="183"/>
      <c r="F2001" s="321" t="s">
        <v>136</v>
      </c>
      <c r="G2001" s="322" t="s">
        <v>155</v>
      </c>
      <c r="H2001" s="323"/>
      <c r="I2001" s="323"/>
      <c r="J2001" s="322" t="s">
        <v>154</v>
      </c>
      <c r="K2001" s="323"/>
      <c r="L2001" s="324"/>
      <c r="M2001" s="92"/>
      <c r="O2001" s="325"/>
      <c r="P2001" s="325"/>
      <c r="Q2001" s="325"/>
      <c r="R2001" s="325"/>
      <c r="S2001" s="316"/>
      <c r="T2001" s="316"/>
      <c r="U2001" s="316"/>
      <c r="V2001" s="316"/>
      <c r="W2001" s="316"/>
      <c r="X2001" s="316"/>
      <c r="Y2001" s="316"/>
      <c r="Z2001" s="316"/>
      <c r="AA2001" s="316"/>
      <c r="AB2001" s="316"/>
      <c r="AC2001" s="316"/>
    </row>
    <row r="2002" spans="1:29" ht="125.25" customHeight="1">
      <c r="A2002" s="319"/>
      <c r="B2002" s="320"/>
      <c r="C2002" s="319"/>
      <c r="D2002" s="320"/>
      <c r="E2002" s="184"/>
      <c r="F2002" s="321"/>
      <c r="G2002" s="153" t="s">
        <v>151</v>
      </c>
      <c r="H2002" s="153" t="s">
        <v>152</v>
      </c>
      <c r="I2002" s="153" t="s">
        <v>153</v>
      </c>
      <c r="J2002" s="153" t="s">
        <v>151</v>
      </c>
      <c r="K2002" s="153" t="s">
        <v>152</v>
      </c>
      <c r="L2002" s="153" t="s">
        <v>153</v>
      </c>
      <c r="O2002" s="325"/>
      <c r="P2002" s="325"/>
      <c r="Q2002" s="325"/>
      <c r="R2002" s="325"/>
      <c r="S2002" s="193"/>
      <c r="T2002" s="193"/>
      <c r="U2002" s="193"/>
      <c r="V2002" s="193"/>
      <c r="W2002" s="193"/>
      <c r="X2002" s="193"/>
      <c r="Y2002" s="193"/>
      <c r="Z2002" s="193"/>
      <c r="AA2002" s="193"/>
      <c r="AB2002" s="193"/>
      <c r="AC2002" s="193"/>
    </row>
    <row r="2003" spans="1:29" ht="30" customHeight="1">
      <c r="A2003" s="189">
        <v>24</v>
      </c>
      <c r="B2003" s="188" t="s">
        <v>69</v>
      </c>
      <c r="C2003" s="307" t="s">
        <v>131</v>
      </c>
      <c r="D2003" s="308"/>
      <c r="E2003" s="179"/>
      <c r="F2003" s="191" t="s">
        <v>71</v>
      </c>
      <c r="G2003" s="202" t="s">
        <v>156</v>
      </c>
      <c r="H2003" s="202" t="s">
        <v>156</v>
      </c>
      <c r="I2003" s="202" t="s">
        <v>156</v>
      </c>
      <c r="J2003" s="202" t="s">
        <v>156</v>
      </c>
      <c r="K2003" s="202" t="s">
        <v>156</v>
      </c>
      <c r="L2003" s="202" t="s">
        <v>156</v>
      </c>
      <c r="M2003" s="89"/>
      <c r="N2003" s="219"/>
      <c r="O2003" s="199"/>
      <c r="P2003" s="200"/>
      <c r="Q2003" s="309"/>
      <c r="R2003" s="309"/>
      <c r="S2003" s="86"/>
      <c r="T2003" s="86"/>
      <c r="U2003" s="86"/>
      <c r="V2003" s="86"/>
      <c r="W2003" s="86"/>
      <c r="X2003" s="86"/>
      <c r="Y2003" s="86"/>
      <c r="Z2003" s="86"/>
      <c r="AA2003" s="86"/>
      <c r="AB2003" s="86"/>
      <c r="AC2003" s="86"/>
    </row>
    <row r="2004" spans="1:29" ht="30" customHeight="1">
      <c r="A2004" s="189">
        <v>25</v>
      </c>
      <c r="B2004" s="188" t="s">
        <v>69</v>
      </c>
      <c r="C2004" s="307" t="s">
        <v>83</v>
      </c>
      <c r="D2004" s="308"/>
      <c r="E2004" s="179"/>
      <c r="F2004" s="191" t="s">
        <v>71</v>
      </c>
      <c r="G2004" s="201">
        <v>25</v>
      </c>
      <c r="H2004" s="201">
        <v>40</v>
      </c>
      <c r="I2004" s="201">
        <v>22</v>
      </c>
      <c r="J2004" s="201">
        <v>25</v>
      </c>
      <c r="K2004" s="201">
        <v>40</v>
      </c>
      <c r="L2004" s="201">
        <v>22</v>
      </c>
      <c r="M2004" s="89"/>
      <c r="N2004" s="219"/>
      <c r="O2004" s="199"/>
      <c r="P2004" s="200"/>
      <c r="Q2004" s="309"/>
      <c r="R2004" s="309"/>
      <c r="S2004" s="86"/>
      <c r="T2004" s="86"/>
      <c r="U2004" s="86"/>
      <c r="V2004" s="86"/>
      <c r="W2004" s="86"/>
      <c r="X2004" s="86"/>
      <c r="Y2004" s="86"/>
      <c r="Z2004" s="86"/>
      <c r="AA2004" s="86"/>
      <c r="AB2004" s="86"/>
      <c r="AC2004" s="86"/>
    </row>
    <row r="2005" spans="1:29" ht="30" customHeight="1">
      <c r="A2005" s="189">
        <v>26</v>
      </c>
      <c r="B2005" s="188" t="s">
        <v>69</v>
      </c>
      <c r="C2005" s="307" t="s">
        <v>84</v>
      </c>
      <c r="D2005" s="308"/>
      <c r="E2005" s="179"/>
      <c r="F2005" s="191" t="s">
        <v>71</v>
      </c>
      <c r="G2005" s="201">
        <v>5</v>
      </c>
      <c r="H2005" s="202" t="s">
        <v>156</v>
      </c>
      <c r="I2005" s="202" t="s">
        <v>156</v>
      </c>
      <c r="J2005" s="201">
        <v>5</v>
      </c>
      <c r="K2005" s="202" t="s">
        <v>156</v>
      </c>
      <c r="L2005" s="202" t="s">
        <v>156</v>
      </c>
      <c r="M2005" s="89"/>
      <c r="N2005" s="219"/>
      <c r="O2005" s="199"/>
      <c r="P2005" s="200"/>
      <c r="Q2005" s="309"/>
      <c r="R2005" s="309"/>
      <c r="S2005" s="86"/>
      <c r="T2005" s="86"/>
      <c r="U2005" s="86"/>
      <c r="V2005" s="86"/>
      <c r="W2005" s="86"/>
      <c r="X2005" s="86"/>
      <c r="Y2005" s="86"/>
      <c r="Z2005" s="86"/>
      <c r="AA2005" s="86"/>
      <c r="AB2005" s="86"/>
      <c r="AC2005" s="86"/>
    </row>
    <row r="2006" spans="1:29" ht="30" customHeight="1">
      <c r="A2006" s="189">
        <v>27</v>
      </c>
      <c r="B2006" s="188" t="s">
        <v>69</v>
      </c>
      <c r="C2006" s="307" t="s">
        <v>85</v>
      </c>
      <c r="D2006" s="308"/>
      <c r="E2006" s="179"/>
      <c r="F2006" s="191" t="s">
        <v>71</v>
      </c>
      <c r="G2006" s="201">
        <v>3</v>
      </c>
      <c r="H2006" s="201">
        <v>1</v>
      </c>
      <c r="I2006" s="201">
        <v>8</v>
      </c>
      <c r="J2006" s="201">
        <v>3</v>
      </c>
      <c r="K2006" s="201">
        <v>1</v>
      </c>
      <c r="L2006" s="201">
        <v>8</v>
      </c>
      <c r="M2006" s="89"/>
      <c r="N2006" s="219"/>
      <c r="O2006" s="199"/>
      <c r="P2006" s="200"/>
      <c r="Q2006" s="309"/>
      <c r="R2006" s="309"/>
      <c r="S2006" s="86"/>
      <c r="T2006" s="86"/>
      <c r="U2006" s="86"/>
      <c r="V2006" s="86"/>
      <c r="W2006" s="86"/>
      <c r="X2006" s="86"/>
      <c r="Y2006" s="86"/>
      <c r="Z2006" s="86"/>
      <c r="AA2006" s="86"/>
      <c r="AB2006" s="86"/>
      <c r="AC2006" s="86"/>
    </row>
    <row r="2007" spans="1:29" ht="30" customHeight="1">
      <c r="A2007" s="189">
        <v>28</v>
      </c>
      <c r="B2007" s="188" t="s">
        <v>69</v>
      </c>
      <c r="C2007" s="307" t="s">
        <v>132</v>
      </c>
      <c r="D2007" s="308"/>
      <c r="E2007" s="179"/>
      <c r="F2007" s="191" t="s">
        <v>71</v>
      </c>
      <c r="G2007" s="202" t="s">
        <v>156</v>
      </c>
      <c r="H2007" s="202" t="s">
        <v>156</v>
      </c>
      <c r="I2007" s="202" t="s">
        <v>156</v>
      </c>
      <c r="J2007" s="202" t="s">
        <v>156</v>
      </c>
      <c r="K2007" s="202" t="s">
        <v>156</v>
      </c>
      <c r="L2007" s="202" t="s">
        <v>156</v>
      </c>
      <c r="M2007" s="89"/>
      <c r="N2007" s="219"/>
      <c r="O2007" s="199"/>
      <c r="P2007" s="200"/>
      <c r="Q2007" s="309"/>
      <c r="R2007" s="309"/>
      <c r="S2007" s="86"/>
      <c r="T2007" s="86"/>
      <c r="U2007" s="86"/>
      <c r="V2007" s="86"/>
      <c r="W2007" s="86"/>
      <c r="X2007" s="86"/>
      <c r="Y2007" s="86"/>
      <c r="Z2007" s="86"/>
      <c r="AA2007" s="86"/>
      <c r="AB2007" s="86"/>
      <c r="AC2007" s="86"/>
    </row>
    <row r="2008" spans="1:29" ht="30" customHeight="1">
      <c r="A2008" s="189">
        <v>29</v>
      </c>
      <c r="B2008" s="188" t="s">
        <v>69</v>
      </c>
      <c r="C2008" s="307" t="s">
        <v>86</v>
      </c>
      <c r="D2008" s="308"/>
      <c r="E2008" s="179"/>
      <c r="F2008" s="191" t="s">
        <v>71</v>
      </c>
      <c r="G2008" s="201">
        <v>10</v>
      </c>
      <c r="H2008" s="201">
        <v>12</v>
      </c>
      <c r="I2008" s="201">
        <v>9</v>
      </c>
      <c r="J2008" s="201">
        <v>10</v>
      </c>
      <c r="K2008" s="201">
        <v>12</v>
      </c>
      <c r="L2008" s="201">
        <v>9</v>
      </c>
      <c r="M2008" s="89"/>
      <c r="N2008" s="219"/>
      <c r="O2008" s="199"/>
      <c r="P2008" s="200"/>
      <c r="Q2008" s="309"/>
      <c r="R2008" s="309"/>
      <c r="S2008" s="86"/>
      <c r="T2008" s="86"/>
      <c r="U2008" s="86"/>
      <c r="V2008" s="86"/>
      <c r="W2008" s="86"/>
      <c r="X2008" s="86"/>
      <c r="Y2008" s="86"/>
      <c r="Z2008" s="86"/>
      <c r="AA2008" s="86"/>
      <c r="AB2008" s="86"/>
      <c r="AC2008" s="86"/>
    </row>
    <row r="2009" spans="1:29" ht="30" customHeight="1">
      <c r="A2009" s="189">
        <v>30</v>
      </c>
      <c r="B2009" s="188" t="s">
        <v>69</v>
      </c>
      <c r="C2009" s="307" t="s">
        <v>87</v>
      </c>
      <c r="D2009" s="308"/>
      <c r="E2009" s="179"/>
      <c r="F2009" s="191" t="s">
        <v>71</v>
      </c>
      <c r="G2009" s="202" t="s">
        <v>156</v>
      </c>
      <c r="H2009" s="202" t="s">
        <v>156</v>
      </c>
      <c r="I2009" s="202" t="s">
        <v>156</v>
      </c>
      <c r="J2009" s="202" t="s">
        <v>156</v>
      </c>
      <c r="K2009" s="202" t="s">
        <v>156</v>
      </c>
      <c r="L2009" s="202" t="s">
        <v>156</v>
      </c>
      <c r="M2009" s="89"/>
      <c r="N2009" s="219"/>
      <c r="O2009" s="199"/>
      <c r="P2009" s="200"/>
      <c r="Q2009" s="309"/>
      <c r="R2009" s="309"/>
      <c r="S2009" s="86"/>
      <c r="T2009" s="86"/>
      <c r="U2009" s="86"/>
      <c r="V2009" s="86"/>
      <c r="W2009" s="86"/>
      <c r="X2009" s="86"/>
      <c r="Y2009" s="86"/>
      <c r="Z2009" s="86"/>
      <c r="AA2009" s="86"/>
      <c r="AB2009" s="86"/>
      <c r="AC2009" s="86"/>
    </row>
    <row r="2010" spans="1:29" ht="30" customHeight="1">
      <c r="A2010" s="189">
        <v>31</v>
      </c>
      <c r="B2010" s="188" t="s">
        <v>69</v>
      </c>
      <c r="C2010" s="307" t="s">
        <v>105</v>
      </c>
      <c r="D2010" s="308"/>
      <c r="E2010" s="179"/>
      <c r="F2010" s="191" t="s">
        <v>71</v>
      </c>
      <c r="G2010" s="201">
        <v>2</v>
      </c>
      <c r="H2010" s="203" t="s">
        <v>156</v>
      </c>
      <c r="I2010" s="201">
        <v>8</v>
      </c>
      <c r="J2010" s="201">
        <v>2</v>
      </c>
      <c r="K2010" s="203" t="s">
        <v>156</v>
      </c>
      <c r="L2010" s="201">
        <v>8</v>
      </c>
      <c r="M2010" s="89"/>
      <c r="N2010" s="219"/>
      <c r="O2010" s="199"/>
      <c r="P2010" s="200"/>
      <c r="Q2010" s="309"/>
      <c r="R2010" s="309"/>
      <c r="S2010" s="86"/>
      <c r="T2010" s="86"/>
      <c r="U2010" s="86"/>
      <c r="V2010" s="86"/>
      <c r="W2010" s="86"/>
      <c r="X2010" s="86"/>
      <c r="Y2010" s="86"/>
      <c r="Z2010" s="86"/>
      <c r="AA2010" s="86"/>
      <c r="AB2010" s="86"/>
      <c r="AC2010" s="86"/>
    </row>
    <row r="2011" spans="1:29" ht="30" customHeight="1">
      <c r="A2011" s="189">
        <v>32</v>
      </c>
      <c r="B2011" s="188" t="s">
        <v>69</v>
      </c>
      <c r="C2011" s="307" t="s">
        <v>133</v>
      </c>
      <c r="D2011" s="308"/>
      <c r="E2011" s="179"/>
      <c r="F2011" s="191" t="s">
        <v>71</v>
      </c>
      <c r="G2011" s="202" t="s">
        <v>156</v>
      </c>
      <c r="H2011" s="202" t="s">
        <v>156</v>
      </c>
      <c r="I2011" s="202" t="s">
        <v>156</v>
      </c>
      <c r="J2011" s="202" t="s">
        <v>156</v>
      </c>
      <c r="K2011" s="202" t="s">
        <v>156</v>
      </c>
      <c r="L2011" s="202" t="s">
        <v>156</v>
      </c>
      <c r="M2011" s="89"/>
      <c r="N2011" s="219"/>
      <c r="O2011" s="199"/>
      <c r="P2011" s="200"/>
      <c r="Q2011" s="309"/>
      <c r="R2011" s="309"/>
      <c r="S2011" s="86"/>
      <c r="T2011" s="86"/>
      <c r="U2011" s="86"/>
      <c r="V2011" s="86"/>
      <c r="W2011" s="86"/>
      <c r="X2011" s="86"/>
      <c r="Y2011" s="86"/>
      <c r="Z2011" s="86"/>
      <c r="AA2011" s="86"/>
      <c r="AB2011" s="86"/>
      <c r="AC2011" s="86"/>
    </row>
    <row r="2012" spans="1:29" ht="30" customHeight="1">
      <c r="A2012" s="189">
        <v>33</v>
      </c>
      <c r="B2012" s="188" t="s">
        <v>69</v>
      </c>
      <c r="C2012" s="307" t="s">
        <v>88</v>
      </c>
      <c r="D2012" s="308"/>
      <c r="E2012" s="179"/>
      <c r="F2012" s="191" t="s">
        <v>71</v>
      </c>
      <c r="G2012" s="201">
        <v>3</v>
      </c>
      <c r="H2012" s="201">
        <v>7</v>
      </c>
      <c r="I2012" s="201">
        <v>7</v>
      </c>
      <c r="J2012" s="201">
        <v>3</v>
      </c>
      <c r="K2012" s="201">
        <v>7</v>
      </c>
      <c r="L2012" s="201">
        <v>7</v>
      </c>
      <c r="M2012" s="89"/>
      <c r="N2012" s="219"/>
      <c r="O2012" s="199"/>
      <c r="P2012" s="200"/>
      <c r="Q2012" s="309"/>
      <c r="R2012" s="309"/>
      <c r="S2012" s="86"/>
      <c r="T2012" s="86"/>
      <c r="U2012" s="86"/>
      <c r="V2012" s="86"/>
      <c r="W2012" s="86"/>
      <c r="X2012" s="86"/>
      <c r="Y2012" s="86"/>
      <c r="Z2012" s="86"/>
      <c r="AA2012" s="86"/>
      <c r="AB2012" s="86"/>
      <c r="AC2012" s="86"/>
    </row>
    <row r="2013" spans="1:29" ht="30" customHeight="1">
      <c r="A2013" s="189">
        <v>34</v>
      </c>
      <c r="B2013" s="188" t="s">
        <v>69</v>
      </c>
      <c r="C2013" s="307" t="s">
        <v>89</v>
      </c>
      <c r="D2013" s="308"/>
      <c r="E2013" s="179"/>
      <c r="F2013" s="191" t="s">
        <v>71</v>
      </c>
      <c r="G2013" s="202" t="s">
        <v>156</v>
      </c>
      <c r="H2013" s="202" t="s">
        <v>156</v>
      </c>
      <c r="I2013" s="202" t="s">
        <v>156</v>
      </c>
      <c r="J2013" s="202" t="s">
        <v>156</v>
      </c>
      <c r="K2013" s="202" t="s">
        <v>156</v>
      </c>
      <c r="L2013" s="202" t="s">
        <v>156</v>
      </c>
      <c r="M2013" s="89"/>
      <c r="N2013" s="219"/>
      <c r="O2013" s="199"/>
      <c r="P2013" s="200"/>
      <c r="Q2013" s="309"/>
      <c r="R2013" s="309"/>
      <c r="S2013" s="86"/>
      <c r="T2013" s="86"/>
      <c r="U2013" s="86"/>
      <c r="V2013" s="86"/>
      <c r="W2013" s="86"/>
      <c r="X2013" s="86"/>
      <c r="Y2013" s="86"/>
      <c r="Z2013" s="86"/>
      <c r="AA2013" s="86"/>
      <c r="AB2013" s="86"/>
      <c r="AC2013" s="86"/>
    </row>
    <row r="2014" spans="1:29" ht="30" customHeight="1">
      <c r="A2014" s="189">
        <v>35</v>
      </c>
      <c r="B2014" s="188" t="s">
        <v>69</v>
      </c>
      <c r="C2014" s="307" t="s">
        <v>140</v>
      </c>
      <c r="D2014" s="308"/>
      <c r="E2014" s="179"/>
      <c r="F2014" s="191" t="s">
        <v>71</v>
      </c>
      <c r="G2014" s="202" t="s">
        <v>156</v>
      </c>
      <c r="H2014" s="202" t="s">
        <v>156</v>
      </c>
      <c r="I2014" s="201">
        <v>3</v>
      </c>
      <c r="J2014" s="202" t="s">
        <v>156</v>
      </c>
      <c r="K2014" s="202" t="s">
        <v>156</v>
      </c>
      <c r="L2014" s="201">
        <v>3</v>
      </c>
      <c r="M2014" s="89"/>
      <c r="N2014" s="220"/>
      <c r="O2014" s="199"/>
      <c r="P2014" s="200"/>
      <c r="Q2014" s="309"/>
      <c r="R2014" s="309"/>
      <c r="S2014" s="86"/>
      <c r="T2014" s="86"/>
      <c r="U2014" s="86"/>
      <c r="V2014" s="86"/>
      <c r="W2014" s="86"/>
      <c r="X2014" s="86"/>
      <c r="Y2014" s="86"/>
      <c r="Z2014" s="86"/>
      <c r="AA2014" s="86"/>
      <c r="AB2014" s="86"/>
      <c r="AC2014" s="86"/>
    </row>
    <row r="2015" spans="1:29" ht="30" customHeight="1">
      <c r="A2015" s="189">
        <v>36</v>
      </c>
      <c r="B2015" s="188" t="s">
        <v>69</v>
      </c>
      <c r="C2015" s="307" t="s">
        <v>134</v>
      </c>
      <c r="D2015" s="308"/>
      <c r="E2015" s="179"/>
      <c r="F2015" s="191" t="s">
        <v>71</v>
      </c>
      <c r="G2015" s="202" t="s">
        <v>156</v>
      </c>
      <c r="H2015" s="202" t="s">
        <v>156</v>
      </c>
      <c r="I2015" s="202" t="s">
        <v>156</v>
      </c>
      <c r="J2015" s="202" t="s">
        <v>156</v>
      </c>
      <c r="K2015" s="202" t="s">
        <v>156</v>
      </c>
      <c r="L2015" s="202" t="s">
        <v>156</v>
      </c>
      <c r="M2015" s="89"/>
      <c r="N2015" s="220"/>
      <c r="O2015" s="199"/>
      <c r="P2015" s="200"/>
      <c r="Q2015" s="309"/>
      <c r="R2015" s="309"/>
      <c r="S2015" s="86"/>
      <c r="T2015" s="86"/>
      <c r="U2015" s="86"/>
      <c r="V2015" s="86"/>
      <c r="W2015" s="86"/>
      <c r="X2015" s="86"/>
      <c r="Y2015" s="86"/>
      <c r="Z2015" s="86"/>
      <c r="AA2015" s="86"/>
      <c r="AB2015" s="86"/>
      <c r="AC2015" s="86"/>
    </row>
    <row r="2016" spans="1:29" ht="30" customHeight="1">
      <c r="A2016" s="189">
        <v>37</v>
      </c>
      <c r="B2016" s="188" t="s">
        <v>69</v>
      </c>
      <c r="C2016" s="307" t="s">
        <v>90</v>
      </c>
      <c r="D2016" s="308"/>
      <c r="E2016" s="179"/>
      <c r="F2016" s="191" t="s">
        <v>71</v>
      </c>
      <c r="G2016" s="202" t="s">
        <v>156</v>
      </c>
      <c r="H2016" s="202" t="s">
        <v>156</v>
      </c>
      <c r="I2016" s="202" t="s">
        <v>156</v>
      </c>
      <c r="J2016" s="202" t="s">
        <v>156</v>
      </c>
      <c r="K2016" s="202" t="s">
        <v>156</v>
      </c>
      <c r="L2016" s="202" t="s">
        <v>156</v>
      </c>
      <c r="M2016" s="89"/>
      <c r="N2016" s="220"/>
      <c r="O2016" s="199"/>
      <c r="P2016" s="200"/>
      <c r="Q2016" s="309"/>
      <c r="R2016" s="309"/>
      <c r="S2016" s="86"/>
      <c r="T2016" s="86"/>
      <c r="U2016" s="86"/>
      <c r="V2016" s="86"/>
      <c r="W2016" s="86"/>
      <c r="X2016" s="86"/>
      <c r="Y2016" s="86"/>
      <c r="Z2016" s="86"/>
      <c r="AA2016" s="86"/>
      <c r="AB2016" s="86"/>
      <c r="AC2016" s="86"/>
    </row>
    <row r="2017" spans="1:29" ht="30" customHeight="1">
      <c r="A2017" s="189">
        <v>38</v>
      </c>
      <c r="B2017" s="188" t="s">
        <v>69</v>
      </c>
      <c r="C2017" s="307" t="s">
        <v>106</v>
      </c>
      <c r="D2017" s="308"/>
      <c r="E2017" s="150"/>
      <c r="F2017" s="191" t="s">
        <v>71</v>
      </c>
      <c r="G2017" s="202" t="s">
        <v>156</v>
      </c>
      <c r="H2017" s="202" t="s">
        <v>156</v>
      </c>
      <c r="I2017" s="202" t="s">
        <v>156</v>
      </c>
      <c r="J2017" s="202" t="s">
        <v>156</v>
      </c>
      <c r="K2017" s="202" t="s">
        <v>156</v>
      </c>
      <c r="L2017" s="202" t="s">
        <v>156</v>
      </c>
      <c r="M2017" s="89"/>
      <c r="N2017" s="220"/>
      <c r="O2017" s="199"/>
      <c r="P2017" s="200"/>
      <c r="Q2017" s="309"/>
      <c r="R2017" s="309"/>
      <c r="S2017" s="86"/>
      <c r="T2017" s="86"/>
      <c r="U2017" s="86"/>
      <c r="V2017" s="86"/>
      <c r="W2017" s="86"/>
      <c r="X2017" s="86"/>
      <c r="Y2017" s="86"/>
      <c r="Z2017" s="86"/>
      <c r="AA2017" s="86"/>
      <c r="AB2017" s="86"/>
      <c r="AC2017" s="86"/>
    </row>
    <row r="2018" spans="1:29" ht="25.5" customHeight="1">
      <c r="A2018" s="310" t="s">
        <v>92</v>
      </c>
      <c r="B2018" s="310"/>
      <c r="C2018" s="310"/>
      <c r="D2018" s="310"/>
      <c r="E2018" s="310"/>
      <c r="F2018" s="310"/>
      <c r="G2018" s="310"/>
      <c r="H2018" s="310"/>
      <c r="I2018" s="310"/>
      <c r="J2018" s="310"/>
      <c r="K2018" s="310"/>
      <c r="L2018" s="310"/>
      <c r="M2018" s="92"/>
    </row>
    <row r="2019" spans="1:29" ht="19.5" customHeight="1">
      <c r="A2019" s="139"/>
      <c r="B2019" s="139"/>
      <c r="C2019" s="140"/>
      <c r="D2019" s="140" t="s">
        <v>145</v>
      </c>
      <c r="E2019" s="140"/>
      <c r="F2019" s="152" t="s">
        <v>54</v>
      </c>
      <c r="G2019" s="152"/>
      <c r="H2019" s="152"/>
      <c r="I2019" s="152"/>
      <c r="J2019" s="152" t="s">
        <v>144</v>
      </c>
      <c r="K2019" s="152"/>
      <c r="L2019" s="140"/>
      <c r="M2019" s="94"/>
    </row>
    <row r="2020" spans="1:29" ht="28.5" customHeight="1">
      <c r="A2020" s="310" t="s">
        <v>93</v>
      </c>
      <c r="B2020" s="310"/>
      <c r="C2020" s="310"/>
      <c r="D2020" s="310"/>
      <c r="E2020" s="310"/>
      <c r="F2020" s="310"/>
      <c r="G2020" s="310"/>
      <c r="H2020" s="310"/>
      <c r="I2020" s="310"/>
      <c r="J2020" s="310"/>
      <c r="K2020" s="310"/>
      <c r="L2020" s="310"/>
      <c r="M2020" s="92"/>
      <c r="N2020" s="311"/>
      <c r="O2020" s="311"/>
      <c r="P2020" s="311"/>
    </row>
    <row r="2021" spans="1:29" ht="20.25" customHeight="1">
      <c r="A2021" s="139"/>
      <c r="B2021" s="139"/>
      <c r="C2021" s="139"/>
      <c r="D2021" s="140" t="s">
        <v>145</v>
      </c>
      <c r="E2021" s="140"/>
      <c r="F2021" s="152" t="s">
        <v>54</v>
      </c>
      <c r="G2021" s="152"/>
      <c r="H2021" s="152"/>
      <c r="I2021" s="152"/>
      <c r="J2021" s="152" t="s">
        <v>144</v>
      </c>
      <c r="K2021" s="152"/>
      <c r="L2021" s="139"/>
      <c r="M2021" s="94"/>
      <c r="N2021" s="221"/>
      <c r="O2021" s="95"/>
      <c r="P2021" s="95"/>
    </row>
    <row r="2022" spans="1:29" ht="26.25" customHeight="1">
      <c r="A2022" s="312" t="s">
        <v>94</v>
      </c>
      <c r="B2022" s="312"/>
      <c r="C2022" s="312"/>
      <c r="D2022" s="312"/>
      <c r="E2022" s="312"/>
      <c r="F2022" s="312"/>
      <c r="G2022" s="312"/>
      <c r="H2022" s="312"/>
      <c r="I2022" s="312"/>
      <c r="J2022" s="312"/>
      <c r="K2022" s="312"/>
      <c r="L2022" s="312"/>
      <c r="M2022" s="92"/>
    </row>
    <row r="2023" spans="1:29" ht="22.5" customHeight="1">
      <c r="A2023" s="120"/>
      <c r="B2023" s="120"/>
      <c r="C2023" s="120"/>
      <c r="D2023" s="120"/>
      <c r="E2023" s="120"/>
      <c r="F2023" s="120"/>
      <c r="G2023" s="120"/>
      <c r="H2023" s="120"/>
      <c r="I2023" s="120"/>
      <c r="J2023" s="120"/>
      <c r="K2023" s="120"/>
      <c r="L2023" s="120"/>
      <c r="M2023" s="94"/>
    </row>
    <row r="2024" spans="1:29" ht="22.5" customHeight="1">
      <c r="A2024" s="313" t="s">
        <v>95</v>
      </c>
      <c r="B2024" s="313"/>
      <c r="C2024" s="313"/>
      <c r="D2024" s="313"/>
      <c r="E2024" s="313"/>
      <c r="F2024" s="313"/>
      <c r="G2024" s="313"/>
      <c r="H2024" s="313"/>
      <c r="I2024" s="313"/>
      <c r="J2024" s="313"/>
      <c r="K2024" s="313"/>
      <c r="L2024" s="313"/>
      <c r="M2024" s="92"/>
    </row>
    <row r="2025" spans="1:29" ht="19.5" customHeight="1">
      <c r="A2025" s="97"/>
      <c r="B2025" s="97"/>
      <c r="C2025" s="145"/>
      <c r="D2025" s="97"/>
      <c r="E2025" s="97"/>
      <c r="F2025" s="97"/>
      <c r="G2025" s="97"/>
      <c r="H2025" s="97"/>
      <c r="I2025" s="97"/>
      <c r="J2025" s="97"/>
      <c r="K2025" s="97"/>
      <c r="L2025" s="97"/>
      <c r="M2025" s="94"/>
    </row>
    <row r="2026" spans="1:29" ht="5.25" customHeight="1">
      <c r="A2026" s="94"/>
      <c r="B2026" s="94"/>
      <c r="C2026" s="146"/>
      <c r="D2026" s="94"/>
      <c r="E2026" s="94"/>
      <c r="F2026" s="94"/>
      <c r="G2026" s="94"/>
      <c r="H2026" s="94"/>
      <c r="I2026" s="94"/>
      <c r="J2026" s="94"/>
      <c r="K2026" s="94"/>
      <c r="L2026" s="94"/>
      <c r="M2026" s="94"/>
    </row>
    <row r="2027" spans="1:29" ht="16.5" customHeight="1">
      <c r="A2027" s="314" t="s">
        <v>96</v>
      </c>
      <c r="B2027" s="314"/>
      <c r="C2027" s="314"/>
      <c r="D2027" s="314"/>
      <c r="E2027" s="98"/>
      <c r="F2027" s="98"/>
      <c r="G2027" s="98"/>
      <c r="H2027" s="315" t="s">
        <v>97</v>
      </c>
      <c r="I2027" s="315"/>
      <c r="J2027" s="315"/>
      <c r="K2027" s="315"/>
      <c r="L2027" s="315"/>
      <c r="M2027" s="94"/>
    </row>
    <row r="2028" spans="1:29" ht="95.1" customHeight="1">
      <c r="A2028" s="99"/>
      <c r="B2028" s="101" t="str">
        <f>B1958</f>
        <v>Ông Huỳnh Phước Hải        ….............</v>
      </c>
      <c r="C2028" s="147"/>
      <c r="D2028" s="99"/>
      <c r="E2028" s="81"/>
      <c r="F2028" s="100"/>
      <c r="G2028" s="100"/>
      <c r="H2028" s="306" t="str">
        <f>H1958</f>
        <v>Ông Phạm Tấn Việt          …..................</v>
      </c>
      <c r="I2028" s="306"/>
      <c r="J2028" s="306"/>
      <c r="K2028" s="306"/>
      <c r="L2028" s="306"/>
      <c r="M2028" s="94"/>
    </row>
    <row r="2029" spans="1:29" ht="49.5" customHeight="1">
      <c r="A2029" s="99"/>
      <c r="B2029" s="99"/>
      <c r="C2029" s="147"/>
      <c r="D2029" s="99"/>
      <c r="E2029" s="81"/>
      <c r="F2029" s="100"/>
      <c r="G2029" s="100"/>
      <c r="H2029" s="100"/>
      <c r="I2029" s="100"/>
      <c r="J2029" s="99"/>
      <c r="K2029" s="99"/>
      <c r="L2029" s="99"/>
      <c r="M2029" s="94"/>
    </row>
    <row r="2030" spans="1:29" ht="21.75" customHeight="1">
      <c r="A2030" s="346" t="s">
        <v>165</v>
      </c>
      <c r="B2030" s="346"/>
      <c r="C2030" s="346"/>
      <c r="D2030" s="346"/>
      <c r="E2030" s="346"/>
      <c r="F2030" s="346"/>
      <c r="G2030" s="346"/>
      <c r="H2030" s="346"/>
      <c r="I2030" s="346"/>
      <c r="J2030" s="346"/>
      <c r="K2030" s="346"/>
      <c r="L2030" s="346"/>
      <c r="M2030" s="82"/>
    </row>
    <row r="2031" spans="1:29" ht="19.5">
      <c r="A2031" s="84" t="str">
        <f>"Ngày "&amp;N2032&amp;" tháng "&amp;O3&amp;" năm "&amp;P3&amp;""</f>
        <v>Ngày 30 tháng 07 năm 2026</v>
      </c>
      <c r="B2031" s="84"/>
      <c r="C2031" s="85"/>
      <c r="N2031" s="216"/>
      <c r="O2031" s="20"/>
      <c r="P2031" s="20"/>
    </row>
    <row r="2032" spans="1:29" ht="16.5">
      <c r="A2032" s="337" t="s">
        <v>57</v>
      </c>
      <c r="B2032" s="337"/>
      <c r="C2032" s="337"/>
      <c r="D2032" s="311"/>
      <c r="E2032" s="311"/>
      <c r="F2032" s="311"/>
      <c r="G2032" s="95"/>
      <c r="H2032" s="95"/>
      <c r="I2032" s="95"/>
      <c r="J2032" s="95"/>
      <c r="K2032" s="95"/>
      <c r="L2032" s="95"/>
      <c r="N2032" s="217" t="s">
        <v>192</v>
      </c>
      <c r="O2032" s="214"/>
      <c r="P2032" s="17"/>
    </row>
    <row r="2033" spans="1:29" ht="15.75" customHeight="1">
      <c r="A2033" s="338"/>
      <c r="B2033" s="338"/>
      <c r="C2033" s="338"/>
      <c r="D2033" s="339" t="s">
        <v>58</v>
      </c>
      <c r="E2033" s="340"/>
      <c r="F2033" s="340"/>
      <c r="G2033" s="340"/>
      <c r="H2033" s="341"/>
      <c r="I2033" s="339" t="s">
        <v>59</v>
      </c>
      <c r="J2033" s="340"/>
      <c r="K2033" s="340"/>
      <c r="L2033" s="341"/>
    </row>
    <row r="2034" spans="1:29" ht="19.5" customHeight="1">
      <c r="A2034" s="342" t="s">
        <v>60</v>
      </c>
      <c r="B2034" s="342"/>
      <c r="C2034" s="342"/>
      <c r="D2034" s="343" t="s">
        <v>54</v>
      </c>
      <c r="E2034" s="344"/>
      <c r="F2034" s="344"/>
      <c r="G2034" s="344"/>
      <c r="H2034" s="345"/>
      <c r="I2034" s="343" t="s">
        <v>54</v>
      </c>
      <c r="J2034" s="344"/>
      <c r="K2034" s="344"/>
      <c r="L2034" s="345"/>
    </row>
    <row r="2035" spans="1:29" ht="22.5" customHeight="1">
      <c r="A2035" s="342" t="s">
        <v>61</v>
      </c>
      <c r="B2035" s="342"/>
      <c r="C2035" s="342"/>
      <c r="D2035" s="343" t="s">
        <v>163</v>
      </c>
      <c r="E2035" s="344"/>
      <c r="F2035" s="344"/>
      <c r="G2035" s="344"/>
      <c r="H2035" s="345"/>
      <c r="I2035" s="343" t="str">
        <f>D2035</f>
        <v>31° - 34°</v>
      </c>
      <c r="J2035" s="344"/>
      <c r="K2035" s="344"/>
      <c r="L2035" s="345"/>
    </row>
    <row r="2036" spans="1:29" s="87" customFormat="1" ht="15.75">
      <c r="A2036" s="310" t="s">
        <v>62</v>
      </c>
      <c r="B2036" s="310"/>
      <c r="C2036" s="310"/>
      <c r="D2036" s="310"/>
      <c r="E2036" s="310"/>
      <c r="F2036" s="310"/>
      <c r="G2036" s="310"/>
      <c r="H2036" s="310"/>
      <c r="I2036" s="310"/>
      <c r="J2036" s="310"/>
      <c r="K2036" s="310"/>
      <c r="L2036" s="310"/>
      <c r="M2036" s="85"/>
      <c r="N2036" s="218"/>
    </row>
    <row r="2037" spans="1:29" s="87" customFormat="1" ht="15.75">
      <c r="A2037" s="332" t="s">
        <v>63</v>
      </c>
      <c r="B2037" s="332"/>
      <c r="C2037" s="332"/>
      <c r="D2037" s="332"/>
      <c r="E2037" s="332"/>
      <c r="F2037" s="332"/>
      <c r="G2037" s="332"/>
      <c r="H2037" s="332"/>
      <c r="I2037" s="332"/>
      <c r="J2037" s="332"/>
      <c r="K2037" s="332"/>
      <c r="L2037" s="332"/>
      <c r="M2037" s="85"/>
      <c r="N2037" s="218"/>
    </row>
    <row r="2038" spans="1:29" s="87" customFormat="1" ht="20.100000000000001" customHeight="1">
      <c r="A2038" s="88"/>
      <c r="B2038" s="88"/>
      <c r="C2038" s="333" t="s">
        <v>64</v>
      </c>
      <c r="D2038" s="334"/>
      <c r="E2038" s="334"/>
      <c r="F2038" s="334"/>
      <c r="G2038" s="334"/>
      <c r="H2038" s="334"/>
      <c r="I2038" s="334"/>
      <c r="J2038" s="334"/>
      <c r="K2038" s="334"/>
      <c r="L2038" s="334"/>
      <c r="M2038" s="85"/>
      <c r="N2038" s="218"/>
    </row>
    <row r="2039" spans="1:29" s="87" customFormat="1" ht="20.100000000000001" customHeight="1">
      <c r="A2039" s="88"/>
      <c r="B2039" s="88"/>
      <c r="C2039" s="333" t="s">
        <v>65</v>
      </c>
      <c r="D2039" s="334"/>
      <c r="E2039" s="334"/>
      <c r="F2039" s="334"/>
      <c r="G2039" s="334"/>
      <c r="H2039" s="334"/>
      <c r="I2039" s="334"/>
      <c r="J2039" s="334"/>
      <c r="K2039" s="334"/>
      <c r="L2039" s="334"/>
      <c r="M2039" s="85"/>
      <c r="N2039" s="218"/>
    </row>
    <row r="2040" spans="1:29" s="87" customFormat="1" ht="17.25" customHeight="1">
      <c r="A2040" s="335" t="s">
        <v>66</v>
      </c>
      <c r="B2040" s="335"/>
      <c r="C2040" s="335"/>
      <c r="D2040" s="335"/>
      <c r="E2040" s="335"/>
      <c r="F2040" s="335"/>
      <c r="G2040" s="335"/>
      <c r="H2040" s="335"/>
      <c r="I2040" s="335"/>
      <c r="J2040" s="335"/>
      <c r="K2040" s="335"/>
      <c r="L2040" s="335"/>
      <c r="M2040" s="85"/>
      <c r="N2040" s="218"/>
    </row>
    <row r="2041" spans="1:29" s="87" customFormat="1" ht="7.5" customHeight="1">
      <c r="A2041" s="119"/>
      <c r="B2041" s="119"/>
      <c r="C2041" s="119"/>
      <c r="D2041" s="119"/>
      <c r="E2041" s="119"/>
      <c r="F2041" s="119"/>
      <c r="G2041" s="119"/>
      <c r="H2041" s="119"/>
      <c r="I2041" s="119"/>
      <c r="J2041" s="119"/>
      <c r="K2041" s="119"/>
      <c r="L2041" s="119"/>
      <c r="M2041" s="85"/>
      <c r="N2041" s="218"/>
    </row>
    <row r="2042" spans="1:29" ht="15.75">
      <c r="A2042" s="336" t="s">
        <v>67</v>
      </c>
      <c r="B2042" s="336"/>
      <c r="C2042" s="336"/>
      <c r="D2042" s="336"/>
      <c r="E2042" s="336"/>
      <c r="F2042" s="336"/>
      <c r="G2042" s="336"/>
      <c r="H2042" s="336"/>
      <c r="I2042" s="336"/>
      <c r="J2042" s="336"/>
      <c r="K2042" s="336"/>
      <c r="L2042" s="336"/>
    </row>
    <row r="2043" spans="1:29" ht="2.25" customHeight="1">
      <c r="A2043" s="141"/>
      <c r="B2043" s="141"/>
      <c r="C2043" s="141"/>
      <c r="D2043" s="141"/>
      <c r="E2043" s="141"/>
      <c r="F2043" s="141"/>
      <c r="G2043" s="155"/>
      <c r="H2043" s="155"/>
      <c r="I2043" s="155"/>
      <c r="J2043" s="155"/>
      <c r="K2043" s="155"/>
      <c r="L2043" s="155"/>
    </row>
    <row r="2044" spans="1:29" ht="27.75" customHeight="1">
      <c r="A2044" s="317" t="s">
        <v>135</v>
      </c>
      <c r="B2044" s="318"/>
      <c r="C2044" s="317" t="s">
        <v>68</v>
      </c>
      <c r="D2044" s="318"/>
      <c r="E2044" s="183"/>
      <c r="F2044" s="321" t="s">
        <v>136</v>
      </c>
      <c r="G2044" s="322" t="s">
        <v>155</v>
      </c>
      <c r="H2044" s="323"/>
      <c r="I2044" s="323"/>
      <c r="J2044" s="322" t="s">
        <v>154</v>
      </c>
      <c r="K2044" s="323"/>
      <c r="L2044" s="324"/>
      <c r="M2044" s="92"/>
      <c r="O2044" s="325"/>
      <c r="P2044" s="325"/>
      <c r="Q2044" s="325"/>
      <c r="R2044" s="325"/>
      <c r="S2044" s="316"/>
      <c r="T2044" s="316"/>
      <c r="U2044" s="316"/>
      <c r="V2044" s="316"/>
      <c r="W2044" s="316"/>
      <c r="X2044" s="316"/>
      <c r="Y2044" s="316"/>
      <c r="Z2044" s="316"/>
      <c r="AA2044" s="316"/>
      <c r="AB2044" s="316"/>
      <c r="AC2044" s="316"/>
    </row>
    <row r="2045" spans="1:29" ht="125.25" customHeight="1">
      <c r="A2045" s="319"/>
      <c r="B2045" s="320"/>
      <c r="C2045" s="319"/>
      <c r="D2045" s="320"/>
      <c r="E2045" s="184"/>
      <c r="F2045" s="321"/>
      <c r="G2045" s="153" t="s">
        <v>151</v>
      </c>
      <c r="H2045" s="153" t="s">
        <v>152</v>
      </c>
      <c r="I2045" s="153" t="s">
        <v>153</v>
      </c>
      <c r="J2045" s="153" t="s">
        <v>151</v>
      </c>
      <c r="K2045" s="153" t="s">
        <v>152</v>
      </c>
      <c r="L2045" s="153" t="s">
        <v>153</v>
      </c>
      <c r="O2045" s="325"/>
      <c r="P2045" s="325"/>
      <c r="Q2045" s="325"/>
      <c r="R2045" s="325"/>
      <c r="S2045" s="193"/>
      <c r="T2045" s="193"/>
      <c r="U2045" s="193"/>
      <c r="V2045" s="193"/>
      <c r="W2045" s="193"/>
      <c r="X2045" s="193"/>
      <c r="Y2045" s="193"/>
      <c r="Z2045" s="193"/>
      <c r="AA2045" s="193"/>
      <c r="AB2045" s="193"/>
      <c r="AC2045" s="193"/>
    </row>
    <row r="2046" spans="1:29" ht="24.75" customHeight="1">
      <c r="A2046" s="190" t="s">
        <v>128</v>
      </c>
      <c r="B2046" s="142"/>
      <c r="C2046" s="330" t="s">
        <v>129</v>
      </c>
      <c r="D2046" s="330"/>
      <c r="E2046" s="330"/>
      <c r="F2046" s="330"/>
      <c r="G2046" s="330"/>
      <c r="H2046" s="330"/>
      <c r="I2046" s="330"/>
      <c r="J2046" s="330"/>
      <c r="K2046" s="330"/>
      <c r="L2046" s="330"/>
      <c r="M2046" s="93"/>
      <c r="O2046" s="156"/>
      <c r="P2046" s="142"/>
      <c r="Q2046" s="331"/>
      <c r="R2046" s="331"/>
      <c r="S2046" s="331"/>
      <c r="T2046" s="331"/>
      <c r="U2046" s="331"/>
      <c r="V2046" s="331"/>
      <c r="W2046" s="331"/>
      <c r="X2046" s="331"/>
      <c r="Y2046" s="331"/>
      <c r="Z2046" s="331"/>
      <c r="AA2046" s="331"/>
      <c r="AB2046" s="331"/>
      <c r="AC2046" s="331"/>
    </row>
    <row r="2047" spans="1:29" ht="21" customHeight="1">
      <c r="A2047" s="187">
        <v>1</v>
      </c>
      <c r="B2047" s="185" t="s">
        <v>69</v>
      </c>
      <c r="C2047" s="326" t="s">
        <v>70</v>
      </c>
      <c r="D2047" s="326"/>
      <c r="E2047" s="176"/>
      <c r="F2047" s="144" t="s">
        <v>71</v>
      </c>
      <c r="G2047" s="203" t="s">
        <v>156</v>
      </c>
      <c r="H2047" s="202" t="s">
        <v>156</v>
      </c>
      <c r="I2047" s="201">
        <v>1</v>
      </c>
      <c r="J2047" s="202" t="s">
        <v>156</v>
      </c>
      <c r="K2047" s="202" t="s">
        <v>156</v>
      </c>
      <c r="L2047" s="201">
        <v>1</v>
      </c>
      <c r="M2047" s="93"/>
      <c r="O2047" s="195"/>
      <c r="P2047" s="196"/>
      <c r="Q2047" s="327"/>
      <c r="R2047" s="327"/>
      <c r="S2047" s="86"/>
      <c r="T2047" s="86"/>
      <c r="U2047" s="86"/>
      <c r="V2047" s="86"/>
      <c r="W2047" s="194"/>
      <c r="X2047" s="194"/>
      <c r="Y2047" s="194"/>
      <c r="Z2047" s="194"/>
      <c r="AA2047" s="194"/>
      <c r="AB2047" s="194"/>
      <c r="AC2047" s="194"/>
    </row>
    <row r="2048" spans="1:29" ht="21" customHeight="1">
      <c r="A2048" s="187">
        <v>2</v>
      </c>
      <c r="B2048" s="185" t="s">
        <v>69</v>
      </c>
      <c r="C2048" s="326" t="s">
        <v>72</v>
      </c>
      <c r="D2048" s="326"/>
      <c r="E2048" s="176"/>
      <c r="F2048" s="144" t="s">
        <v>71</v>
      </c>
      <c r="G2048" s="203" t="s">
        <v>156</v>
      </c>
      <c r="H2048" s="202" t="s">
        <v>156</v>
      </c>
      <c r="I2048" s="202" t="s">
        <v>156</v>
      </c>
      <c r="J2048" s="202" t="s">
        <v>156</v>
      </c>
      <c r="K2048" s="202" t="s">
        <v>156</v>
      </c>
      <c r="L2048" s="202" t="s">
        <v>156</v>
      </c>
      <c r="M2048" s="93"/>
      <c r="O2048" s="195"/>
      <c r="P2048" s="196"/>
      <c r="Q2048" s="327"/>
      <c r="R2048" s="327"/>
      <c r="S2048" s="194"/>
      <c r="T2048" s="194"/>
      <c r="U2048" s="194"/>
      <c r="V2048" s="86"/>
      <c r="W2048" s="86"/>
      <c r="X2048" s="86"/>
      <c r="Y2048" s="86"/>
      <c r="Z2048" s="194"/>
      <c r="AA2048" s="194"/>
      <c r="AB2048" s="194"/>
      <c r="AC2048" s="194"/>
    </row>
    <row r="2049" spans="1:29" ht="21" customHeight="1">
      <c r="A2049" s="187">
        <v>3</v>
      </c>
      <c r="B2049" s="185" t="s">
        <v>69</v>
      </c>
      <c r="C2049" s="326" t="s">
        <v>73</v>
      </c>
      <c r="D2049" s="326"/>
      <c r="E2049" s="176"/>
      <c r="F2049" s="144" t="s">
        <v>71</v>
      </c>
      <c r="G2049" s="203" t="s">
        <v>156</v>
      </c>
      <c r="H2049" s="202" t="s">
        <v>156</v>
      </c>
      <c r="I2049" s="202" t="s">
        <v>156</v>
      </c>
      <c r="J2049" s="202" t="s">
        <v>156</v>
      </c>
      <c r="K2049" s="202" t="s">
        <v>156</v>
      </c>
      <c r="L2049" s="202" t="s">
        <v>156</v>
      </c>
      <c r="M2049" s="93"/>
      <c r="O2049" s="195"/>
      <c r="P2049" s="196"/>
      <c r="Q2049" s="327"/>
      <c r="R2049" s="327"/>
      <c r="S2049" s="194"/>
      <c r="T2049" s="86"/>
      <c r="U2049" s="86"/>
      <c r="V2049" s="86"/>
      <c r="W2049" s="86"/>
      <c r="X2049" s="194"/>
      <c r="Y2049" s="194"/>
      <c r="Z2049" s="194"/>
      <c r="AA2049" s="194"/>
      <c r="AB2049" s="194"/>
      <c r="AC2049" s="194"/>
    </row>
    <row r="2050" spans="1:29" ht="21" customHeight="1">
      <c r="A2050" s="187">
        <v>4</v>
      </c>
      <c r="B2050" s="185" t="s">
        <v>69</v>
      </c>
      <c r="C2050" s="326" t="s">
        <v>98</v>
      </c>
      <c r="D2050" s="326"/>
      <c r="E2050" s="176"/>
      <c r="F2050" s="144" t="s">
        <v>71</v>
      </c>
      <c r="G2050" s="203" t="s">
        <v>156</v>
      </c>
      <c r="H2050" s="202" t="s">
        <v>156</v>
      </c>
      <c r="I2050" s="202" t="s">
        <v>156</v>
      </c>
      <c r="J2050" s="202" t="s">
        <v>156</v>
      </c>
      <c r="K2050" s="202" t="s">
        <v>156</v>
      </c>
      <c r="L2050" s="202" t="s">
        <v>156</v>
      </c>
      <c r="M2050" s="93"/>
      <c r="O2050" s="195"/>
      <c r="P2050" s="196"/>
      <c r="Q2050" s="327"/>
      <c r="R2050" s="327"/>
      <c r="S2050" s="194"/>
      <c r="T2050" s="194"/>
      <c r="U2050" s="194"/>
      <c r="V2050" s="194"/>
      <c r="W2050" s="194"/>
      <c r="X2050" s="194"/>
      <c r="Y2050" s="194"/>
      <c r="Z2050" s="86"/>
      <c r="AA2050" s="86"/>
      <c r="AB2050" s="86"/>
      <c r="AC2050" s="86"/>
    </row>
    <row r="2051" spans="1:29" ht="21" customHeight="1">
      <c r="A2051" s="187">
        <v>5</v>
      </c>
      <c r="B2051" s="185" t="s">
        <v>69</v>
      </c>
      <c r="C2051" s="326" t="s">
        <v>74</v>
      </c>
      <c r="D2051" s="326"/>
      <c r="E2051" s="176"/>
      <c r="F2051" s="144" t="s">
        <v>71</v>
      </c>
      <c r="G2051" s="203" t="s">
        <v>156</v>
      </c>
      <c r="H2051" s="202" t="s">
        <v>156</v>
      </c>
      <c r="I2051" s="202" t="s">
        <v>156</v>
      </c>
      <c r="J2051" s="202" t="s">
        <v>156</v>
      </c>
      <c r="K2051" s="202" t="s">
        <v>156</v>
      </c>
      <c r="L2051" s="202" t="s">
        <v>156</v>
      </c>
      <c r="M2051" s="93"/>
      <c r="O2051" s="195"/>
      <c r="P2051" s="196"/>
      <c r="Q2051" s="327"/>
      <c r="R2051" s="327"/>
      <c r="S2051" s="194"/>
      <c r="T2051" s="194"/>
      <c r="U2051" s="194"/>
      <c r="V2051" s="194"/>
      <c r="W2051" s="194"/>
      <c r="X2051" s="194"/>
      <c r="Y2051" s="194"/>
      <c r="Z2051" s="194"/>
      <c r="AA2051" s="194"/>
      <c r="AB2051" s="194"/>
      <c r="AC2051" s="194"/>
    </row>
    <row r="2052" spans="1:29" ht="21" customHeight="1">
      <c r="A2052" s="187">
        <v>6</v>
      </c>
      <c r="B2052" s="185" t="s">
        <v>69</v>
      </c>
      <c r="C2052" s="326" t="s">
        <v>75</v>
      </c>
      <c r="D2052" s="326"/>
      <c r="E2052" s="176"/>
      <c r="F2052" s="144" t="s">
        <v>71</v>
      </c>
      <c r="G2052" s="203" t="s">
        <v>156</v>
      </c>
      <c r="H2052" s="202" t="s">
        <v>156</v>
      </c>
      <c r="I2052" s="202" t="s">
        <v>156</v>
      </c>
      <c r="J2052" s="202" t="s">
        <v>156</v>
      </c>
      <c r="K2052" s="202" t="s">
        <v>156</v>
      </c>
      <c r="L2052" s="202" t="s">
        <v>156</v>
      </c>
      <c r="M2052" s="93"/>
      <c r="O2052" s="195"/>
      <c r="P2052" s="196"/>
      <c r="Q2052" s="327"/>
      <c r="R2052" s="327"/>
      <c r="S2052" s="194"/>
      <c r="T2052" s="194"/>
      <c r="U2052" s="194"/>
      <c r="V2052" s="194"/>
      <c r="W2052" s="194"/>
      <c r="X2052" s="194"/>
      <c r="Y2052" s="194"/>
      <c r="Z2052" s="194"/>
      <c r="AA2052" s="194"/>
      <c r="AB2052" s="194"/>
      <c r="AC2052" s="194"/>
    </row>
    <row r="2053" spans="1:29" ht="21" customHeight="1">
      <c r="A2053" s="187">
        <v>7</v>
      </c>
      <c r="B2053" s="185" t="s">
        <v>69</v>
      </c>
      <c r="C2053" s="326" t="s">
        <v>76</v>
      </c>
      <c r="D2053" s="326"/>
      <c r="E2053" s="176"/>
      <c r="F2053" s="144" t="s">
        <v>71</v>
      </c>
      <c r="G2053" s="203" t="s">
        <v>156</v>
      </c>
      <c r="H2053" s="202" t="s">
        <v>156</v>
      </c>
      <c r="I2053" s="202" t="s">
        <v>156</v>
      </c>
      <c r="J2053" s="202" t="s">
        <v>156</v>
      </c>
      <c r="K2053" s="202" t="s">
        <v>156</v>
      </c>
      <c r="L2053" s="202" t="s">
        <v>156</v>
      </c>
      <c r="M2053" s="93"/>
      <c r="O2053" s="195"/>
      <c r="P2053" s="196"/>
      <c r="Q2053" s="327"/>
      <c r="R2053" s="327"/>
      <c r="S2053" s="194"/>
      <c r="T2053" s="194"/>
      <c r="U2053" s="194"/>
      <c r="V2053" s="194"/>
      <c r="W2053" s="194"/>
      <c r="X2053" s="194"/>
      <c r="Y2053" s="194"/>
      <c r="Z2053" s="194"/>
      <c r="AA2053" s="194"/>
      <c r="AB2053" s="194"/>
      <c r="AC2053" s="194"/>
    </row>
    <row r="2054" spans="1:29" ht="21" customHeight="1">
      <c r="A2054" s="187">
        <v>8</v>
      </c>
      <c r="B2054" s="185" t="s">
        <v>69</v>
      </c>
      <c r="C2054" s="326" t="s">
        <v>99</v>
      </c>
      <c r="D2054" s="326"/>
      <c r="E2054" s="176"/>
      <c r="F2054" s="144" t="s">
        <v>71</v>
      </c>
      <c r="G2054" s="203" t="s">
        <v>156</v>
      </c>
      <c r="H2054" s="202" t="s">
        <v>156</v>
      </c>
      <c r="I2054" s="202" t="s">
        <v>156</v>
      </c>
      <c r="J2054" s="202" t="s">
        <v>156</v>
      </c>
      <c r="K2054" s="202" t="s">
        <v>156</v>
      </c>
      <c r="L2054" s="202" t="s">
        <v>156</v>
      </c>
      <c r="M2054" s="93"/>
      <c r="O2054" s="195"/>
      <c r="P2054" s="196"/>
      <c r="Q2054" s="327"/>
      <c r="R2054" s="327"/>
      <c r="S2054" s="194"/>
      <c r="T2054" s="194"/>
      <c r="U2054" s="194"/>
      <c r="V2054" s="194"/>
      <c r="W2054" s="194"/>
      <c r="X2054" s="194"/>
      <c r="Y2054" s="194"/>
      <c r="Z2054" s="194"/>
      <c r="AA2054" s="194"/>
      <c r="AB2054" s="194"/>
      <c r="AC2054" s="194"/>
    </row>
    <row r="2055" spans="1:29" ht="21" customHeight="1">
      <c r="A2055" s="187">
        <v>9</v>
      </c>
      <c r="B2055" s="185" t="s">
        <v>69</v>
      </c>
      <c r="C2055" s="326" t="s">
        <v>77</v>
      </c>
      <c r="D2055" s="326"/>
      <c r="E2055" s="176"/>
      <c r="F2055" s="144" t="s">
        <v>71</v>
      </c>
      <c r="G2055" s="203" t="s">
        <v>156</v>
      </c>
      <c r="H2055" s="202" t="s">
        <v>156</v>
      </c>
      <c r="I2055" s="202" t="s">
        <v>156</v>
      </c>
      <c r="J2055" s="202" t="s">
        <v>156</v>
      </c>
      <c r="K2055" s="202" t="s">
        <v>156</v>
      </c>
      <c r="L2055" s="202" t="s">
        <v>156</v>
      </c>
      <c r="M2055" s="93"/>
      <c r="O2055" s="195"/>
      <c r="P2055" s="196"/>
      <c r="Q2055" s="327"/>
      <c r="R2055" s="327"/>
      <c r="S2055" s="194"/>
      <c r="T2055" s="194"/>
      <c r="U2055" s="194"/>
      <c r="V2055" s="194"/>
      <c r="W2055" s="194"/>
      <c r="X2055" s="194"/>
      <c r="Y2055" s="194"/>
      <c r="Z2055" s="194"/>
      <c r="AA2055" s="194"/>
      <c r="AB2055" s="194"/>
      <c r="AC2055" s="194"/>
    </row>
    <row r="2056" spans="1:29" ht="21" customHeight="1">
      <c r="A2056" s="187">
        <v>10</v>
      </c>
      <c r="B2056" s="185" t="s">
        <v>69</v>
      </c>
      <c r="C2056" s="326" t="s">
        <v>78</v>
      </c>
      <c r="D2056" s="326"/>
      <c r="E2056" s="176"/>
      <c r="F2056" s="144" t="s">
        <v>71</v>
      </c>
      <c r="G2056" s="203" t="s">
        <v>156</v>
      </c>
      <c r="H2056" s="202" t="s">
        <v>156</v>
      </c>
      <c r="I2056" s="202" t="s">
        <v>156</v>
      </c>
      <c r="J2056" s="202" t="s">
        <v>156</v>
      </c>
      <c r="K2056" s="202" t="s">
        <v>156</v>
      </c>
      <c r="L2056" s="202" t="s">
        <v>156</v>
      </c>
      <c r="M2056" s="93"/>
      <c r="O2056" s="195"/>
      <c r="P2056" s="196"/>
      <c r="Q2056" s="327"/>
      <c r="R2056" s="327"/>
      <c r="S2056" s="194"/>
      <c r="T2056" s="194"/>
      <c r="U2056" s="194"/>
      <c r="V2056" s="194"/>
      <c r="W2056" s="194"/>
      <c r="X2056" s="194"/>
      <c r="Y2056" s="194"/>
      <c r="Z2056" s="194"/>
      <c r="AA2056" s="194"/>
      <c r="AB2056" s="194"/>
      <c r="AC2056" s="194"/>
    </row>
    <row r="2057" spans="1:29" ht="21" customHeight="1">
      <c r="A2057" s="187">
        <v>11</v>
      </c>
      <c r="B2057" s="185" t="s">
        <v>69</v>
      </c>
      <c r="C2057" s="326" t="s">
        <v>79</v>
      </c>
      <c r="D2057" s="326"/>
      <c r="E2057" s="176"/>
      <c r="F2057" s="144" t="s">
        <v>71</v>
      </c>
      <c r="G2057" s="203" t="s">
        <v>156</v>
      </c>
      <c r="H2057" s="202" t="s">
        <v>156</v>
      </c>
      <c r="I2057" s="202" t="s">
        <v>156</v>
      </c>
      <c r="J2057" s="202" t="s">
        <v>156</v>
      </c>
      <c r="K2057" s="202" t="s">
        <v>156</v>
      </c>
      <c r="L2057" s="202" t="s">
        <v>156</v>
      </c>
      <c r="M2057" s="93"/>
      <c r="O2057" s="195"/>
      <c r="P2057" s="196"/>
      <c r="Q2057" s="327"/>
      <c r="R2057" s="327"/>
      <c r="S2057" s="194"/>
      <c r="T2057" s="194"/>
      <c r="U2057" s="194"/>
      <c r="V2057" s="194"/>
      <c r="W2057" s="194"/>
      <c r="X2057" s="194"/>
      <c r="Y2057" s="194"/>
      <c r="Z2057" s="194"/>
      <c r="AA2057" s="194"/>
      <c r="AB2057" s="194"/>
      <c r="AC2057" s="194"/>
    </row>
    <row r="2058" spans="1:29" ht="21" customHeight="1">
      <c r="A2058" s="187">
        <v>12</v>
      </c>
      <c r="B2058" s="185" t="s">
        <v>69</v>
      </c>
      <c r="C2058" s="326" t="s">
        <v>100</v>
      </c>
      <c r="D2058" s="326"/>
      <c r="E2058" s="176"/>
      <c r="F2058" s="144" t="s">
        <v>71</v>
      </c>
      <c r="G2058" s="203" t="s">
        <v>156</v>
      </c>
      <c r="H2058" s="202" t="s">
        <v>156</v>
      </c>
      <c r="I2058" s="202" t="s">
        <v>156</v>
      </c>
      <c r="J2058" s="202" t="s">
        <v>156</v>
      </c>
      <c r="K2058" s="202" t="s">
        <v>156</v>
      </c>
      <c r="L2058" s="202" t="s">
        <v>156</v>
      </c>
      <c r="M2058" s="93"/>
      <c r="O2058" s="195"/>
      <c r="P2058" s="196"/>
      <c r="Q2058" s="327"/>
      <c r="R2058" s="327"/>
      <c r="S2058" s="194"/>
      <c r="T2058" s="194"/>
      <c r="U2058" s="194"/>
      <c r="V2058" s="194"/>
      <c r="W2058" s="194"/>
      <c r="X2058" s="194"/>
      <c r="Y2058" s="194"/>
      <c r="Z2058" s="194"/>
      <c r="AA2058" s="194"/>
      <c r="AB2058" s="194"/>
      <c r="AC2058" s="194"/>
    </row>
    <row r="2059" spans="1:29" ht="21" customHeight="1">
      <c r="A2059" s="187">
        <v>13</v>
      </c>
      <c r="B2059" s="185" t="s">
        <v>69</v>
      </c>
      <c r="C2059" s="326" t="s">
        <v>80</v>
      </c>
      <c r="D2059" s="326"/>
      <c r="E2059" s="176"/>
      <c r="F2059" s="144" t="s">
        <v>71</v>
      </c>
      <c r="G2059" s="203" t="s">
        <v>156</v>
      </c>
      <c r="H2059" s="202" t="s">
        <v>156</v>
      </c>
      <c r="I2059" s="202" t="s">
        <v>156</v>
      </c>
      <c r="J2059" s="202" t="s">
        <v>156</v>
      </c>
      <c r="K2059" s="202" t="s">
        <v>156</v>
      </c>
      <c r="L2059" s="202" t="s">
        <v>156</v>
      </c>
      <c r="M2059" s="93"/>
      <c r="O2059" s="195"/>
      <c r="P2059" s="196"/>
      <c r="Q2059" s="327"/>
      <c r="R2059" s="327"/>
      <c r="S2059" s="194"/>
      <c r="T2059" s="194"/>
      <c r="U2059" s="194"/>
      <c r="V2059" s="194"/>
      <c r="W2059" s="194"/>
      <c r="X2059" s="194"/>
      <c r="Y2059" s="194"/>
      <c r="Z2059" s="194"/>
      <c r="AA2059" s="194"/>
      <c r="AB2059" s="194"/>
      <c r="AC2059" s="194"/>
    </row>
    <row r="2060" spans="1:29" ht="21" customHeight="1">
      <c r="A2060" s="187">
        <v>14</v>
      </c>
      <c r="B2060" s="185" t="s">
        <v>69</v>
      </c>
      <c r="C2060" s="326" t="s">
        <v>91</v>
      </c>
      <c r="D2060" s="326"/>
      <c r="E2060" s="176"/>
      <c r="F2060" s="144" t="s">
        <v>71</v>
      </c>
      <c r="G2060" s="203" t="s">
        <v>156</v>
      </c>
      <c r="H2060" s="202" t="s">
        <v>156</v>
      </c>
      <c r="I2060" s="202" t="s">
        <v>156</v>
      </c>
      <c r="J2060" s="202" t="s">
        <v>156</v>
      </c>
      <c r="K2060" s="202" t="s">
        <v>156</v>
      </c>
      <c r="L2060" s="202" t="s">
        <v>156</v>
      </c>
      <c r="M2060" s="93"/>
      <c r="O2060" s="195"/>
      <c r="P2060" s="196"/>
      <c r="Q2060" s="327"/>
      <c r="R2060" s="327"/>
      <c r="S2060" s="194"/>
      <c r="T2060" s="194"/>
      <c r="U2060" s="194"/>
      <c r="V2060" s="194"/>
      <c r="W2060" s="194"/>
      <c r="X2060" s="194"/>
      <c r="Y2060" s="194"/>
      <c r="Z2060" s="194"/>
      <c r="AA2060" s="194"/>
      <c r="AB2060" s="194"/>
      <c r="AC2060" s="194"/>
    </row>
    <row r="2061" spans="1:29" ht="21" customHeight="1">
      <c r="A2061" s="187">
        <v>15</v>
      </c>
      <c r="B2061" s="185" t="s">
        <v>69</v>
      </c>
      <c r="C2061" s="326" t="s">
        <v>81</v>
      </c>
      <c r="D2061" s="326"/>
      <c r="E2061" s="176"/>
      <c r="F2061" s="144" t="s">
        <v>71</v>
      </c>
      <c r="G2061" s="203" t="s">
        <v>156</v>
      </c>
      <c r="H2061" s="202" t="s">
        <v>156</v>
      </c>
      <c r="I2061" s="202" t="s">
        <v>156</v>
      </c>
      <c r="J2061" s="202" t="s">
        <v>156</v>
      </c>
      <c r="K2061" s="202" t="s">
        <v>156</v>
      </c>
      <c r="L2061" s="202" t="s">
        <v>156</v>
      </c>
      <c r="M2061" s="93"/>
      <c r="O2061" s="195"/>
      <c r="P2061" s="196"/>
      <c r="Q2061" s="327"/>
      <c r="R2061" s="327"/>
      <c r="S2061" s="194"/>
      <c r="T2061" s="194"/>
      <c r="U2061" s="194"/>
      <c r="V2061" s="194"/>
      <c r="W2061" s="194"/>
      <c r="X2061" s="194"/>
      <c r="Y2061" s="194"/>
      <c r="Z2061" s="194"/>
      <c r="AA2061" s="194"/>
      <c r="AB2061" s="194"/>
      <c r="AC2061" s="194"/>
    </row>
    <row r="2062" spans="1:29" ht="21" customHeight="1">
      <c r="A2062" s="187">
        <v>16</v>
      </c>
      <c r="B2062" s="185" t="s">
        <v>69</v>
      </c>
      <c r="C2062" s="326" t="s">
        <v>101</v>
      </c>
      <c r="D2062" s="326"/>
      <c r="E2062" s="151"/>
      <c r="F2062" s="144" t="s">
        <v>71</v>
      </c>
      <c r="G2062" s="203" t="s">
        <v>156</v>
      </c>
      <c r="H2062" s="202" t="s">
        <v>156</v>
      </c>
      <c r="I2062" s="202" t="s">
        <v>156</v>
      </c>
      <c r="J2062" s="202" t="s">
        <v>156</v>
      </c>
      <c r="K2062" s="202" t="s">
        <v>156</v>
      </c>
      <c r="L2062" s="202" t="s">
        <v>156</v>
      </c>
      <c r="M2062" s="93"/>
      <c r="N2062" s="219"/>
      <c r="O2062" s="195"/>
      <c r="P2062" s="196"/>
      <c r="Q2062" s="327"/>
      <c r="R2062" s="327"/>
      <c r="S2062" s="197"/>
      <c r="T2062" s="197"/>
      <c r="U2062" s="197"/>
      <c r="V2062" s="197"/>
      <c r="W2062" s="197"/>
      <c r="X2062" s="197"/>
      <c r="Y2062" s="197"/>
      <c r="Z2062" s="197"/>
      <c r="AA2062" s="197"/>
      <c r="AB2062" s="197"/>
      <c r="AC2062" s="197"/>
    </row>
    <row r="2063" spans="1:29" ht="21" customHeight="1">
      <c r="A2063" s="187">
        <v>17</v>
      </c>
      <c r="B2063" s="186" t="s">
        <v>69</v>
      </c>
      <c r="C2063" s="326" t="s">
        <v>141</v>
      </c>
      <c r="D2063" s="326"/>
      <c r="E2063" s="151"/>
      <c r="F2063" s="144" t="s">
        <v>71</v>
      </c>
      <c r="G2063" s="203" t="s">
        <v>156</v>
      </c>
      <c r="H2063" s="202" t="s">
        <v>156</v>
      </c>
      <c r="I2063" s="202" t="s">
        <v>156</v>
      </c>
      <c r="J2063" s="202" t="s">
        <v>156</v>
      </c>
      <c r="K2063" s="202" t="s">
        <v>156</v>
      </c>
      <c r="L2063" s="202" t="s">
        <v>156</v>
      </c>
      <c r="M2063" s="93"/>
      <c r="N2063" s="219"/>
      <c r="O2063" s="195"/>
      <c r="P2063" s="104"/>
      <c r="Q2063" s="327"/>
      <c r="R2063" s="327"/>
      <c r="S2063" s="197"/>
      <c r="T2063" s="197"/>
      <c r="U2063" s="197"/>
      <c r="V2063" s="197"/>
      <c r="W2063" s="197"/>
      <c r="X2063" s="197"/>
      <c r="Y2063" s="197"/>
      <c r="Z2063" s="197"/>
      <c r="AA2063" s="197"/>
      <c r="AB2063" s="197"/>
      <c r="AC2063" s="197"/>
    </row>
    <row r="2064" spans="1:29" ht="21" customHeight="1">
      <c r="A2064" s="187">
        <v>18</v>
      </c>
      <c r="B2064" s="186" t="s">
        <v>69</v>
      </c>
      <c r="C2064" s="326" t="s">
        <v>142</v>
      </c>
      <c r="D2064" s="326"/>
      <c r="E2064" s="151"/>
      <c r="F2064" s="144" t="s">
        <v>71</v>
      </c>
      <c r="G2064" s="203" t="s">
        <v>156</v>
      </c>
      <c r="H2064" s="202" t="s">
        <v>156</v>
      </c>
      <c r="I2064" s="202" t="s">
        <v>156</v>
      </c>
      <c r="J2064" s="202" t="s">
        <v>156</v>
      </c>
      <c r="K2064" s="202" t="s">
        <v>156</v>
      </c>
      <c r="L2064" s="202" t="s">
        <v>156</v>
      </c>
      <c r="M2064" s="93"/>
      <c r="N2064" s="219"/>
      <c r="O2064" s="195"/>
      <c r="P2064" s="104"/>
      <c r="Q2064" s="327"/>
      <c r="R2064" s="327"/>
      <c r="S2064" s="197"/>
      <c r="T2064" s="197"/>
      <c r="U2064" s="197"/>
      <c r="V2064" s="197"/>
      <c r="W2064" s="197"/>
      <c r="X2064" s="197"/>
      <c r="Y2064" s="197"/>
      <c r="Z2064" s="197"/>
      <c r="AA2064" s="197"/>
      <c r="AB2064" s="197"/>
      <c r="AC2064" s="197"/>
    </row>
    <row r="2065" spans="1:29" ht="21" customHeight="1">
      <c r="A2065" s="187">
        <v>19</v>
      </c>
      <c r="B2065" s="186" t="s">
        <v>69</v>
      </c>
      <c r="C2065" s="326" t="s">
        <v>143</v>
      </c>
      <c r="D2065" s="326"/>
      <c r="E2065" s="151"/>
      <c r="F2065" s="144" t="s">
        <v>71</v>
      </c>
      <c r="G2065" s="203" t="s">
        <v>156</v>
      </c>
      <c r="H2065" s="202" t="s">
        <v>156</v>
      </c>
      <c r="I2065" s="202" t="s">
        <v>156</v>
      </c>
      <c r="J2065" s="202" t="s">
        <v>156</v>
      </c>
      <c r="K2065" s="202" t="s">
        <v>156</v>
      </c>
      <c r="L2065" s="202" t="s">
        <v>156</v>
      </c>
      <c r="M2065" s="93"/>
      <c r="N2065" s="219"/>
      <c r="O2065" s="195"/>
      <c r="P2065" s="104"/>
      <c r="Q2065" s="327"/>
      <c r="R2065" s="327"/>
      <c r="S2065" s="197"/>
      <c r="T2065" s="197"/>
      <c r="U2065" s="197"/>
      <c r="V2065" s="197"/>
      <c r="W2065" s="197"/>
      <c r="X2065" s="197"/>
      <c r="Y2065" s="197"/>
      <c r="Z2065" s="197"/>
      <c r="AA2065" s="197"/>
      <c r="AB2065" s="197"/>
      <c r="AC2065" s="197"/>
    </row>
    <row r="2066" spans="1:29" ht="21" customHeight="1">
      <c r="A2066" s="187">
        <v>20</v>
      </c>
      <c r="B2066" s="186" t="s">
        <v>69</v>
      </c>
      <c r="C2066" s="326" t="s">
        <v>102</v>
      </c>
      <c r="D2066" s="326"/>
      <c r="E2066" s="150"/>
      <c r="F2066" s="154" t="s">
        <v>71</v>
      </c>
      <c r="G2066" s="203" t="s">
        <v>156</v>
      </c>
      <c r="H2066" s="202" t="s">
        <v>156</v>
      </c>
      <c r="I2066" s="202" t="s">
        <v>156</v>
      </c>
      <c r="J2066" s="202" t="s">
        <v>156</v>
      </c>
      <c r="K2066" s="202" t="s">
        <v>156</v>
      </c>
      <c r="L2066" s="202" t="s">
        <v>156</v>
      </c>
      <c r="M2066" s="93"/>
      <c r="N2066" s="219"/>
      <c r="O2066" s="195"/>
      <c r="P2066" s="104"/>
      <c r="Q2066" s="327"/>
      <c r="R2066" s="327"/>
      <c r="S2066" s="197"/>
      <c r="T2066" s="197"/>
      <c r="U2066" s="197"/>
      <c r="V2066" s="197"/>
      <c r="W2066" s="197"/>
      <c r="X2066" s="197"/>
      <c r="Y2066" s="197"/>
      <c r="Z2066" s="197"/>
      <c r="AA2066" s="197"/>
      <c r="AB2066" s="197"/>
      <c r="AC2066" s="197"/>
    </row>
    <row r="2067" spans="1:29" ht="24.75" customHeight="1">
      <c r="A2067" s="192" t="s">
        <v>128</v>
      </c>
      <c r="B2067" s="104"/>
      <c r="C2067" s="328" t="s">
        <v>130</v>
      </c>
      <c r="D2067" s="328"/>
      <c r="E2067" s="328"/>
      <c r="F2067" s="328"/>
      <c r="G2067" s="328"/>
      <c r="H2067" s="328"/>
      <c r="I2067" s="328"/>
      <c r="J2067" s="328"/>
      <c r="K2067" s="328"/>
      <c r="L2067" s="328"/>
      <c r="M2067" s="89"/>
      <c r="N2067" s="219"/>
      <c r="O2067" s="198"/>
      <c r="P2067" s="104"/>
      <c r="Q2067" s="329"/>
      <c r="R2067" s="329"/>
      <c r="S2067" s="329"/>
      <c r="T2067" s="329"/>
      <c r="U2067" s="329"/>
      <c r="V2067" s="329"/>
      <c r="W2067" s="329"/>
      <c r="X2067" s="329"/>
      <c r="Y2067" s="329"/>
      <c r="Z2067" s="329"/>
      <c r="AA2067" s="329"/>
      <c r="AB2067" s="329"/>
      <c r="AC2067" s="329"/>
    </row>
    <row r="2068" spans="1:29" ht="33" customHeight="1">
      <c r="A2068" s="189">
        <v>21</v>
      </c>
      <c r="B2068" s="188" t="s">
        <v>69</v>
      </c>
      <c r="C2068" s="307" t="s">
        <v>82</v>
      </c>
      <c r="D2068" s="308"/>
      <c r="E2068" s="182"/>
      <c r="F2068" s="191" t="s">
        <v>71</v>
      </c>
      <c r="G2068" s="201">
        <v>58</v>
      </c>
      <c r="H2068" s="201">
        <v>40</v>
      </c>
      <c r="I2068" s="201">
        <v>21</v>
      </c>
      <c r="J2068" s="201">
        <v>58</v>
      </c>
      <c r="K2068" s="201">
        <v>40</v>
      </c>
      <c r="L2068" s="201">
        <v>21</v>
      </c>
      <c r="M2068" s="89"/>
      <c r="N2068" s="219"/>
      <c r="O2068" s="199"/>
      <c r="P2068" s="200"/>
      <c r="Q2068" s="309"/>
      <c r="R2068" s="309"/>
      <c r="S2068" s="86"/>
      <c r="T2068" s="86"/>
      <c r="U2068" s="86"/>
      <c r="V2068" s="86"/>
      <c r="W2068" s="86"/>
      <c r="X2068" s="86"/>
      <c r="Y2068" s="86"/>
      <c r="Z2068" s="86"/>
      <c r="AA2068" s="86"/>
      <c r="AB2068" s="86"/>
      <c r="AC2068" s="86"/>
    </row>
    <row r="2069" spans="1:29" ht="33" customHeight="1">
      <c r="A2069" s="189">
        <v>22</v>
      </c>
      <c r="B2069" s="188" t="s">
        <v>69</v>
      </c>
      <c r="C2069" s="307" t="s">
        <v>103</v>
      </c>
      <c r="D2069" s="308"/>
      <c r="E2069" s="179"/>
      <c r="F2069" s="191" t="s">
        <v>71</v>
      </c>
      <c r="G2069" s="201">
        <v>9</v>
      </c>
      <c r="H2069" s="201">
        <v>9</v>
      </c>
      <c r="I2069" s="201">
        <v>7</v>
      </c>
      <c r="J2069" s="201">
        <v>9</v>
      </c>
      <c r="K2069" s="201">
        <v>9</v>
      </c>
      <c r="L2069" s="201">
        <v>7</v>
      </c>
      <c r="M2069" s="89"/>
      <c r="N2069" s="219"/>
      <c r="O2069" s="199"/>
      <c r="P2069" s="200"/>
      <c r="Q2069" s="309"/>
      <c r="R2069" s="309"/>
      <c r="S2069" s="86"/>
      <c r="T2069" s="86"/>
      <c r="U2069" s="86"/>
      <c r="V2069" s="86"/>
      <c r="W2069" s="86"/>
      <c r="X2069" s="86"/>
      <c r="Y2069" s="86"/>
      <c r="Z2069" s="86"/>
      <c r="AA2069" s="86"/>
      <c r="AB2069" s="86"/>
      <c r="AC2069" s="86"/>
    </row>
    <row r="2070" spans="1:29" ht="33" customHeight="1">
      <c r="A2070" s="189">
        <v>23</v>
      </c>
      <c r="B2070" s="188" t="s">
        <v>69</v>
      </c>
      <c r="C2070" s="307" t="s">
        <v>104</v>
      </c>
      <c r="D2070" s="308"/>
      <c r="E2070" s="179"/>
      <c r="F2070" s="191" t="s">
        <v>71</v>
      </c>
      <c r="G2070" s="201">
        <v>5</v>
      </c>
      <c r="H2070" s="201">
        <v>1</v>
      </c>
      <c r="I2070" s="201">
        <v>1</v>
      </c>
      <c r="J2070" s="201">
        <v>5</v>
      </c>
      <c r="K2070" s="201">
        <v>1</v>
      </c>
      <c r="L2070" s="201">
        <v>1</v>
      </c>
      <c r="M2070" s="89"/>
      <c r="N2070" s="219"/>
      <c r="O2070" s="199"/>
      <c r="P2070" s="200"/>
      <c r="Q2070" s="309"/>
      <c r="R2070" s="309"/>
      <c r="S2070" s="86"/>
      <c r="T2070" s="86"/>
      <c r="U2070" s="86"/>
      <c r="V2070" s="86"/>
      <c r="W2070" s="86"/>
      <c r="X2070" s="86"/>
      <c r="Y2070" s="86"/>
      <c r="Z2070" s="86"/>
      <c r="AA2070" s="86"/>
      <c r="AB2070" s="86"/>
      <c r="AC2070" s="86"/>
    </row>
    <row r="2071" spans="1:29" ht="27.75" customHeight="1">
      <c r="A2071" s="317" t="s">
        <v>135</v>
      </c>
      <c r="B2071" s="318"/>
      <c r="C2071" s="317" t="s">
        <v>68</v>
      </c>
      <c r="D2071" s="318"/>
      <c r="E2071" s="183"/>
      <c r="F2071" s="321" t="s">
        <v>136</v>
      </c>
      <c r="G2071" s="322" t="s">
        <v>155</v>
      </c>
      <c r="H2071" s="323"/>
      <c r="I2071" s="323"/>
      <c r="J2071" s="322" t="s">
        <v>154</v>
      </c>
      <c r="K2071" s="323"/>
      <c r="L2071" s="324"/>
      <c r="M2071" s="92"/>
      <c r="O2071" s="325"/>
      <c r="P2071" s="325"/>
      <c r="Q2071" s="325"/>
      <c r="R2071" s="325"/>
      <c r="S2071" s="316"/>
      <c r="T2071" s="316"/>
      <c r="U2071" s="316"/>
      <c r="V2071" s="316"/>
      <c r="W2071" s="316"/>
      <c r="X2071" s="316"/>
      <c r="Y2071" s="316"/>
      <c r="Z2071" s="316"/>
      <c r="AA2071" s="316"/>
      <c r="AB2071" s="316"/>
      <c r="AC2071" s="316"/>
    </row>
    <row r="2072" spans="1:29" ht="125.25" customHeight="1">
      <c r="A2072" s="319"/>
      <c r="B2072" s="320"/>
      <c r="C2072" s="319"/>
      <c r="D2072" s="320"/>
      <c r="E2072" s="184"/>
      <c r="F2072" s="321"/>
      <c r="G2072" s="153" t="s">
        <v>151</v>
      </c>
      <c r="H2072" s="153" t="s">
        <v>152</v>
      </c>
      <c r="I2072" s="153" t="s">
        <v>153</v>
      </c>
      <c r="J2072" s="153" t="s">
        <v>151</v>
      </c>
      <c r="K2072" s="153" t="s">
        <v>152</v>
      </c>
      <c r="L2072" s="153" t="s">
        <v>153</v>
      </c>
      <c r="O2072" s="325"/>
      <c r="P2072" s="325"/>
      <c r="Q2072" s="325"/>
      <c r="R2072" s="325"/>
      <c r="S2072" s="193"/>
      <c r="T2072" s="193"/>
      <c r="U2072" s="193"/>
      <c r="V2072" s="193"/>
      <c r="W2072" s="193"/>
      <c r="X2072" s="193"/>
      <c r="Y2072" s="193"/>
      <c r="Z2072" s="193"/>
      <c r="AA2072" s="193"/>
      <c r="AB2072" s="193"/>
      <c r="AC2072" s="193"/>
    </row>
    <row r="2073" spans="1:29" ht="30" customHeight="1">
      <c r="A2073" s="189">
        <v>24</v>
      </c>
      <c r="B2073" s="188" t="s">
        <v>69</v>
      </c>
      <c r="C2073" s="307" t="s">
        <v>131</v>
      </c>
      <c r="D2073" s="308"/>
      <c r="E2073" s="179"/>
      <c r="F2073" s="191" t="s">
        <v>71</v>
      </c>
      <c r="G2073" s="202" t="s">
        <v>156</v>
      </c>
      <c r="H2073" s="202" t="s">
        <v>156</v>
      </c>
      <c r="I2073" s="202" t="s">
        <v>156</v>
      </c>
      <c r="J2073" s="202" t="s">
        <v>156</v>
      </c>
      <c r="K2073" s="202" t="s">
        <v>156</v>
      </c>
      <c r="L2073" s="202" t="s">
        <v>156</v>
      </c>
      <c r="M2073" s="89"/>
      <c r="N2073" s="219"/>
      <c r="O2073" s="199"/>
      <c r="P2073" s="200"/>
      <c r="Q2073" s="309"/>
      <c r="R2073" s="309"/>
      <c r="S2073" s="86"/>
      <c r="T2073" s="86"/>
      <c r="U2073" s="86"/>
      <c r="V2073" s="86"/>
      <c r="W2073" s="86"/>
      <c r="X2073" s="86"/>
      <c r="Y2073" s="86"/>
      <c r="Z2073" s="86"/>
      <c r="AA2073" s="86"/>
      <c r="AB2073" s="86"/>
      <c r="AC2073" s="86"/>
    </row>
    <row r="2074" spans="1:29" ht="30" customHeight="1">
      <c r="A2074" s="189">
        <v>25</v>
      </c>
      <c r="B2074" s="188" t="s">
        <v>69</v>
      </c>
      <c r="C2074" s="307" t="s">
        <v>83</v>
      </c>
      <c r="D2074" s="308"/>
      <c r="E2074" s="179"/>
      <c r="F2074" s="191" t="s">
        <v>71</v>
      </c>
      <c r="G2074" s="201">
        <v>25</v>
      </c>
      <c r="H2074" s="201">
        <v>40</v>
      </c>
      <c r="I2074" s="201">
        <v>22</v>
      </c>
      <c r="J2074" s="201">
        <v>25</v>
      </c>
      <c r="K2074" s="201">
        <v>40</v>
      </c>
      <c r="L2074" s="201">
        <v>22</v>
      </c>
      <c r="M2074" s="89"/>
      <c r="N2074" s="219"/>
      <c r="O2074" s="199"/>
      <c r="P2074" s="200"/>
      <c r="Q2074" s="309"/>
      <c r="R2074" s="309"/>
      <c r="S2074" s="86"/>
      <c r="T2074" s="86"/>
      <c r="U2074" s="86"/>
      <c r="V2074" s="86"/>
      <c r="W2074" s="86"/>
      <c r="X2074" s="86"/>
      <c r="Y2074" s="86"/>
      <c r="Z2074" s="86"/>
      <c r="AA2074" s="86"/>
      <c r="AB2074" s="86"/>
      <c r="AC2074" s="86"/>
    </row>
    <row r="2075" spans="1:29" ht="30" customHeight="1">
      <c r="A2075" s="189">
        <v>26</v>
      </c>
      <c r="B2075" s="188" t="s">
        <v>69</v>
      </c>
      <c r="C2075" s="307" t="s">
        <v>84</v>
      </c>
      <c r="D2075" s="308"/>
      <c r="E2075" s="179"/>
      <c r="F2075" s="191" t="s">
        <v>71</v>
      </c>
      <c r="G2075" s="201">
        <v>5</v>
      </c>
      <c r="H2075" s="202" t="s">
        <v>156</v>
      </c>
      <c r="I2075" s="202" t="s">
        <v>156</v>
      </c>
      <c r="J2075" s="201">
        <v>5</v>
      </c>
      <c r="K2075" s="202" t="s">
        <v>156</v>
      </c>
      <c r="L2075" s="202" t="s">
        <v>156</v>
      </c>
      <c r="M2075" s="89"/>
      <c r="N2075" s="219"/>
      <c r="O2075" s="199"/>
      <c r="P2075" s="200"/>
      <c r="Q2075" s="309"/>
      <c r="R2075" s="309"/>
      <c r="S2075" s="86"/>
      <c r="T2075" s="86"/>
      <c r="U2075" s="86"/>
      <c r="V2075" s="86"/>
      <c r="W2075" s="86"/>
      <c r="X2075" s="86"/>
      <c r="Y2075" s="86"/>
      <c r="Z2075" s="86"/>
      <c r="AA2075" s="86"/>
      <c r="AB2075" s="86"/>
      <c r="AC2075" s="86"/>
    </row>
    <row r="2076" spans="1:29" ht="30" customHeight="1">
      <c r="A2076" s="189">
        <v>27</v>
      </c>
      <c r="B2076" s="188" t="s">
        <v>69</v>
      </c>
      <c r="C2076" s="307" t="s">
        <v>85</v>
      </c>
      <c r="D2076" s="308"/>
      <c r="E2076" s="179"/>
      <c r="F2076" s="191" t="s">
        <v>71</v>
      </c>
      <c r="G2076" s="201">
        <v>3</v>
      </c>
      <c r="H2076" s="201">
        <v>1</v>
      </c>
      <c r="I2076" s="201">
        <v>8</v>
      </c>
      <c r="J2076" s="201">
        <v>3</v>
      </c>
      <c r="K2076" s="201">
        <v>1</v>
      </c>
      <c r="L2076" s="201">
        <v>8</v>
      </c>
      <c r="M2076" s="89"/>
      <c r="N2076" s="219"/>
      <c r="O2076" s="199"/>
      <c r="P2076" s="200"/>
      <c r="Q2076" s="309"/>
      <c r="R2076" s="309"/>
      <c r="S2076" s="86"/>
      <c r="T2076" s="86"/>
      <c r="U2076" s="86"/>
      <c r="V2076" s="86"/>
      <c r="W2076" s="86"/>
      <c r="X2076" s="86"/>
      <c r="Y2076" s="86"/>
      <c r="Z2076" s="86"/>
      <c r="AA2076" s="86"/>
      <c r="AB2076" s="86"/>
      <c r="AC2076" s="86"/>
    </row>
    <row r="2077" spans="1:29" ht="30" customHeight="1">
      <c r="A2077" s="189">
        <v>28</v>
      </c>
      <c r="B2077" s="188" t="s">
        <v>69</v>
      </c>
      <c r="C2077" s="307" t="s">
        <v>132</v>
      </c>
      <c r="D2077" s="308"/>
      <c r="E2077" s="179"/>
      <c r="F2077" s="191" t="s">
        <v>71</v>
      </c>
      <c r="G2077" s="202" t="s">
        <v>156</v>
      </c>
      <c r="H2077" s="202" t="s">
        <v>156</v>
      </c>
      <c r="I2077" s="202" t="s">
        <v>156</v>
      </c>
      <c r="J2077" s="202" t="s">
        <v>156</v>
      </c>
      <c r="K2077" s="202" t="s">
        <v>156</v>
      </c>
      <c r="L2077" s="202" t="s">
        <v>156</v>
      </c>
      <c r="M2077" s="89"/>
      <c r="N2077" s="219"/>
      <c r="O2077" s="199"/>
      <c r="P2077" s="200"/>
      <c r="Q2077" s="309"/>
      <c r="R2077" s="309"/>
      <c r="S2077" s="86"/>
      <c r="T2077" s="86"/>
      <c r="U2077" s="86"/>
      <c r="V2077" s="86"/>
      <c r="W2077" s="86"/>
      <c r="X2077" s="86"/>
      <c r="Y2077" s="86"/>
      <c r="Z2077" s="86"/>
      <c r="AA2077" s="86"/>
      <c r="AB2077" s="86"/>
      <c r="AC2077" s="86"/>
    </row>
    <row r="2078" spans="1:29" ht="30" customHeight="1">
      <c r="A2078" s="189">
        <v>29</v>
      </c>
      <c r="B2078" s="188" t="s">
        <v>69</v>
      </c>
      <c r="C2078" s="307" t="s">
        <v>86</v>
      </c>
      <c r="D2078" s="308"/>
      <c r="E2078" s="179"/>
      <c r="F2078" s="191" t="s">
        <v>71</v>
      </c>
      <c r="G2078" s="201">
        <v>10</v>
      </c>
      <c r="H2078" s="201">
        <v>12</v>
      </c>
      <c r="I2078" s="201">
        <v>9</v>
      </c>
      <c r="J2078" s="201">
        <v>10</v>
      </c>
      <c r="K2078" s="201">
        <v>12</v>
      </c>
      <c r="L2078" s="201">
        <v>9</v>
      </c>
      <c r="M2078" s="89"/>
      <c r="N2078" s="219"/>
      <c r="O2078" s="199"/>
      <c r="P2078" s="200"/>
      <c r="Q2078" s="309"/>
      <c r="R2078" s="309"/>
      <c r="S2078" s="86"/>
      <c r="T2078" s="86"/>
      <c r="U2078" s="86"/>
      <c r="V2078" s="86"/>
      <c r="W2078" s="86"/>
      <c r="X2078" s="86"/>
      <c r="Y2078" s="86"/>
      <c r="Z2078" s="86"/>
      <c r="AA2078" s="86"/>
      <c r="AB2078" s="86"/>
      <c r="AC2078" s="86"/>
    </row>
    <row r="2079" spans="1:29" ht="30" customHeight="1">
      <c r="A2079" s="189">
        <v>30</v>
      </c>
      <c r="B2079" s="188" t="s">
        <v>69</v>
      </c>
      <c r="C2079" s="307" t="s">
        <v>87</v>
      </c>
      <c r="D2079" s="308"/>
      <c r="E2079" s="179"/>
      <c r="F2079" s="191" t="s">
        <v>71</v>
      </c>
      <c r="G2079" s="202" t="s">
        <v>156</v>
      </c>
      <c r="H2079" s="202" t="s">
        <v>156</v>
      </c>
      <c r="I2079" s="202" t="s">
        <v>156</v>
      </c>
      <c r="J2079" s="202" t="s">
        <v>156</v>
      </c>
      <c r="K2079" s="202" t="s">
        <v>156</v>
      </c>
      <c r="L2079" s="202" t="s">
        <v>156</v>
      </c>
      <c r="M2079" s="89"/>
      <c r="N2079" s="219"/>
      <c r="O2079" s="199"/>
      <c r="P2079" s="200"/>
      <c r="Q2079" s="309"/>
      <c r="R2079" s="309"/>
      <c r="S2079" s="86"/>
      <c r="T2079" s="86"/>
      <c r="U2079" s="86"/>
      <c r="V2079" s="86"/>
      <c r="W2079" s="86"/>
      <c r="X2079" s="86"/>
      <c r="Y2079" s="86"/>
      <c r="Z2079" s="86"/>
      <c r="AA2079" s="86"/>
      <c r="AB2079" s="86"/>
      <c r="AC2079" s="86"/>
    </row>
    <row r="2080" spans="1:29" ht="30" customHeight="1">
      <c r="A2080" s="189">
        <v>31</v>
      </c>
      <c r="B2080" s="188" t="s">
        <v>69</v>
      </c>
      <c r="C2080" s="307" t="s">
        <v>105</v>
      </c>
      <c r="D2080" s="308"/>
      <c r="E2080" s="179"/>
      <c r="F2080" s="191" t="s">
        <v>71</v>
      </c>
      <c r="G2080" s="201">
        <v>2</v>
      </c>
      <c r="H2080" s="203" t="s">
        <v>156</v>
      </c>
      <c r="I2080" s="201">
        <v>8</v>
      </c>
      <c r="J2080" s="201">
        <v>2</v>
      </c>
      <c r="K2080" s="203" t="s">
        <v>156</v>
      </c>
      <c r="L2080" s="201">
        <v>8</v>
      </c>
      <c r="M2080" s="89"/>
      <c r="N2080" s="219"/>
      <c r="O2080" s="199"/>
      <c r="P2080" s="200"/>
      <c r="Q2080" s="309"/>
      <c r="R2080" s="309"/>
      <c r="S2080" s="86"/>
      <c r="T2080" s="86"/>
      <c r="U2080" s="86"/>
      <c r="V2080" s="86"/>
      <c r="W2080" s="86"/>
      <c r="X2080" s="86"/>
      <c r="Y2080" s="86"/>
      <c r="Z2080" s="86"/>
      <c r="AA2080" s="86"/>
      <c r="AB2080" s="86"/>
      <c r="AC2080" s="86"/>
    </row>
    <row r="2081" spans="1:29" ht="30" customHeight="1">
      <c r="A2081" s="189">
        <v>32</v>
      </c>
      <c r="B2081" s="188" t="s">
        <v>69</v>
      </c>
      <c r="C2081" s="307" t="s">
        <v>133</v>
      </c>
      <c r="D2081" s="308"/>
      <c r="E2081" s="179"/>
      <c r="F2081" s="191" t="s">
        <v>71</v>
      </c>
      <c r="G2081" s="202" t="s">
        <v>156</v>
      </c>
      <c r="H2081" s="202" t="s">
        <v>156</v>
      </c>
      <c r="I2081" s="202" t="s">
        <v>156</v>
      </c>
      <c r="J2081" s="202" t="s">
        <v>156</v>
      </c>
      <c r="K2081" s="202" t="s">
        <v>156</v>
      </c>
      <c r="L2081" s="202" t="s">
        <v>156</v>
      </c>
      <c r="M2081" s="89"/>
      <c r="N2081" s="219"/>
      <c r="O2081" s="199"/>
      <c r="P2081" s="200"/>
      <c r="Q2081" s="309"/>
      <c r="R2081" s="309"/>
      <c r="S2081" s="86"/>
      <c r="T2081" s="86"/>
      <c r="U2081" s="86"/>
      <c r="V2081" s="86"/>
      <c r="W2081" s="86"/>
      <c r="X2081" s="86"/>
      <c r="Y2081" s="86"/>
      <c r="Z2081" s="86"/>
      <c r="AA2081" s="86"/>
      <c r="AB2081" s="86"/>
      <c r="AC2081" s="86"/>
    </row>
    <row r="2082" spans="1:29" ht="30" customHeight="1">
      <c r="A2082" s="189">
        <v>33</v>
      </c>
      <c r="B2082" s="188" t="s">
        <v>69</v>
      </c>
      <c r="C2082" s="307" t="s">
        <v>88</v>
      </c>
      <c r="D2082" s="308"/>
      <c r="E2082" s="179"/>
      <c r="F2082" s="191" t="s">
        <v>71</v>
      </c>
      <c r="G2082" s="201">
        <v>3</v>
      </c>
      <c r="H2082" s="201">
        <v>7</v>
      </c>
      <c r="I2082" s="201">
        <v>7</v>
      </c>
      <c r="J2082" s="201">
        <v>3</v>
      </c>
      <c r="K2082" s="201">
        <v>7</v>
      </c>
      <c r="L2082" s="201">
        <v>7</v>
      </c>
      <c r="M2082" s="89"/>
      <c r="N2082" s="219"/>
      <c r="O2082" s="199"/>
      <c r="P2082" s="200"/>
      <c r="Q2082" s="309"/>
      <c r="R2082" s="309"/>
      <c r="S2082" s="86"/>
      <c r="T2082" s="86"/>
      <c r="U2082" s="86"/>
      <c r="V2082" s="86"/>
      <c r="W2082" s="86"/>
      <c r="X2082" s="86"/>
      <c r="Y2082" s="86"/>
      <c r="Z2082" s="86"/>
      <c r="AA2082" s="86"/>
      <c r="AB2082" s="86"/>
      <c r="AC2082" s="86"/>
    </row>
    <row r="2083" spans="1:29" ht="30" customHeight="1">
      <c r="A2083" s="189">
        <v>34</v>
      </c>
      <c r="B2083" s="188" t="s">
        <v>69</v>
      </c>
      <c r="C2083" s="307" t="s">
        <v>89</v>
      </c>
      <c r="D2083" s="308"/>
      <c r="E2083" s="179"/>
      <c r="F2083" s="191" t="s">
        <v>71</v>
      </c>
      <c r="G2083" s="202" t="s">
        <v>156</v>
      </c>
      <c r="H2083" s="202" t="s">
        <v>156</v>
      </c>
      <c r="I2083" s="202" t="s">
        <v>156</v>
      </c>
      <c r="J2083" s="202" t="s">
        <v>156</v>
      </c>
      <c r="K2083" s="202" t="s">
        <v>156</v>
      </c>
      <c r="L2083" s="202" t="s">
        <v>156</v>
      </c>
      <c r="M2083" s="89"/>
      <c r="N2083" s="219"/>
      <c r="O2083" s="199"/>
      <c r="P2083" s="200"/>
      <c r="Q2083" s="309"/>
      <c r="R2083" s="309"/>
      <c r="S2083" s="86"/>
      <c r="T2083" s="86"/>
      <c r="U2083" s="86"/>
      <c r="V2083" s="86"/>
      <c r="W2083" s="86"/>
      <c r="X2083" s="86"/>
      <c r="Y2083" s="86"/>
      <c r="Z2083" s="86"/>
      <c r="AA2083" s="86"/>
      <c r="AB2083" s="86"/>
      <c r="AC2083" s="86"/>
    </row>
    <row r="2084" spans="1:29" ht="30" customHeight="1">
      <c r="A2084" s="189">
        <v>35</v>
      </c>
      <c r="B2084" s="188" t="s">
        <v>69</v>
      </c>
      <c r="C2084" s="307" t="s">
        <v>140</v>
      </c>
      <c r="D2084" s="308"/>
      <c r="E2084" s="179"/>
      <c r="F2084" s="191" t="s">
        <v>71</v>
      </c>
      <c r="G2084" s="202" t="s">
        <v>156</v>
      </c>
      <c r="H2084" s="202" t="s">
        <v>156</v>
      </c>
      <c r="I2084" s="201">
        <v>3</v>
      </c>
      <c r="J2084" s="202" t="s">
        <v>156</v>
      </c>
      <c r="K2084" s="202" t="s">
        <v>156</v>
      </c>
      <c r="L2084" s="201">
        <v>3</v>
      </c>
      <c r="M2084" s="89"/>
      <c r="N2084" s="220"/>
      <c r="O2084" s="199"/>
      <c r="P2084" s="200"/>
      <c r="Q2084" s="309"/>
      <c r="R2084" s="309"/>
      <c r="S2084" s="86"/>
      <c r="T2084" s="86"/>
      <c r="U2084" s="86"/>
      <c r="V2084" s="86"/>
      <c r="W2084" s="86"/>
      <c r="X2084" s="86"/>
      <c r="Y2084" s="86"/>
      <c r="Z2084" s="86"/>
      <c r="AA2084" s="86"/>
      <c r="AB2084" s="86"/>
      <c r="AC2084" s="86"/>
    </row>
    <row r="2085" spans="1:29" ht="30" customHeight="1">
      <c r="A2085" s="189">
        <v>36</v>
      </c>
      <c r="B2085" s="188" t="s">
        <v>69</v>
      </c>
      <c r="C2085" s="307" t="s">
        <v>134</v>
      </c>
      <c r="D2085" s="308"/>
      <c r="E2085" s="179"/>
      <c r="F2085" s="191" t="s">
        <v>71</v>
      </c>
      <c r="G2085" s="202" t="s">
        <v>156</v>
      </c>
      <c r="H2085" s="202" t="s">
        <v>156</v>
      </c>
      <c r="I2085" s="202" t="s">
        <v>156</v>
      </c>
      <c r="J2085" s="202" t="s">
        <v>156</v>
      </c>
      <c r="K2085" s="202" t="s">
        <v>156</v>
      </c>
      <c r="L2085" s="202" t="s">
        <v>156</v>
      </c>
      <c r="M2085" s="89"/>
      <c r="N2085" s="220"/>
      <c r="O2085" s="199"/>
      <c r="P2085" s="200"/>
      <c r="Q2085" s="309"/>
      <c r="R2085" s="309"/>
      <c r="S2085" s="86"/>
      <c r="T2085" s="86"/>
      <c r="U2085" s="86"/>
      <c r="V2085" s="86"/>
      <c r="W2085" s="86"/>
      <c r="X2085" s="86"/>
      <c r="Y2085" s="86"/>
      <c r="Z2085" s="86"/>
      <c r="AA2085" s="86"/>
      <c r="AB2085" s="86"/>
      <c r="AC2085" s="86"/>
    </row>
    <row r="2086" spans="1:29" ht="30" customHeight="1">
      <c r="A2086" s="189">
        <v>37</v>
      </c>
      <c r="B2086" s="188" t="s">
        <v>69</v>
      </c>
      <c r="C2086" s="307" t="s">
        <v>90</v>
      </c>
      <c r="D2086" s="308"/>
      <c r="E2086" s="179"/>
      <c r="F2086" s="191" t="s">
        <v>71</v>
      </c>
      <c r="G2086" s="202" t="s">
        <v>156</v>
      </c>
      <c r="H2086" s="202" t="s">
        <v>156</v>
      </c>
      <c r="I2086" s="202" t="s">
        <v>156</v>
      </c>
      <c r="J2086" s="202" t="s">
        <v>156</v>
      </c>
      <c r="K2086" s="202" t="s">
        <v>156</v>
      </c>
      <c r="L2086" s="202" t="s">
        <v>156</v>
      </c>
      <c r="M2086" s="89"/>
      <c r="N2086" s="220"/>
      <c r="O2086" s="199"/>
      <c r="P2086" s="200"/>
      <c r="Q2086" s="309"/>
      <c r="R2086" s="309"/>
      <c r="S2086" s="86"/>
      <c r="T2086" s="86"/>
      <c r="U2086" s="86"/>
      <c r="V2086" s="86"/>
      <c r="W2086" s="86"/>
      <c r="X2086" s="86"/>
      <c r="Y2086" s="86"/>
      <c r="Z2086" s="86"/>
      <c r="AA2086" s="86"/>
      <c r="AB2086" s="86"/>
      <c r="AC2086" s="86"/>
    </row>
    <row r="2087" spans="1:29" ht="30" customHeight="1">
      <c r="A2087" s="189">
        <v>38</v>
      </c>
      <c r="B2087" s="188" t="s">
        <v>69</v>
      </c>
      <c r="C2087" s="307" t="s">
        <v>106</v>
      </c>
      <c r="D2087" s="308"/>
      <c r="E2087" s="150"/>
      <c r="F2087" s="191" t="s">
        <v>71</v>
      </c>
      <c r="G2087" s="202" t="s">
        <v>156</v>
      </c>
      <c r="H2087" s="202" t="s">
        <v>156</v>
      </c>
      <c r="I2087" s="202" t="s">
        <v>156</v>
      </c>
      <c r="J2087" s="202" t="s">
        <v>156</v>
      </c>
      <c r="K2087" s="202" t="s">
        <v>156</v>
      </c>
      <c r="L2087" s="202" t="s">
        <v>156</v>
      </c>
      <c r="M2087" s="89"/>
      <c r="N2087" s="220"/>
      <c r="O2087" s="199"/>
      <c r="P2087" s="200"/>
      <c r="Q2087" s="309"/>
      <c r="R2087" s="309"/>
      <c r="S2087" s="86"/>
      <c r="T2087" s="86"/>
      <c r="U2087" s="86"/>
      <c r="V2087" s="86"/>
      <c r="W2087" s="86"/>
      <c r="X2087" s="86"/>
      <c r="Y2087" s="86"/>
      <c r="Z2087" s="86"/>
      <c r="AA2087" s="86"/>
      <c r="AB2087" s="86"/>
      <c r="AC2087" s="86"/>
    </row>
    <row r="2088" spans="1:29" ht="25.5" customHeight="1">
      <c r="A2088" s="310" t="s">
        <v>92</v>
      </c>
      <c r="B2088" s="310"/>
      <c r="C2088" s="310"/>
      <c r="D2088" s="310"/>
      <c r="E2088" s="310"/>
      <c r="F2088" s="310"/>
      <c r="G2088" s="310"/>
      <c r="H2088" s="310"/>
      <c r="I2088" s="310"/>
      <c r="J2088" s="310"/>
      <c r="K2088" s="310"/>
      <c r="L2088" s="310"/>
      <c r="M2088" s="92"/>
    </row>
    <row r="2089" spans="1:29" ht="19.5" customHeight="1">
      <c r="A2089" s="139"/>
      <c r="B2089" s="139"/>
      <c r="C2089" s="140"/>
      <c r="D2089" s="140" t="s">
        <v>145</v>
      </c>
      <c r="E2089" s="140"/>
      <c r="F2089" s="152" t="s">
        <v>54</v>
      </c>
      <c r="G2089" s="152"/>
      <c r="H2089" s="152"/>
      <c r="I2089" s="152"/>
      <c r="J2089" s="152" t="s">
        <v>144</v>
      </c>
      <c r="K2089" s="152"/>
      <c r="L2089" s="140"/>
      <c r="M2089" s="94"/>
    </row>
    <row r="2090" spans="1:29" ht="28.5" customHeight="1">
      <c r="A2090" s="310" t="s">
        <v>93</v>
      </c>
      <c r="B2090" s="310"/>
      <c r="C2090" s="310"/>
      <c r="D2090" s="310"/>
      <c r="E2090" s="310"/>
      <c r="F2090" s="310"/>
      <c r="G2090" s="310"/>
      <c r="H2090" s="310"/>
      <c r="I2090" s="310"/>
      <c r="J2090" s="310"/>
      <c r="K2090" s="310"/>
      <c r="L2090" s="310"/>
      <c r="M2090" s="92"/>
      <c r="N2090" s="311"/>
      <c r="O2090" s="311"/>
      <c r="P2090" s="311"/>
    </row>
    <row r="2091" spans="1:29" ht="20.25" customHeight="1">
      <c r="A2091" s="139"/>
      <c r="B2091" s="139"/>
      <c r="C2091" s="139"/>
      <c r="D2091" s="140" t="s">
        <v>145</v>
      </c>
      <c r="E2091" s="140"/>
      <c r="F2091" s="152" t="s">
        <v>54</v>
      </c>
      <c r="G2091" s="152"/>
      <c r="H2091" s="152"/>
      <c r="I2091" s="152"/>
      <c r="J2091" s="152" t="s">
        <v>144</v>
      </c>
      <c r="K2091" s="152"/>
      <c r="L2091" s="139"/>
      <c r="M2091" s="94"/>
      <c r="N2091" s="221"/>
      <c r="O2091" s="95"/>
      <c r="P2091" s="95"/>
    </row>
    <row r="2092" spans="1:29" ht="26.25" customHeight="1">
      <c r="A2092" s="312" t="s">
        <v>94</v>
      </c>
      <c r="B2092" s="312"/>
      <c r="C2092" s="312"/>
      <c r="D2092" s="312"/>
      <c r="E2092" s="312"/>
      <c r="F2092" s="312"/>
      <c r="G2092" s="312"/>
      <c r="H2092" s="312"/>
      <c r="I2092" s="312"/>
      <c r="J2092" s="312"/>
      <c r="K2092" s="312"/>
      <c r="L2092" s="312"/>
      <c r="M2092" s="92"/>
    </row>
    <row r="2093" spans="1:29" ht="22.5" customHeight="1">
      <c r="A2093" s="120"/>
      <c r="B2093" s="120"/>
      <c r="C2093" s="120"/>
      <c r="D2093" s="120"/>
      <c r="E2093" s="120"/>
      <c r="F2093" s="120"/>
      <c r="G2093" s="120"/>
      <c r="H2093" s="120"/>
      <c r="I2093" s="120"/>
      <c r="J2093" s="120"/>
      <c r="K2093" s="120"/>
      <c r="L2093" s="120"/>
      <c r="M2093" s="94"/>
    </row>
    <row r="2094" spans="1:29" ht="22.5" customHeight="1">
      <c r="A2094" s="313" t="s">
        <v>95</v>
      </c>
      <c r="B2094" s="313"/>
      <c r="C2094" s="313"/>
      <c r="D2094" s="313"/>
      <c r="E2094" s="313"/>
      <c r="F2094" s="313"/>
      <c r="G2094" s="313"/>
      <c r="H2094" s="313"/>
      <c r="I2094" s="313"/>
      <c r="J2094" s="313"/>
      <c r="K2094" s="313"/>
      <c r="L2094" s="313"/>
      <c r="M2094" s="92"/>
    </row>
    <row r="2095" spans="1:29" ht="19.5" customHeight="1">
      <c r="A2095" s="97"/>
      <c r="B2095" s="97"/>
      <c r="C2095" s="145"/>
      <c r="D2095" s="97"/>
      <c r="E2095" s="97"/>
      <c r="F2095" s="97"/>
      <c r="G2095" s="97"/>
      <c r="H2095" s="97"/>
      <c r="I2095" s="97"/>
      <c r="J2095" s="97"/>
      <c r="K2095" s="97"/>
      <c r="L2095" s="97"/>
      <c r="M2095" s="94"/>
    </row>
    <row r="2096" spans="1:29" ht="15.75">
      <c r="A2096" s="94"/>
      <c r="B2096" s="94"/>
      <c r="C2096" s="146"/>
      <c r="D2096" s="94"/>
      <c r="E2096" s="94"/>
      <c r="F2096" s="94"/>
      <c r="G2096" s="94"/>
      <c r="H2096" s="94"/>
      <c r="I2096" s="94"/>
      <c r="J2096" s="94"/>
      <c r="K2096" s="94"/>
      <c r="L2096" s="94"/>
      <c r="M2096" s="94"/>
    </row>
    <row r="2097" spans="1:16" ht="31.5" customHeight="1">
      <c r="A2097" s="314" t="s">
        <v>96</v>
      </c>
      <c r="B2097" s="314"/>
      <c r="C2097" s="314"/>
      <c r="D2097" s="314"/>
      <c r="E2097" s="98"/>
      <c r="F2097" s="98"/>
      <c r="G2097" s="98"/>
      <c r="H2097" s="315" t="s">
        <v>97</v>
      </c>
      <c r="I2097" s="315"/>
      <c r="J2097" s="315"/>
      <c r="K2097" s="315"/>
      <c r="L2097" s="315"/>
      <c r="M2097" s="94"/>
    </row>
    <row r="2098" spans="1:16" ht="95.1" customHeight="1">
      <c r="A2098" s="99"/>
      <c r="B2098" s="101" t="str">
        <f>B2028</f>
        <v>Ông Huỳnh Phước Hải        ….............</v>
      </c>
      <c r="C2098" s="147"/>
      <c r="D2098" s="99"/>
      <c r="E2098" s="81"/>
      <c r="F2098" s="100"/>
      <c r="G2098" s="100"/>
      <c r="H2098" s="306" t="str">
        <f>H2028</f>
        <v>Ông Phạm Tấn Việt          …..................</v>
      </c>
      <c r="I2098" s="306"/>
      <c r="J2098" s="306"/>
      <c r="K2098" s="306"/>
      <c r="L2098" s="306"/>
      <c r="M2098" s="94"/>
    </row>
    <row r="2099" spans="1:16" ht="6" customHeight="1">
      <c r="A2099" s="99"/>
      <c r="B2099" s="101"/>
      <c r="C2099" s="147"/>
      <c r="D2099" s="99"/>
      <c r="E2099" s="81"/>
      <c r="F2099" s="100"/>
      <c r="G2099" s="100"/>
      <c r="H2099" s="204"/>
      <c r="I2099" s="204"/>
      <c r="J2099" s="204"/>
      <c r="K2099" s="204"/>
      <c r="L2099" s="204"/>
      <c r="M2099" s="94"/>
    </row>
    <row r="2100" spans="1:16" ht="21.75" customHeight="1">
      <c r="A2100" s="348" t="s">
        <v>165</v>
      </c>
      <c r="B2100" s="348"/>
      <c r="C2100" s="348"/>
      <c r="D2100" s="348"/>
      <c r="E2100" s="348"/>
      <c r="F2100" s="348"/>
      <c r="G2100" s="348"/>
      <c r="H2100" s="348"/>
      <c r="I2100" s="348"/>
      <c r="J2100" s="348"/>
      <c r="K2100" s="348"/>
      <c r="L2100" s="348"/>
      <c r="M2100" s="82"/>
    </row>
    <row r="2101" spans="1:16" ht="19.5">
      <c r="A2101" s="84" t="str">
        <f>"Ngày "&amp;N2102&amp;" tháng "&amp;O3&amp;" năm "&amp;P3&amp;""</f>
        <v>Ngày 31 tháng 07 năm 2026</v>
      </c>
      <c r="B2101" s="84"/>
      <c r="C2101" s="85"/>
      <c r="N2101" s="216"/>
      <c r="O2101" s="20"/>
      <c r="P2101" s="20"/>
    </row>
    <row r="2102" spans="1:16" ht="16.5">
      <c r="A2102" s="337" t="s">
        <v>57</v>
      </c>
      <c r="B2102" s="337"/>
      <c r="C2102" s="337"/>
      <c r="D2102" s="311"/>
      <c r="E2102" s="311"/>
      <c r="F2102" s="311"/>
      <c r="G2102" s="95"/>
      <c r="H2102" s="95"/>
      <c r="I2102" s="95"/>
      <c r="J2102" s="95"/>
      <c r="K2102" s="95"/>
      <c r="L2102" s="95"/>
      <c r="N2102" s="217" t="s">
        <v>193</v>
      </c>
      <c r="O2102" s="214"/>
      <c r="P2102" s="17"/>
    </row>
    <row r="2103" spans="1:16" ht="15.75" customHeight="1">
      <c r="A2103" s="338"/>
      <c r="B2103" s="338"/>
      <c r="C2103" s="338"/>
      <c r="D2103" s="339" t="s">
        <v>58</v>
      </c>
      <c r="E2103" s="340"/>
      <c r="F2103" s="340"/>
      <c r="G2103" s="340"/>
      <c r="H2103" s="341"/>
      <c r="I2103" s="339" t="s">
        <v>59</v>
      </c>
      <c r="J2103" s="340"/>
      <c r="K2103" s="340"/>
      <c r="L2103" s="341"/>
    </row>
    <row r="2104" spans="1:16" ht="19.5" customHeight="1">
      <c r="A2104" s="342" t="s">
        <v>60</v>
      </c>
      <c r="B2104" s="342"/>
      <c r="C2104" s="342"/>
      <c r="D2104" s="343" t="s">
        <v>54</v>
      </c>
      <c r="E2104" s="344"/>
      <c r="F2104" s="344"/>
      <c r="G2104" s="344"/>
      <c r="H2104" s="345"/>
      <c r="I2104" s="343" t="s">
        <v>54</v>
      </c>
      <c r="J2104" s="344"/>
      <c r="K2104" s="344"/>
      <c r="L2104" s="345"/>
    </row>
    <row r="2105" spans="1:16" ht="22.5" customHeight="1">
      <c r="A2105" s="342" t="s">
        <v>61</v>
      </c>
      <c r="B2105" s="342"/>
      <c r="C2105" s="342"/>
      <c r="D2105" s="343" t="s">
        <v>163</v>
      </c>
      <c r="E2105" s="344"/>
      <c r="F2105" s="344"/>
      <c r="G2105" s="344"/>
      <c r="H2105" s="345"/>
      <c r="I2105" s="343" t="str">
        <f>D2105</f>
        <v>31° - 34°</v>
      </c>
      <c r="J2105" s="344"/>
      <c r="K2105" s="344"/>
      <c r="L2105" s="345"/>
    </row>
    <row r="2106" spans="1:16" s="87" customFormat="1" ht="19.5" customHeight="1">
      <c r="A2106" s="310" t="s">
        <v>62</v>
      </c>
      <c r="B2106" s="310"/>
      <c r="C2106" s="310"/>
      <c r="D2106" s="310"/>
      <c r="E2106" s="310"/>
      <c r="F2106" s="310"/>
      <c r="G2106" s="310"/>
      <c r="H2106" s="310"/>
      <c r="I2106" s="310"/>
      <c r="J2106" s="310"/>
      <c r="K2106" s="310"/>
      <c r="L2106" s="310"/>
      <c r="M2106" s="85"/>
      <c r="N2106" s="218"/>
    </row>
    <row r="2107" spans="1:16" s="87" customFormat="1" ht="15.75">
      <c r="A2107" s="332" t="s">
        <v>63</v>
      </c>
      <c r="B2107" s="332"/>
      <c r="C2107" s="332"/>
      <c r="D2107" s="332"/>
      <c r="E2107" s="332"/>
      <c r="F2107" s="332"/>
      <c r="G2107" s="332"/>
      <c r="H2107" s="332"/>
      <c r="I2107" s="332"/>
      <c r="J2107" s="332"/>
      <c r="K2107" s="332"/>
      <c r="L2107" s="332"/>
      <c r="M2107" s="85"/>
      <c r="N2107" s="218"/>
    </row>
    <row r="2108" spans="1:16" s="87" customFormat="1" ht="20.100000000000001" customHeight="1">
      <c r="A2108" s="88"/>
      <c r="B2108" s="88"/>
      <c r="C2108" s="333" t="s">
        <v>64</v>
      </c>
      <c r="D2108" s="334"/>
      <c r="E2108" s="334"/>
      <c r="F2108" s="334"/>
      <c r="G2108" s="334"/>
      <c r="H2108" s="334"/>
      <c r="I2108" s="334"/>
      <c r="J2108" s="334"/>
      <c r="K2108" s="334"/>
      <c r="L2108" s="334"/>
      <c r="M2108" s="85"/>
      <c r="N2108" s="218"/>
    </row>
    <row r="2109" spans="1:16" s="87" customFormat="1" ht="20.100000000000001" customHeight="1">
      <c r="A2109" s="88"/>
      <c r="B2109" s="88"/>
      <c r="C2109" s="333" t="s">
        <v>65</v>
      </c>
      <c r="D2109" s="334"/>
      <c r="E2109" s="334"/>
      <c r="F2109" s="334"/>
      <c r="G2109" s="334"/>
      <c r="H2109" s="334"/>
      <c r="I2109" s="334"/>
      <c r="J2109" s="334"/>
      <c r="K2109" s="334"/>
      <c r="L2109" s="334"/>
      <c r="M2109" s="85"/>
      <c r="N2109" s="218"/>
    </row>
    <row r="2110" spans="1:16" s="87" customFormat="1" ht="17.25" customHeight="1">
      <c r="A2110" s="335" t="s">
        <v>66</v>
      </c>
      <c r="B2110" s="335"/>
      <c r="C2110" s="335"/>
      <c r="D2110" s="335"/>
      <c r="E2110" s="335"/>
      <c r="F2110" s="335"/>
      <c r="G2110" s="335"/>
      <c r="H2110" s="335"/>
      <c r="I2110" s="335"/>
      <c r="J2110" s="335"/>
      <c r="K2110" s="335"/>
      <c r="L2110" s="335"/>
      <c r="M2110" s="85"/>
      <c r="N2110" s="218"/>
    </row>
    <row r="2111" spans="1:16" s="87" customFormat="1" ht="7.5" customHeight="1">
      <c r="A2111" s="119"/>
      <c r="B2111" s="119"/>
      <c r="C2111" s="119"/>
      <c r="D2111" s="119"/>
      <c r="E2111" s="119"/>
      <c r="F2111" s="119"/>
      <c r="G2111" s="119"/>
      <c r="H2111" s="119"/>
      <c r="I2111" s="119"/>
      <c r="J2111" s="119"/>
      <c r="K2111" s="119"/>
      <c r="L2111" s="119"/>
      <c r="M2111" s="85"/>
      <c r="N2111" s="218"/>
    </row>
    <row r="2112" spans="1:16" ht="15.75">
      <c r="A2112" s="336" t="s">
        <v>67</v>
      </c>
      <c r="B2112" s="336"/>
      <c r="C2112" s="336"/>
      <c r="D2112" s="336"/>
      <c r="E2112" s="336"/>
      <c r="F2112" s="336"/>
      <c r="G2112" s="336"/>
      <c r="H2112" s="336"/>
      <c r="I2112" s="336"/>
      <c r="J2112" s="336"/>
      <c r="K2112" s="336"/>
      <c r="L2112" s="336"/>
    </row>
    <row r="2113" spans="1:29" ht="2.25" customHeight="1">
      <c r="A2113" s="141"/>
      <c r="B2113" s="141"/>
      <c r="C2113" s="141"/>
      <c r="D2113" s="141"/>
      <c r="E2113" s="141"/>
      <c r="F2113" s="141"/>
      <c r="G2113" s="155"/>
      <c r="H2113" s="155"/>
      <c r="I2113" s="155"/>
      <c r="J2113" s="155"/>
      <c r="K2113" s="155"/>
      <c r="L2113" s="155"/>
    </row>
    <row r="2114" spans="1:29" ht="27.75" customHeight="1">
      <c r="A2114" s="317" t="s">
        <v>135</v>
      </c>
      <c r="B2114" s="318"/>
      <c r="C2114" s="317" t="s">
        <v>68</v>
      </c>
      <c r="D2114" s="318"/>
      <c r="E2114" s="183"/>
      <c r="F2114" s="321" t="s">
        <v>136</v>
      </c>
      <c r="G2114" s="322" t="s">
        <v>155</v>
      </c>
      <c r="H2114" s="323"/>
      <c r="I2114" s="323"/>
      <c r="J2114" s="322" t="s">
        <v>154</v>
      </c>
      <c r="K2114" s="323"/>
      <c r="L2114" s="324"/>
      <c r="M2114" s="92"/>
      <c r="O2114" s="325"/>
      <c r="P2114" s="325"/>
      <c r="Q2114" s="325"/>
      <c r="R2114" s="325"/>
      <c r="S2114" s="316"/>
      <c r="T2114" s="316"/>
      <c r="U2114" s="316"/>
      <c r="V2114" s="316"/>
      <c r="W2114" s="316"/>
      <c r="X2114" s="316"/>
      <c r="Y2114" s="316"/>
      <c r="Z2114" s="316"/>
      <c r="AA2114" s="316"/>
      <c r="AB2114" s="316"/>
      <c r="AC2114" s="316"/>
    </row>
    <row r="2115" spans="1:29" ht="125.25" customHeight="1">
      <c r="A2115" s="319"/>
      <c r="B2115" s="320"/>
      <c r="C2115" s="319"/>
      <c r="D2115" s="320"/>
      <c r="E2115" s="184"/>
      <c r="F2115" s="321"/>
      <c r="G2115" s="153" t="s">
        <v>151</v>
      </c>
      <c r="H2115" s="153" t="s">
        <v>152</v>
      </c>
      <c r="I2115" s="153" t="s">
        <v>153</v>
      </c>
      <c r="J2115" s="153" t="s">
        <v>151</v>
      </c>
      <c r="K2115" s="153" t="s">
        <v>152</v>
      </c>
      <c r="L2115" s="153" t="s">
        <v>153</v>
      </c>
      <c r="O2115" s="325"/>
      <c r="P2115" s="325"/>
      <c r="Q2115" s="325"/>
      <c r="R2115" s="325"/>
      <c r="S2115" s="193"/>
      <c r="T2115" s="193"/>
      <c r="U2115" s="193"/>
      <c r="V2115" s="193"/>
      <c r="W2115" s="193"/>
      <c r="X2115" s="193"/>
      <c r="Y2115" s="193"/>
      <c r="Z2115" s="193"/>
      <c r="AA2115" s="193"/>
      <c r="AB2115" s="193"/>
      <c r="AC2115" s="193"/>
    </row>
    <row r="2116" spans="1:29" ht="24.75" customHeight="1">
      <c r="A2116" s="190" t="s">
        <v>128</v>
      </c>
      <c r="B2116" s="142"/>
      <c r="C2116" s="330" t="s">
        <v>129</v>
      </c>
      <c r="D2116" s="330"/>
      <c r="E2116" s="330"/>
      <c r="F2116" s="330"/>
      <c r="G2116" s="330"/>
      <c r="H2116" s="330"/>
      <c r="I2116" s="330"/>
      <c r="J2116" s="330"/>
      <c r="K2116" s="330"/>
      <c r="L2116" s="330"/>
      <c r="M2116" s="93"/>
      <c r="O2116" s="156"/>
      <c r="P2116" s="142"/>
      <c r="Q2116" s="331"/>
      <c r="R2116" s="331"/>
      <c r="S2116" s="331"/>
      <c r="T2116" s="331"/>
      <c r="U2116" s="331"/>
      <c r="V2116" s="331"/>
      <c r="W2116" s="331"/>
      <c r="X2116" s="331"/>
      <c r="Y2116" s="331"/>
      <c r="Z2116" s="331"/>
      <c r="AA2116" s="331"/>
      <c r="AB2116" s="331"/>
      <c r="AC2116" s="331"/>
    </row>
    <row r="2117" spans="1:29" ht="20.100000000000001" customHeight="1">
      <c r="A2117" s="187">
        <v>1</v>
      </c>
      <c r="B2117" s="185" t="s">
        <v>69</v>
      </c>
      <c r="C2117" s="326" t="s">
        <v>70</v>
      </c>
      <c r="D2117" s="326"/>
      <c r="E2117" s="176"/>
      <c r="F2117" s="144" t="s">
        <v>71</v>
      </c>
      <c r="G2117" s="203" t="s">
        <v>156</v>
      </c>
      <c r="H2117" s="202" t="s">
        <v>156</v>
      </c>
      <c r="I2117" s="201">
        <v>1</v>
      </c>
      <c r="J2117" s="202" t="s">
        <v>156</v>
      </c>
      <c r="K2117" s="202" t="s">
        <v>156</v>
      </c>
      <c r="L2117" s="201">
        <v>1</v>
      </c>
      <c r="M2117" s="93"/>
      <c r="O2117" s="195"/>
      <c r="P2117" s="196"/>
      <c r="Q2117" s="327"/>
      <c r="R2117" s="327"/>
      <c r="S2117" s="86"/>
      <c r="T2117" s="86"/>
      <c r="U2117" s="86"/>
      <c r="V2117" s="86"/>
      <c r="W2117" s="194"/>
      <c r="X2117" s="194"/>
      <c r="Y2117" s="194"/>
      <c r="Z2117" s="194"/>
      <c r="AA2117" s="194"/>
      <c r="AB2117" s="194"/>
      <c r="AC2117" s="194"/>
    </row>
    <row r="2118" spans="1:29" ht="20.100000000000001" customHeight="1">
      <c r="A2118" s="187">
        <v>2</v>
      </c>
      <c r="B2118" s="185" t="s">
        <v>69</v>
      </c>
      <c r="C2118" s="326" t="s">
        <v>72</v>
      </c>
      <c r="D2118" s="326"/>
      <c r="E2118" s="176"/>
      <c r="F2118" s="144" t="s">
        <v>71</v>
      </c>
      <c r="G2118" s="203" t="s">
        <v>156</v>
      </c>
      <c r="H2118" s="202" t="s">
        <v>156</v>
      </c>
      <c r="I2118" s="202" t="s">
        <v>156</v>
      </c>
      <c r="J2118" s="202" t="s">
        <v>156</v>
      </c>
      <c r="K2118" s="202" t="s">
        <v>156</v>
      </c>
      <c r="L2118" s="202" t="s">
        <v>156</v>
      </c>
      <c r="M2118" s="93"/>
      <c r="O2118" s="195"/>
      <c r="P2118" s="196"/>
      <c r="Q2118" s="327"/>
      <c r="R2118" s="327"/>
      <c r="S2118" s="194"/>
      <c r="T2118" s="194"/>
      <c r="U2118" s="194"/>
      <c r="V2118" s="86"/>
      <c r="W2118" s="86"/>
      <c r="X2118" s="86"/>
      <c r="Y2118" s="86"/>
      <c r="Z2118" s="194"/>
      <c r="AA2118" s="194"/>
      <c r="AB2118" s="194"/>
      <c r="AC2118" s="194"/>
    </row>
    <row r="2119" spans="1:29" ht="20.100000000000001" customHeight="1">
      <c r="A2119" s="187">
        <v>3</v>
      </c>
      <c r="B2119" s="185" t="s">
        <v>69</v>
      </c>
      <c r="C2119" s="326" t="s">
        <v>73</v>
      </c>
      <c r="D2119" s="326"/>
      <c r="E2119" s="176"/>
      <c r="F2119" s="144" t="s">
        <v>71</v>
      </c>
      <c r="G2119" s="203" t="s">
        <v>156</v>
      </c>
      <c r="H2119" s="202" t="s">
        <v>156</v>
      </c>
      <c r="I2119" s="202" t="s">
        <v>156</v>
      </c>
      <c r="J2119" s="202" t="s">
        <v>156</v>
      </c>
      <c r="K2119" s="202" t="s">
        <v>156</v>
      </c>
      <c r="L2119" s="202" t="s">
        <v>156</v>
      </c>
      <c r="M2119" s="93"/>
      <c r="O2119" s="195"/>
      <c r="P2119" s="196"/>
      <c r="Q2119" s="327"/>
      <c r="R2119" s="327"/>
      <c r="S2119" s="194"/>
      <c r="T2119" s="86"/>
      <c r="U2119" s="86"/>
      <c r="V2119" s="86"/>
      <c r="W2119" s="86"/>
      <c r="X2119" s="194"/>
      <c r="Y2119" s="194"/>
      <c r="Z2119" s="194"/>
      <c r="AA2119" s="194"/>
      <c r="AB2119" s="194"/>
      <c r="AC2119" s="194"/>
    </row>
    <row r="2120" spans="1:29" ht="20.100000000000001" customHeight="1">
      <c r="A2120" s="187">
        <v>4</v>
      </c>
      <c r="B2120" s="185" t="s">
        <v>69</v>
      </c>
      <c r="C2120" s="326" t="s">
        <v>98</v>
      </c>
      <c r="D2120" s="326"/>
      <c r="E2120" s="176"/>
      <c r="F2120" s="144" t="s">
        <v>71</v>
      </c>
      <c r="G2120" s="203" t="s">
        <v>156</v>
      </c>
      <c r="H2120" s="202" t="s">
        <v>156</v>
      </c>
      <c r="I2120" s="202" t="s">
        <v>156</v>
      </c>
      <c r="J2120" s="202" t="s">
        <v>156</v>
      </c>
      <c r="K2120" s="202" t="s">
        <v>156</v>
      </c>
      <c r="L2120" s="202" t="s">
        <v>156</v>
      </c>
      <c r="M2120" s="93"/>
      <c r="O2120" s="195"/>
      <c r="P2120" s="196"/>
      <c r="Q2120" s="327"/>
      <c r="R2120" s="327"/>
      <c r="S2120" s="194"/>
      <c r="T2120" s="194"/>
      <c r="U2120" s="194"/>
      <c r="V2120" s="194"/>
      <c r="W2120" s="194"/>
      <c r="X2120" s="194"/>
      <c r="Y2120" s="194"/>
      <c r="Z2120" s="86"/>
      <c r="AA2120" s="86"/>
      <c r="AB2120" s="86"/>
      <c r="AC2120" s="86"/>
    </row>
    <row r="2121" spans="1:29" ht="20.100000000000001" customHeight="1">
      <c r="A2121" s="187">
        <v>5</v>
      </c>
      <c r="B2121" s="185" t="s">
        <v>69</v>
      </c>
      <c r="C2121" s="326" t="s">
        <v>74</v>
      </c>
      <c r="D2121" s="326"/>
      <c r="E2121" s="176"/>
      <c r="F2121" s="144" t="s">
        <v>71</v>
      </c>
      <c r="G2121" s="203" t="s">
        <v>156</v>
      </c>
      <c r="H2121" s="202" t="s">
        <v>156</v>
      </c>
      <c r="I2121" s="202" t="s">
        <v>156</v>
      </c>
      <c r="J2121" s="202" t="s">
        <v>156</v>
      </c>
      <c r="K2121" s="202" t="s">
        <v>156</v>
      </c>
      <c r="L2121" s="202" t="s">
        <v>156</v>
      </c>
      <c r="M2121" s="93"/>
      <c r="O2121" s="195"/>
      <c r="P2121" s="196"/>
      <c r="Q2121" s="327"/>
      <c r="R2121" s="327"/>
      <c r="S2121" s="194"/>
      <c r="T2121" s="194"/>
      <c r="U2121" s="194"/>
      <c r="V2121" s="194"/>
      <c r="W2121" s="194"/>
      <c r="X2121" s="194"/>
      <c r="Y2121" s="194"/>
      <c r="Z2121" s="194"/>
      <c r="AA2121" s="194"/>
      <c r="AB2121" s="194"/>
      <c r="AC2121" s="194"/>
    </row>
    <row r="2122" spans="1:29" ht="20.100000000000001" customHeight="1">
      <c r="A2122" s="187">
        <v>6</v>
      </c>
      <c r="B2122" s="185" t="s">
        <v>69</v>
      </c>
      <c r="C2122" s="326" t="s">
        <v>75</v>
      </c>
      <c r="D2122" s="326"/>
      <c r="E2122" s="176"/>
      <c r="F2122" s="144" t="s">
        <v>71</v>
      </c>
      <c r="G2122" s="203" t="s">
        <v>156</v>
      </c>
      <c r="H2122" s="202" t="s">
        <v>156</v>
      </c>
      <c r="I2122" s="202" t="s">
        <v>156</v>
      </c>
      <c r="J2122" s="202" t="s">
        <v>156</v>
      </c>
      <c r="K2122" s="202" t="s">
        <v>156</v>
      </c>
      <c r="L2122" s="202" t="s">
        <v>156</v>
      </c>
      <c r="M2122" s="93"/>
      <c r="O2122" s="195"/>
      <c r="P2122" s="196"/>
      <c r="Q2122" s="327"/>
      <c r="R2122" s="327"/>
      <c r="S2122" s="194"/>
      <c r="T2122" s="194"/>
      <c r="U2122" s="194"/>
      <c r="V2122" s="194"/>
      <c r="W2122" s="194"/>
      <c r="X2122" s="194"/>
      <c r="Y2122" s="194"/>
      <c r="Z2122" s="194"/>
      <c r="AA2122" s="194"/>
      <c r="AB2122" s="194"/>
      <c r="AC2122" s="194"/>
    </row>
    <row r="2123" spans="1:29" ht="20.100000000000001" customHeight="1">
      <c r="A2123" s="187">
        <v>7</v>
      </c>
      <c r="B2123" s="185" t="s">
        <v>69</v>
      </c>
      <c r="C2123" s="326" t="s">
        <v>76</v>
      </c>
      <c r="D2123" s="326"/>
      <c r="E2123" s="176"/>
      <c r="F2123" s="144" t="s">
        <v>71</v>
      </c>
      <c r="G2123" s="203" t="s">
        <v>156</v>
      </c>
      <c r="H2123" s="202" t="s">
        <v>156</v>
      </c>
      <c r="I2123" s="202" t="s">
        <v>156</v>
      </c>
      <c r="J2123" s="202" t="s">
        <v>156</v>
      </c>
      <c r="K2123" s="202" t="s">
        <v>156</v>
      </c>
      <c r="L2123" s="202" t="s">
        <v>156</v>
      </c>
      <c r="M2123" s="93"/>
      <c r="O2123" s="195"/>
      <c r="P2123" s="196"/>
      <c r="Q2123" s="327"/>
      <c r="R2123" s="327"/>
      <c r="S2123" s="194"/>
      <c r="T2123" s="194"/>
      <c r="U2123" s="194"/>
      <c r="V2123" s="194"/>
      <c r="W2123" s="194"/>
      <c r="X2123" s="194"/>
      <c r="Y2123" s="194"/>
      <c r="Z2123" s="194"/>
      <c r="AA2123" s="194"/>
      <c r="AB2123" s="194"/>
      <c r="AC2123" s="194"/>
    </row>
    <row r="2124" spans="1:29" ht="20.100000000000001" customHeight="1">
      <c r="A2124" s="187">
        <v>8</v>
      </c>
      <c r="B2124" s="185" t="s">
        <v>69</v>
      </c>
      <c r="C2124" s="326" t="s">
        <v>99</v>
      </c>
      <c r="D2124" s="326"/>
      <c r="E2124" s="176"/>
      <c r="F2124" s="144" t="s">
        <v>71</v>
      </c>
      <c r="G2124" s="203" t="s">
        <v>156</v>
      </c>
      <c r="H2124" s="202" t="s">
        <v>156</v>
      </c>
      <c r="I2124" s="202" t="s">
        <v>156</v>
      </c>
      <c r="J2124" s="202" t="s">
        <v>156</v>
      </c>
      <c r="K2124" s="202" t="s">
        <v>156</v>
      </c>
      <c r="L2124" s="202" t="s">
        <v>156</v>
      </c>
      <c r="M2124" s="93"/>
      <c r="O2124" s="195"/>
      <c r="P2124" s="196"/>
      <c r="Q2124" s="327"/>
      <c r="R2124" s="327"/>
      <c r="S2124" s="194"/>
      <c r="T2124" s="194"/>
      <c r="U2124" s="194"/>
      <c r="V2124" s="194"/>
      <c r="W2124" s="194"/>
      <c r="X2124" s="194"/>
      <c r="Y2124" s="194"/>
      <c r="Z2124" s="194"/>
      <c r="AA2124" s="194"/>
      <c r="AB2124" s="194"/>
      <c r="AC2124" s="194"/>
    </row>
    <row r="2125" spans="1:29" ht="20.100000000000001" customHeight="1">
      <c r="A2125" s="187">
        <v>9</v>
      </c>
      <c r="B2125" s="185" t="s">
        <v>69</v>
      </c>
      <c r="C2125" s="326" t="s">
        <v>77</v>
      </c>
      <c r="D2125" s="326"/>
      <c r="E2125" s="176"/>
      <c r="F2125" s="144" t="s">
        <v>71</v>
      </c>
      <c r="G2125" s="203" t="s">
        <v>156</v>
      </c>
      <c r="H2125" s="202" t="s">
        <v>156</v>
      </c>
      <c r="I2125" s="202" t="s">
        <v>156</v>
      </c>
      <c r="J2125" s="202" t="s">
        <v>156</v>
      </c>
      <c r="K2125" s="202" t="s">
        <v>156</v>
      </c>
      <c r="L2125" s="202" t="s">
        <v>156</v>
      </c>
      <c r="M2125" s="93"/>
      <c r="O2125" s="195"/>
      <c r="P2125" s="196"/>
      <c r="Q2125" s="327"/>
      <c r="R2125" s="327"/>
      <c r="S2125" s="194"/>
      <c r="T2125" s="194"/>
      <c r="U2125" s="194"/>
      <c r="V2125" s="194"/>
      <c r="W2125" s="194"/>
      <c r="X2125" s="194"/>
      <c r="Y2125" s="194"/>
      <c r="Z2125" s="194"/>
      <c r="AA2125" s="194"/>
      <c r="AB2125" s="194"/>
      <c r="AC2125" s="194"/>
    </row>
    <row r="2126" spans="1:29" ht="20.100000000000001" customHeight="1">
      <c r="A2126" s="187">
        <v>10</v>
      </c>
      <c r="B2126" s="185" t="s">
        <v>69</v>
      </c>
      <c r="C2126" s="326" t="s">
        <v>78</v>
      </c>
      <c r="D2126" s="326"/>
      <c r="E2126" s="176"/>
      <c r="F2126" s="144" t="s">
        <v>71</v>
      </c>
      <c r="G2126" s="203" t="s">
        <v>156</v>
      </c>
      <c r="H2126" s="202" t="s">
        <v>156</v>
      </c>
      <c r="I2126" s="202" t="s">
        <v>156</v>
      </c>
      <c r="J2126" s="202" t="s">
        <v>156</v>
      </c>
      <c r="K2126" s="202" t="s">
        <v>156</v>
      </c>
      <c r="L2126" s="202" t="s">
        <v>156</v>
      </c>
      <c r="M2126" s="93"/>
      <c r="O2126" s="195"/>
      <c r="P2126" s="196"/>
      <c r="Q2126" s="327"/>
      <c r="R2126" s="327"/>
      <c r="S2126" s="194"/>
      <c r="T2126" s="194"/>
      <c r="U2126" s="194"/>
      <c r="V2126" s="194"/>
      <c r="W2126" s="194"/>
      <c r="X2126" s="194"/>
      <c r="Y2126" s="194"/>
      <c r="Z2126" s="194"/>
      <c r="AA2126" s="194"/>
      <c r="AB2126" s="194"/>
      <c r="AC2126" s="194"/>
    </row>
    <row r="2127" spans="1:29" ht="20.100000000000001" customHeight="1">
      <c r="A2127" s="187">
        <v>11</v>
      </c>
      <c r="B2127" s="185" t="s">
        <v>69</v>
      </c>
      <c r="C2127" s="326" t="s">
        <v>79</v>
      </c>
      <c r="D2127" s="326"/>
      <c r="E2127" s="176"/>
      <c r="F2127" s="144" t="s">
        <v>71</v>
      </c>
      <c r="G2127" s="203" t="s">
        <v>156</v>
      </c>
      <c r="H2127" s="202" t="s">
        <v>156</v>
      </c>
      <c r="I2127" s="202" t="s">
        <v>156</v>
      </c>
      <c r="J2127" s="202" t="s">
        <v>156</v>
      </c>
      <c r="K2127" s="202" t="s">
        <v>156</v>
      </c>
      <c r="L2127" s="202" t="s">
        <v>156</v>
      </c>
      <c r="M2127" s="93"/>
      <c r="O2127" s="195"/>
      <c r="P2127" s="196"/>
      <c r="Q2127" s="327"/>
      <c r="R2127" s="327"/>
      <c r="S2127" s="194"/>
      <c r="T2127" s="194"/>
      <c r="U2127" s="194"/>
      <c r="V2127" s="194"/>
      <c r="W2127" s="194"/>
      <c r="X2127" s="194"/>
      <c r="Y2127" s="194"/>
      <c r="Z2127" s="194"/>
      <c r="AA2127" s="194"/>
      <c r="AB2127" s="194"/>
      <c r="AC2127" s="194"/>
    </row>
    <row r="2128" spans="1:29" ht="20.100000000000001" customHeight="1">
      <c r="A2128" s="187">
        <v>12</v>
      </c>
      <c r="B2128" s="185" t="s">
        <v>69</v>
      </c>
      <c r="C2128" s="326" t="s">
        <v>100</v>
      </c>
      <c r="D2128" s="326"/>
      <c r="E2128" s="176"/>
      <c r="F2128" s="144" t="s">
        <v>71</v>
      </c>
      <c r="G2128" s="203" t="s">
        <v>156</v>
      </c>
      <c r="H2128" s="202" t="s">
        <v>156</v>
      </c>
      <c r="I2128" s="202" t="s">
        <v>156</v>
      </c>
      <c r="J2128" s="202" t="s">
        <v>156</v>
      </c>
      <c r="K2128" s="202" t="s">
        <v>156</v>
      </c>
      <c r="L2128" s="202" t="s">
        <v>156</v>
      </c>
      <c r="M2128" s="93"/>
      <c r="O2128" s="195"/>
      <c r="P2128" s="196"/>
      <c r="Q2128" s="327"/>
      <c r="R2128" s="327"/>
      <c r="S2128" s="194"/>
      <c r="T2128" s="194"/>
      <c r="U2128" s="194"/>
      <c r="V2128" s="194"/>
      <c r="W2128" s="194"/>
      <c r="X2128" s="194"/>
      <c r="Y2128" s="194"/>
      <c r="Z2128" s="194"/>
      <c r="AA2128" s="194"/>
      <c r="AB2128" s="194"/>
      <c r="AC2128" s="194"/>
    </row>
    <row r="2129" spans="1:29" ht="20.100000000000001" customHeight="1">
      <c r="A2129" s="187">
        <v>13</v>
      </c>
      <c r="B2129" s="185" t="s">
        <v>69</v>
      </c>
      <c r="C2129" s="326" t="s">
        <v>80</v>
      </c>
      <c r="D2129" s="326"/>
      <c r="E2129" s="176"/>
      <c r="F2129" s="144" t="s">
        <v>71</v>
      </c>
      <c r="G2129" s="203" t="s">
        <v>156</v>
      </c>
      <c r="H2129" s="202" t="s">
        <v>156</v>
      </c>
      <c r="I2129" s="202" t="s">
        <v>156</v>
      </c>
      <c r="J2129" s="202" t="s">
        <v>156</v>
      </c>
      <c r="K2129" s="202" t="s">
        <v>156</v>
      </c>
      <c r="L2129" s="202" t="s">
        <v>156</v>
      </c>
      <c r="M2129" s="93"/>
      <c r="O2129" s="195"/>
      <c r="P2129" s="196"/>
      <c r="Q2129" s="327"/>
      <c r="R2129" s="327"/>
      <c r="S2129" s="194"/>
      <c r="T2129" s="194"/>
      <c r="U2129" s="194"/>
      <c r="V2129" s="194"/>
      <c r="W2129" s="194"/>
      <c r="X2129" s="194"/>
      <c r="Y2129" s="194"/>
      <c r="Z2129" s="194"/>
      <c r="AA2129" s="194"/>
      <c r="AB2129" s="194"/>
      <c r="AC2129" s="194"/>
    </row>
    <row r="2130" spans="1:29" ht="20.100000000000001" customHeight="1">
      <c r="A2130" s="187">
        <v>14</v>
      </c>
      <c r="B2130" s="185" t="s">
        <v>69</v>
      </c>
      <c r="C2130" s="326" t="s">
        <v>91</v>
      </c>
      <c r="D2130" s="326"/>
      <c r="E2130" s="176"/>
      <c r="F2130" s="144" t="s">
        <v>71</v>
      </c>
      <c r="G2130" s="203" t="s">
        <v>156</v>
      </c>
      <c r="H2130" s="202" t="s">
        <v>156</v>
      </c>
      <c r="I2130" s="202" t="s">
        <v>156</v>
      </c>
      <c r="J2130" s="202" t="s">
        <v>156</v>
      </c>
      <c r="K2130" s="202" t="s">
        <v>156</v>
      </c>
      <c r="L2130" s="202" t="s">
        <v>156</v>
      </c>
      <c r="M2130" s="93"/>
      <c r="O2130" s="195"/>
      <c r="P2130" s="196"/>
      <c r="Q2130" s="327"/>
      <c r="R2130" s="327"/>
      <c r="S2130" s="194"/>
      <c r="T2130" s="194"/>
      <c r="U2130" s="194"/>
      <c r="V2130" s="194"/>
      <c r="W2130" s="194"/>
      <c r="X2130" s="194"/>
      <c r="Y2130" s="194"/>
      <c r="Z2130" s="194"/>
      <c r="AA2130" s="194"/>
      <c r="AB2130" s="194"/>
      <c r="AC2130" s="194"/>
    </row>
    <row r="2131" spans="1:29" ht="20.100000000000001" customHeight="1">
      <c r="A2131" s="187">
        <v>15</v>
      </c>
      <c r="B2131" s="185" t="s">
        <v>69</v>
      </c>
      <c r="C2131" s="326" t="s">
        <v>81</v>
      </c>
      <c r="D2131" s="326"/>
      <c r="E2131" s="176"/>
      <c r="F2131" s="144" t="s">
        <v>71</v>
      </c>
      <c r="G2131" s="203" t="s">
        <v>156</v>
      </c>
      <c r="H2131" s="202" t="s">
        <v>156</v>
      </c>
      <c r="I2131" s="202" t="s">
        <v>156</v>
      </c>
      <c r="J2131" s="202" t="s">
        <v>156</v>
      </c>
      <c r="K2131" s="202" t="s">
        <v>156</v>
      </c>
      <c r="L2131" s="202" t="s">
        <v>156</v>
      </c>
      <c r="M2131" s="93"/>
      <c r="O2131" s="195"/>
      <c r="P2131" s="196"/>
      <c r="Q2131" s="327"/>
      <c r="R2131" s="327"/>
      <c r="S2131" s="194"/>
      <c r="T2131" s="194"/>
      <c r="U2131" s="194"/>
      <c r="V2131" s="194"/>
      <c r="W2131" s="194"/>
      <c r="X2131" s="194"/>
      <c r="Y2131" s="194"/>
      <c r="Z2131" s="194"/>
      <c r="AA2131" s="194"/>
      <c r="AB2131" s="194"/>
      <c r="AC2131" s="194"/>
    </row>
    <row r="2132" spans="1:29" ht="20.100000000000001" customHeight="1">
      <c r="A2132" s="187">
        <v>16</v>
      </c>
      <c r="B2132" s="185" t="s">
        <v>69</v>
      </c>
      <c r="C2132" s="326" t="s">
        <v>101</v>
      </c>
      <c r="D2132" s="326"/>
      <c r="E2132" s="151"/>
      <c r="F2132" s="144" t="s">
        <v>71</v>
      </c>
      <c r="G2132" s="203" t="s">
        <v>156</v>
      </c>
      <c r="H2132" s="202" t="s">
        <v>156</v>
      </c>
      <c r="I2132" s="202" t="s">
        <v>156</v>
      </c>
      <c r="J2132" s="202" t="s">
        <v>156</v>
      </c>
      <c r="K2132" s="202" t="s">
        <v>156</v>
      </c>
      <c r="L2132" s="202" t="s">
        <v>156</v>
      </c>
      <c r="M2132" s="93"/>
      <c r="N2132" s="219"/>
      <c r="O2132" s="195"/>
      <c r="P2132" s="196"/>
      <c r="Q2132" s="327"/>
      <c r="R2132" s="327"/>
      <c r="S2132" s="197"/>
      <c r="T2132" s="197"/>
      <c r="U2132" s="197"/>
      <c r="V2132" s="197"/>
      <c r="W2132" s="197"/>
      <c r="X2132" s="197"/>
      <c r="Y2132" s="197"/>
      <c r="Z2132" s="197"/>
      <c r="AA2132" s="197"/>
      <c r="AB2132" s="197"/>
      <c r="AC2132" s="197"/>
    </row>
    <row r="2133" spans="1:29" ht="20.100000000000001" customHeight="1">
      <c r="A2133" s="187">
        <v>17</v>
      </c>
      <c r="B2133" s="186" t="s">
        <v>69</v>
      </c>
      <c r="C2133" s="326" t="s">
        <v>141</v>
      </c>
      <c r="D2133" s="326"/>
      <c r="E2133" s="151"/>
      <c r="F2133" s="144" t="s">
        <v>71</v>
      </c>
      <c r="G2133" s="203" t="s">
        <v>156</v>
      </c>
      <c r="H2133" s="202" t="s">
        <v>156</v>
      </c>
      <c r="I2133" s="202" t="s">
        <v>156</v>
      </c>
      <c r="J2133" s="202" t="s">
        <v>156</v>
      </c>
      <c r="K2133" s="202" t="s">
        <v>156</v>
      </c>
      <c r="L2133" s="202" t="s">
        <v>156</v>
      </c>
      <c r="M2133" s="93"/>
      <c r="N2133" s="219"/>
      <c r="O2133" s="195"/>
      <c r="P2133" s="104"/>
      <c r="Q2133" s="327"/>
      <c r="R2133" s="327"/>
      <c r="S2133" s="197"/>
      <c r="T2133" s="197"/>
      <c r="U2133" s="197"/>
      <c r="V2133" s="197"/>
      <c r="W2133" s="197"/>
      <c r="X2133" s="197"/>
      <c r="Y2133" s="197"/>
      <c r="Z2133" s="197"/>
      <c r="AA2133" s="197"/>
      <c r="AB2133" s="197"/>
      <c r="AC2133" s="197"/>
    </row>
    <row r="2134" spans="1:29" ht="20.100000000000001" customHeight="1">
      <c r="A2134" s="187">
        <v>18</v>
      </c>
      <c r="B2134" s="186" t="s">
        <v>69</v>
      </c>
      <c r="C2134" s="326" t="s">
        <v>142</v>
      </c>
      <c r="D2134" s="326"/>
      <c r="E2134" s="151"/>
      <c r="F2134" s="144" t="s">
        <v>71</v>
      </c>
      <c r="G2134" s="203" t="s">
        <v>156</v>
      </c>
      <c r="H2134" s="202" t="s">
        <v>156</v>
      </c>
      <c r="I2134" s="202" t="s">
        <v>156</v>
      </c>
      <c r="J2134" s="202" t="s">
        <v>156</v>
      </c>
      <c r="K2134" s="202" t="s">
        <v>156</v>
      </c>
      <c r="L2134" s="202" t="s">
        <v>156</v>
      </c>
      <c r="M2134" s="93"/>
      <c r="N2134" s="219"/>
      <c r="O2134" s="195"/>
      <c r="P2134" s="104"/>
      <c r="Q2134" s="327"/>
      <c r="R2134" s="327"/>
      <c r="S2134" s="197"/>
      <c r="T2134" s="197"/>
      <c r="U2134" s="197"/>
      <c r="V2134" s="197"/>
      <c r="W2134" s="197"/>
      <c r="X2134" s="197"/>
      <c r="Y2134" s="197"/>
      <c r="Z2134" s="197"/>
      <c r="AA2134" s="197"/>
      <c r="AB2134" s="197"/>
      <c r="AC2134" s="197"/>
    </row>
    <row r="2135" spans="1:29" ht="20.100000000000001" customHeight="1">
      <c r="A2135" s="187">
        <v>19</v>
      </c>
      <c r="B2135" s="186" t="s">
        <v>69</v>
      </c>
      <c r="C2135" s="326" t="s">
        <v>143</v>
      </c>
      <c r="D2135" s="326"/>
      <c r="E2135" s="151"/>
      <c r="F2135" s="144" t="s">
        <v>71</v>
      </c>
      <c r="G2135" s="203" t="s">
        <v>156</v>
      </c>
      <c r="H2135" s="202" t="s">
        <v>156</v>
      </c>
      <c r="I2135" s="202" t="s">
        <v>156</v>
      </c>
      <c r="J2135" s="202" t="s">
        <v>156</v>
      </c>
      <c r="K2135" s="202" t="s">
        <v>156</v>
      </c>
      <c r="L2135" s="202" t="s">
        <v>156</v>
      </c>
      <c r="M2135" s="93"/>
      <c r="N2135" s="219"/>
      <c r="O2135" s="195"/>
      <c r="P2135" s="104"/>
      <c r="Q2135" s="327"/>
      <c r="R2135" s="327"/>
      <c r="S2135" s="197"/>
      <c r="T2135" s="197"/>
      <c r="U2135" s="197"/>
      <c r="V2135" s="197"/>
      <c r="W2135" s="197"/>
      <c r="X2135" s="197"/>
      <c r="Y2135" s="197"/>
      <c r="Z2135" s="197"/>
      <c r="AA2135" s="197"/>
      <c r="AB2135" s="197"/>
      <c r="AC2135" s="197"/>
    </row>
    <row r="2136" spans="1:29" ht="20.100000000000001" customHeight="1">
      <c r="A2136" s="187">
        <v>20</v>
      </c>
      <c r="B2136" s="186" t="s">
        <v>69</v>
      </c>
      <c r="C2136" s="326" t="s">
        <v>102</v>
      </c>
      <c r="D2136" s="326"/>
      <c r="E2136" s="150"/>
      <c r="F2136" s="154" t="s">
        <v>71</v>
      </c>
      <c r="G2136" s="203" t="s">
        <v>156</v>
      </c>
      <c r="H2136" s="202" t="s">
        <v>156</v>
      </c>
      <c r="I2136" s="202" t="s">
        <v>156</v>
      </c>
      <c r="J2136" s="202" t="s">
        <v>156</v>
      </c>
      <c r="K2136" s="202" t="s">
        <v>156</v>
      </c>
      <c r="L2136" s="202" t="s">
        <v>156</v>
      </c>
      <c r="M2136" s="93"/>
      <c r="N2136" s="219"/>
      <c r="O2136" s="195"/>
      <c r="P2136" s="104"/>
      <c r="Q2136" s="327"/>
      <c r="R2136" s="327"/>
      <c r="S2136" s="197"/>
      <c r="T2136" s="197"/>
      <c r="U2136" s="197"/>
      <c r="V2136" s="197"/>
      <c r="W2136" s="197"/>
      <c r="X2136" s="197"/>
      <c r="Y2136" s="197"/>
      <c r="Z2136" s="197"/>
      <c r="AA2136" s="197"/>
      <c r="AB2136" s="197"/>
      <c r="AC2136" s="197"/>
    </row>
    <row r="2137" spans="1:29" ht="24.75" customHeight="1">
      <c r="A2137" s="190" t="s">
        <v>128</v>
      </c>
      <c r="B2137" s="142"/>
      <c r="C2137" s="330" t="s">
        <v>130</v>
      </c>
      <c r="D2137" s="330"/>
      <c r="E2137" s="330"/>
      <c r="F2137" s="330"/>
      <c r="G2137" s="330"/>
      <c r="H2137" s="330"/>
      <c r="I2137" s="330"/>
      <c r="J2137" s="330"/>
      <c r="K2137" s="330"/>
      <c r="L2137" s="330"/>
      <c r="M2137" s="93"/>
      <c r="O2137" s="156"/>
      <c r="P2137" s="142"/>
      <c r="Q2137" s="331"/>
      <c r="R2137" s="331"/>
      <c r="S2137" s="331"/>
      <c r="T2137" s="331"/>
      <c r="U2137" s="331"/>
      <c r="V2137" s="331"/>
      <c r="W2137" s="331"/>
      <c r="X2137" s="331"/>
      <c r="Y2137" s="331"/>
      <c r="Z2137" s="331"/>
      <c r="AA2137" s="331"/>
      <c r="AB2137" s="331"/>
      <c r="AC2137" s="331"/>
    </row>
    <row r="2138" spans="1:29" ht="33" customHeight="1">
      <c r="A2138" s="189">
        <v>21</v>
      </c>
      <c r="B2138" s="188" t="s">
        <v>69</v>
      </c>
      <c r="C2138" s="307" t="s">
        <v>82</v>
      </c>
      <c r="D2138" s="308"/>
      <c r="E2138" s="182"/>
      <c r="F2138" s="191" t="s">
        <v>71</v>
      </c>
      <c r="G2138" s="201">
        <v>58</v>
      </c>
      <c r="H2138" s="201">
        <v>40</v>
      </c>
      <c r="I2138" s="201">
        <v>21</v>
      </c>
      <c r="J2138" s="201">
        <v>58</v>
      </c>
      <c r="K2138" s="201">
        <v>40</v>
      </c>
      <c r="L2138" s="201">
        <v>21</v>
      </c>
      <c r="M2138" s="89"/>
      <c r="N2138" s="219"/>
      <c r="O2138" s="199"/>
      <c r="P2138" s="200"/>
      <c r="Q2138" s="309"/>
      <c r="R2138" s="309"/>
      <c r="S2138" s="86"/>
      <c r="T2138" s="86"/>
      <c r="U2138" s="86"/>
      <c r="V2138" s="86"/>
      <c r="W2138" s="86"/>
      <c r="X2138" s="86"/>
      <c r="Y2138" s="86"/>
      <c r="Z2138" s="86"/>
      <c r="AA2138" s="86"/>
      <c r="AB2138" s="86"/>
      <c r="AC2138" s="86"/>
    </row>
    <row r="2139" spans="1:29" ht="33" customHeight="1">
      <c r="A2139" s="189">
        <v>22</v>
      </c>
      <c r="B2139" s="188" t="s">
        <v>69</v>
      </c>
      <c r="C2139" s="307" t="s">
        <v>103</v>
      </c>
      <c r="D2139" s="308"/>
      <c r="E2139" s="179"/>
      <c r="F2139" s="191" t="s">
        <v>71</v>
      </c>
      <c r="G2139" s="201">
        <v>9</v>
      </c>
      <c r="H2139" s="201">
        <v>9</v>
      </c>
      <c r="I2139" s="201">
        <v>7</v>
      </c>
      <c r="J2139" s="201">
        <v>9</v>
      </c>
      <c r="K2139" s="201">
        <v>9</v>
      </c>
      <c r="L2139" s="201">
        <v>7</v>
      </c>
      <c r="M2139" s="89"/>
      <c r="N2139" s="219"/>
      <c r="O2139" s="199"/>
      <c r="P2139" s="200"/>
      <c r="Q2139" s="309"/>
      <c r="R2139" s="309"/>
      <c r="S2139" s="86"/>
      <c r="T2139" s="86"/>
      <c r="U2139" s="86"/>
      <c r="V2139" s="86"/>
      <c r="W2139" s="86"/>
      <c r="X2139" s="86"/>
      <c r="Y2139" s="86"/>
      <c r="Z2139" s="86"/>
      <c r="AA2139" s="86"/>
      <c r="AB2139" s="86"/>
      <c r="AC2139" s="86"/>
    </row>
    <row r="2140" spans="1:29" ht="33" customHeight="1">
      <c r="A2140" s="189">
        <v>23</v>
      </c>
      <c r="B2140" s="188" t="s">
        <v>69</v>
      </c>
      <c r="C2140" s="307" t="s">
        <v>104</v>
      </c>
      <c r="D2140" s="308"/>
      <c r="E2140" s="179"/>
      <c r="F2140" s="191" t="s">
        <v>71</v>
      </c>
      <c r="G2140" s="201">
        <v>5</v>
      </c>
      <c r="H2140" s="201">
        <v>1</v>
      </c>
      <c r="I2140" s="201">
        <v>1</v>
      </c>
      <c r="J2140" s="201">
        <v>5</v>
      </c>
      <c r="K2140" s="201">
        <v>1</v>
      </c>
      <c r="L2140" s="201">
        <v>1</v>
      </c>
      <c r="M2140" s="89"/>
      <c r="N2140" s="219"/>
      <c r="O2140" s="199"/>
      <c r="P2140" s="200"/>
      <c r="Q2140" s="309"/>
      <c r="R2140" s="309"/>
      <c r="S2140" s="86"/>
      <c r="T2140" s="86"/>
      <c r="U2140" s="86"/>
      <c r="V2140" s="86"/>
      <c r="W2140" s="86"/>
      <c r="X2140" s="86"/>
      <c r="Y2140" s="86"/>
      <c r="Z2140" s="86"/>
      <c r="AA2140" s="86"/>
      <c r="AB2140" s="86"/>
      <c r="AC2140" s="86"/>
    </row>
    <row r="2141" spans="1:29" ht="27.75" customHeight="1">
      <c r="A2141" s="317" t="s">
        <v>135</v>
      </c>
      <c r="B2141" s="318"/>
      <c r="C2141" s="317" t="s">
        <v>68</v>
      </c>
      <c r="D2141" s="318"/>
      <c r="E2141" s="183"/>
      <c r="F2141" s="321" t="s">
        <v>136</v>
      </c>
      <c r="G2141" s="322" t="s">
        <v>155</v>
      </c>
      <c r="H2141" s="323"/>
      <c r="I2141" s="323"/>
      <c r="J2141" s="322" t="s">
        <v>154</v>
      </c>
      <c r="K2141" s="323"/>
      <c r="L2141" s="324"/>
      <c r="M2141" s="92"/>
      <c r="O2141" s="325"/>
      <c r="P2141" s="325"/>
      <c r="Q2141" s="325"/>
      <c r="R2141" s="325"/>
      <c r="S2141" s="316"/>
      <c r="T2141" s="316"/>
      <c r="U2141" s="316"/>
      <c r="V2141" s="316"/>
      <c r="W2141" s="316"/>
      <c r="X2141" s="316"/>
      <c r="Y2141" s="316"/>
      <c r="Z2141" s="316"/>
      <c r="AA2141" s="316"/>
      <c r="AB2141" s="316"/>
      <c r="AC2141" s="316"/>
    </row>
    <row r="2142" spans="1:29" ht="125.25" customHeight="1">
      <c r="A2142" s="319"/>
      <c r="B2142" s="320"/>
      <c r="C2142" s="319"/>
      <c r="D2142" s="320"/>
      <c r="E2142" s="184"/>
      <c r="F2142" s="321"/>
      <c r="G2142" s="153" t="s">
        <v>151</v>
      </c>
      <c r="H2142" s="153" t="s">
        <v>152</v>
      </c>
      <c r="I2142" s="153" t="s">
        <v>153</v>
      </c>
      <c r="J2142" s="153" t="s">
        <v>151</v>
      </c>
      <c r="K2142" s="153" t="s">
        <v>152</v>
      </c>
      <c r="L2142" s="153" t="s">
        <v>153</v>
      </c>
      <c r="O2142" s="325"/>
      <c r="P2142" s="325"/>
      <c r="Q2142" s="325"/>
      <c r="R2142" s="325"/>
      <c r="S2142" s="193"/>
      <c r="T2142" s="193"/>
      <c r="U2142" s="193"/>
      <c r="V2142" s="193"/>
      <c r="W2142" s="193"/>
      <c r="X2142" s="193"/>
      <c r="Y2142" s="193"/>
      <c r="Z2142" s="193"/>
      <c r="AA2142" s="193"/>
      <c r="AB2142" s="193"/>
      <c r="AC2142" s="193"/>
    </row>
    <row r="2143" spans="1:29" ht="30" customHeight="1">
      <c r="A2143" s="189">
        <v>24</v>
      </c>
      <c r="B2143" s="188" t="s">
        <v>69</v>
      </c>
      <c r="C2143" s="307" t="s">
        <v>131</v>
      </c>
      <c r="D2143" s="308"/>
      <c r="E2143" s="179"/>
      <c r="F2143" s="191" t="s">
        <v>71</v>
      </c>
      <c r="G2143" s="202" t="s">
        <v>156</v>
      </c>
      <c r="H2143" s="202" t="s">
        <v>156</v>
      </c>
      <c r="I2143" s="202" t="s">
        <v>156</v>
      </c>
      <c r="J2143" s="202" t="s">
        <v>156</v>
      </c>
      <c r="K2143" s="202" t="s">
        <v>156</v>
      </c>
      <c r="L2143" s="202" t="s">
        <v>156</v>
      </c>
      <c r="M2143" s="89"/>
      <c r="N2143" s="219"/>
      <c r="O2143" s="199"/>
      <c r="P2143" s="200"/>
      <c r="Q2143" s="309"/>
      <c r="R2143" s="309"/>
      <c r="S2143" s="86"/>
      <c r="T2143" s="86"/>
      <c r="U2143" s="86"/>
      <c r="V2143" s="86"/>
      <c r="W2143" s="86"/>
      <c r="X2143" s="86"/>
      <c r="Y2143" s="86"/>
      <c r="Z2143" s="86"/>
      <c r="AA2143" s="86"/>
      <c r="AB2143" s="86"/>
      <c r="AC2143" s="86"/>
    </row>
    <row r="2144" spans="1:29" ht="30" customHeight="1">
      <c r="A2144" s="189">
        <v>25</v>
      </c>
      <c r="B2144" s="188" t="s">
        <v>69</v>
      </c>
      <c r="C2144" s="307" t="s">
        <v>83</v>
      </c>
      <c r="D2144" s="308"/>
      <c r="E2144" s="179"/>
      <c r="F2144" s="191" t="s">
        <v>71</v>
      </c>
      <c r="G2144" s="201">
        <v>25</v>
      </c>
      <c r="H2144" s="201">
        <v>40</v>
      </c>
      <c r="I2144" s="201">
        <v>22</v>
      </c>
      <c r="J2144" s="201">
        <v>25</v>
      </c>
      <c r="K2144" s="201">
        <v>40</v>
      </c>
      <c r="L2144" s="201">
        <v>22</v>
      </c>
      <c r="M2144" s="89"/>
      <c r="N2144" s="219"/>
      <c r="O2144" s="199"/>
      <c r="P2144" s="200"/>
      <c r="Q2144" s="309"/>
      <c r="R2144" s="309"/>
      <c r="S2144" s="86"/>
      <c r="T2144" s="86"/>
      <c r="U2144" s="86"/>
      <c r="V2144" s="86"/>
      <c r="W2144" s="86"/>
      <c r="X2144" s="86"/>
      <c r="Y2144" s="86"/>
      <c r="Z2144" s="86"/>
      <c r="AA2144" s="86"/>
      <c r="AB2144" s="86"/>
      <c r="AC2144" s="86"/>
    </row>
    <row r="2145" spans="1:29" ht="30" customHeight="1">
      <c r="A2145" s="189">
        <v>26</v>
      </c>
      <c r="B2145" s="188" t="s">
        <v>69</v>
      </c>
      <c r="C2145" s="307" t="s">
        <v>84</v>
      </c>
      <c r="D2145" s="308"/>
      <c r="E2145" s="179"/>
      <c r="F2145" s="191" t="s">
        <v>71</v>
      </c>
      <c r="G2145" s="201">
        <v>5</v>
      </c>
      <c r="H2145" s="202" t="s">
        <v>156</v>
      </c>
      <c r="I2145" s="202" t="s">
        <v>156</v>
      </c>
      <c r="J2145" s="201">
        <v>5</v>
      </c>
      <c r="K2145" s="202" t="s">
        <v>156</v>
      </c>
      <c r="L2145" s="202" t="s">
        <v>156</v>
      </c>
      <c r="M2145" s="89"/>
      <c r="N2145" s="219"/>
      <c r="O2145" s="199"/>
      <c r="P2145" s="200"/>
      <c r="Q2145" s="309"/>
      <c r="R2145" s="309"/>
      <c r="S2145" s="86"/>
      <c r="T2145" s="86"/>
      <c r="U2145" s="86"/>
      <c r="V2145" s="86"/>
      <c r="W2145" s="86"/>
      <c r="X2145" s="86"/>
      <c r="Y2145" s="86"/>
      <c r="Z2145" s="86"/>
      <c r="AA2145" s="86"/>
      <c r="AB2145" s="86"/>
      <c r="AC2145" s="86"/>
    </row>
    <row r="2146" spans="1:29" ht="30" customHeight="1">
      <c r="A2146" s="189">
        <v>27</v>
      </c>
      <c r="B2146" s="188" t="s">
        <v>69</v>
      </c>
      <c r="C2146" s="307" t="s">
        <v>85</v>
      </c>
      <c r="D2146" s="308"/>
      <c r="E2146" s="179"/>
      <c r="F2146" s="191" t="s">
        <v>71</v>
      </c>
      <c r="G2146" s="201">
        <v>3</v>
      </c>
      <c r="H2146" s="201">
        <v>1</v>
      </c>
      <c r="I2146" s="201">
        <v>8</v>
      </c>
      <c r="J2146" s="201">
        <v>3</v>
      </c>
      <c r="K2146" s="201">
        <v>1</v>
      </c>
      <c r="L2146" s="201">
        <v>8</v>
      </c>
      <c r="M2146" s="89"/>
      <c r="N2146" s="219"/>
      <c r="O2146" s="199"/>
      <c r="P2146" s="200"/>
      <c r="Q2146" s="309"/>
      <c r="R2146" s="309"/>
      <c r="S2146" s="86"/>
      <c r="T2146" s="86"/>
      <c r="U2146" s="86"/>
      <c r="V2146" s="86"/>
      <c r="W2146" s="86"/>
      <c r="X2146" s="86"/>
      <c r="Y2146" s="86"/>
      <c r="Z2146" s="86"/>
      <c r="AA2146" s="86"/>
      <c r="AB2146" s="86"/>
      <c r="AC2146" s="86"/>
    </row>
    <row r="2147" spans="1:29" ht="30" customHeight="1">
      <c r="A2147" s="189">
        <v>28</v>
      </c>
      <c r="B2147" s="188" t="s">
        <v>69</v>
      </c>
      <c r="C2147" s="307" t="s">
        <v>132</v>
      </c>
      <c r="D2147" s="308"/>
      <c r="E2147" s="179"/>
      <c r="F2147" s="191" t="s">
        <v>71</v>
      </c>
      <c r="G2147" s="202" t="s">
        <v>156</v>
      </c>
      <c r="H2147" s="202" t="s">
        <v>156</v>
      </c>
      <c r="I2147" s="202" t="s">
        <v>156</v>
      </c>
      <c r="J2147" s="202" t="s">
        <v>156</v>
      </c>
      <c r="K2147" s="202" t="s">
        <v>156</v>
      </c>
      <c r="L2147" s="202" t="s">
        <v>156</v>
      </c>
      <c r="M2147" s="89"/>
      <c r="N2147" s="219"/>
      <c r="O2147" s="199"/>
      <c r="P2147" s="200"/>
      <c r="Q2147" s="309"/>
      <c r="R2147" s="309"/>
      <c r="S2147" s="86"/>
      <c r="T2147" s="86"/>
      <c r="U2147" s="86"/>
      <c r="V2147" s="86"/>
      <c r="W2147" s="86"/>
      <c r="X2147" s="86"/>
      <c r="Y2147" s="86"/>
      <c r="Z2147" s="86"/>
      <c r="AA2147" s="86"/>
      <c r="AB2147" s="86"/>
      <c r="AC2147" s="86"/>
    </row>
    <row r="2148" spans="1:29" ht="30" customHeight="1">
      <c r="A2148" s="189">
        <v>29</v>
      </c>
      <c r="B2148" s="188" t="s">
        <v>69</v>
      </c>
      <c r="C2148" s="307" t="s">
        <v>86</v>
      </c>
      <c r="D2148" s="308"/>
      <c r="E2148" s="179"/>
      <c r="F2148" s="191" t="s">
        <v>71</v>
      </c>
      <c r="G2148" s="201">
        <v>10</v>
      </c>
      <c r="H2148" s="201">
        <v>12</v>
      </c>
      <c r="I2148" s="201">
        <v>9</v>
      </c>
      <c r="J2148" s="201">
        <v>10</v>
      </c>
      <c r="K2148" s="201">
        <v>12</v>
      </c>
      <c r="L2148" s="201">
        <v>9</v>
      </c>
      <c r="M2148" s="89"/>
      <c r="N2148" s="219"/>
      <c r="O2148" s="199"/>
      <c r="P2148" s="200"/>
      <c r="Q2148" s="309"/>
      <c r="R2148" s="309"/>
      <c r="S2148" s="86"/>
      <c r="T2148" s="86"/>
      <c r="U2148" s="86"/>
      <c r="V2148" s="86"/>
      <c r="W2148" s="86"/>
      <c r="X2148" s="86"/>
      <c r="Y2148" s="86"/>
      <c r="Z2148" s="86"/>
      <c r="AA2148" s="86"/>
      <c r="AB2148" s="86"/>
      <c r="AC2148" s="86"/>
    </row>
    <row r="2149" spans="1:29" ht="30" customHeight="1">
      <c r="A2149" s="189">
        <v>30</v>
      </c>
      <c r="B2149" s="188" t="s">
        <v>69</v>
      </c>
      <c r="C2149" s="307" t="s">
        <v>87</v>
      </c>
      <c r="D2149" s="308"/>
      <c r="E2149" s="179"/>
      <c r="F2149" s="191" t="s">
        <v>71</v>
      </c>
      <c r="G2149" s="202" t="s">
        <v>156</v>
      </c>
      <c r="H2149" s="202" t="s">
        <v>156</v>
      </c>
      <c r="I2149" s="202" t="s">
        <v>156</v>
      </c>
      <c r="J2149" s="202" t="s">
        <v>156</v>
      </c>
      <c r="K2149" s="202" t="s">
        <v>156</v>
      </c>
      <c r="L2149" s="202" t="s">
        <v>156</v>
      </c>
      <c r="M2149" s="89"/>
      <c r="N2149" s="219"/>
      <c r="O2149" s="199"/>
      <c r="P2149" s="200"/>
      <c r="Q2149" s="309"/>
      <c r="R2149" s="309"/>
      <c r="S2149" s="86"/>
      <c r="T2149" s="86"/>
      <c r="U2149" s="86"/>
      <c r="V2149" s="86"/>
      <c r="W2149" s="86"/>
      <c r="X2149" s="86"/>
      <c r="Y2149" s="86"/>
      <c r="Z2149" s="86"/>
      <c r="AA2149" s="86"/>
      <c r="AB2149" s="86"/>
      <c r="AC2149" s="86"/>
    </row>
    <row r="2150" spans="1:29" ht="30" customHeight="1">
      <c r="A2150" s="189">
        <v>31</v>
      </c>
      <c r="B2150" s="188" t="s">
        <v>69</v>
      </c>
      <c r="C2150" s="307" t="s">
        <v>105</v>
      </c>
      <c r="D2150" s="308"/>
      <c r="E2150" s="179"/>
      <c r="F2150" s="191" t="s">
        <v>71</v>
      </c>
      <c r="G2150" s="201">
        <v>2</v>
      </c>
      <c r="H2150" s="203" t="s">
        <v>156</v>
      </c>
      <c r="I2150" s="201">
        <v>8</v>
      </c>
      <c r="J2150" s="201">
        <v>2</v>
      </c>
      <c r="K2150" s="203" t="s">
        <v>156</v>
      </c>
      <c r="L2150" s="201">
        <v>8</v>
      </c>
      <c r="M2150" s="89"/>
      <c r="N2150" s="219"/>
      <c r="O2150" s="199"/>
      <c r="P2150" s="200"/>
      <c r="Q2150" s="309"/>
      <c r="R2150" s="309"/>
      <c r="S2150" s="86"/>
      <c r="T2150" s="86"/>
      <c r="U2150" s="86"/>
      <c r="V2150" s="86"/>
      <c r="W2150" s="86"/>
      <c r="X2150" s="86"/>
      <c r="Y2150" s="86"/>
      <c r="Z2150" s="86"/>
      <c r="AA2150" s="86"/>
      <c r="AB2150" s="86"/>
      <c r="AC2150" s="86"/>
    </row>
    <row r="2151" spans="1:29" ht="30" customHeight="1">
      <c r="A2151" s="189">
        <v>32</v>
      </c>
      <c r="B2151" s="188" t="s">
        <v>69</v>
      </c>
      <c r="C2151" s="307" t="s">
        <v>133</v>
      </c>
      <c r="D2151" s="308"/>
      <c r="E2151" s="179"/>
      <c r="F2151" s="191" t="s">
        <v>71</v>
      </c>
      <c r="G2151" s="202" t="s">
        <v>156</v>
      </c>
      <c r="H2151" s="202" t="s">
        <v>156</v>
      </c>
      <c r="I2151" s="202" t="s">
        <v>156</v>
      </c>
      <c r="J2151" s="202" t="s">
        <v>156</v>
      </c>
      <c r="K2151" s="202" t="s">
        <v>156</v>
      </c>
      <c r="L2151" s="202" t="s">
        <v>156</v>
      </c>
      <c r="M2151" s="89"/>
      <c r="N2151" s="219"/>
      <c r="O2151" s="199"/>
      <c r="P2151" s="200"/>
      <c r="Q2151" s="309"/>
      <c r="R2151" s="309"/>
      <c r="S2151" s="86"/>
      <c r="T2151" s="86"/>
      <c r="U2151" s="86"/>
      <c r="V2151" s="86"/>
      <c r="W2151" s="86"/>
      <c r="X2151" s="86"/>
      <c r="Y2151" s="86"/>
      <c r="Z2151" s="86"/>
      <c r="AA2151" s="86"/>
      <c r="AB2151" s="86"/>
      <c r="AC2151" s="86"/>
    </row>
    <row r="2152" spans="1:29" ht="30" customHeight="1">
      <c r="A2152" s="189">
        <v>33</v>
      </c>
      <c r="B2152" s="188" t="s">
        <v>69</v>
      </c>
      <c r="C2152" s="307" t="s">
        <v>88</v>
      </c>
      <c r="D2152" s="308"/>
      <c r="E2152" s="179"/>
      <c r="F2152" s="191" t="s">
        <v>71</v>
      </c>
      <c r="G2152" s="201">
        <v>3</v>
      </c>
      <c r="H2152" s="201">
        <v>7</v>
      </c>
      <c r="I2152" s="201">
        <v>7</v>
      </c>
      <c r="J2152" s="201">
        <v>3</v>
      </c>
      <c r="K2152" s="201">
        <v>7</v>
      </c>
      <c r="L2152" s="201">
        <v>7</v>
      </c>
      <c r="M2152" s="89"/>
      <c r="N2152" s="219"/>
      <c r="O2152" s="199"/>
      <c r="P2152" s="200"/>
      <c r="Q2152" s="309"/>
      <c r="R2152" s="309"/>
      <c r="S2152" s="86"/>
      <c r="T2152" s="86"/>
      <c r="U2152" s="86"/>
      <c r="V2152" s="86"/>
      <c r="W2152" s="86"/>
      <c r="X2152" s="86"/>
      <c r="Y2152" s="86"/>
      <c r="Z2152" s="86"/>
      <c r="AA2152" s="86"/>
      <c r="AB2152" s="86"/>
      <c r="AC2152" s="86"/>
    </row>
    <row r="2153" spans="1:29" ht="30" customHeight="1">
      <c r="A2153" s="189">
        <v>34</v>
      </c>
      <c r="B2153" s="188" t="s">
        <v>69</v>
      </c>
      <c r="C2153" s="307" t="s">
        <v>89</v>
      </c>
      <c r="D2153" s="308"/>
      <c r="E2153" s="179"/>
      <c r="F2153" s="191" t="s">
        <v>71</v>
      </c>
      <c r="G2153" s="202" t="s">
        <v>156</v>
      </c>
      <c r="H2153" s="202" t="s">
        <v>156</v>
      </c>
      <c r="I2153" s="202" t="s">
        <v>156</v>
      </c>
      <c r="J2153" s="202" t="s">
        <v>156</v>
      </c>
      <c r="K2153" s="202" t="s">
        <v>156</v>
      </c>
      <c r="L2153" s="202" t="s">
        <v>156</v>
      </c>
      <c r="M2153" s="89"/>
      <c r="N2153" s="219"/>
      <c r="O2153" s="199"/>
      <c r="P2153" s="200"/>
      <c r="Q2153" s="309"/>
      <c r="R2153" s="309"/>
      <c r="S2153" s="86"/>
      <c r="T2153" s="86"/>
      <c r="U2153" s="86"/>
      <c r="V2153" s="86"/>
      <c r="W2153" s="86"/>
      <c r="X2153" s="86"/>
      <c r="Y2153" s="86"/>
      <c r="Z2153" s="86"/>
      <c r="AA2153" s="86"/>
      <c r="AB2153" s="86"/>
      <c r="AC2153" s="86"/>
    </row>
    <row r="2154" spans="1:29" ht="30" customHeight="1">
      <c r="A2154" s="189">
        <v>35</v>
      </c>
      <c r="B2154" s="188" t="s">
        <v>69</v>
      </c>
      <c r="C2154" s="307" t="s">
        <v>140</v>
      </c>
      <c r="D2154" s="308"/>
      <c r="E2154" s="179"/>
      <c r="F2154" s="191" t="s">
        <v>71</v>
      </c>
      <c r="G2154" s="202" t="s">
        <v>156</v>
      </c>
      <c r="H2154" s="202" t="s">
        <v>156</v>
      </c>
      <c r="I2154" s="201">
        <v>3</v>
      </c>
      <c r="J2154" s="202" t="s">
        <v>156</v>
      </c>
      <c r="K2154" s="202" t="s">
        <v>156</v>
      </c>
      <c r="L2154" s="201">
        <v>3</v>
      </c>
      <c r="M2154" s="89"/>
      <c r="N2154" s="220"/>
      <c r="O2154" s="199"/>
      <c r="P2154" s="200"/>
      <c r="Q2154" s="309"/>
      <c r="R2154" s="309"/>
      <c r="S2154" s="86"/>
      <c r="T2154" s="86"/>
      <c r="U2154" s="86"/>
      <c r="V2154" s="86"/>
      <c r="W2154" s="86"/>
      <c r="X2154" s="86"/>
      <c r="Y2154" s="86"/>
      <c r="Z2154" s="86"/>
      <c r="AA2154" s="86"/>
      <c r="AB2154" s="86"/>
      <c r="AC2154" s="86"/>
    </row>
    <row r="2155" spans="1:29" ht="30" customHeight="1">
      <c r="A2155" s="189">
        <v>36</v>
      </c>
      <c r="B2155" s="188" t="s">
        <v>69</v>
      </c>
      <c r="C2155" s="307" t="s">
        <v>134</v>
      </c>
      <c r="D2155" s="308"/>
      <c r="E2155" s="179"/>
      <c r="F2155" s="191" t="s">
        <v>71</v>
      </c>
      <c r="G2155" s="202" t="s">
        <v>156</v>
      </c>
      <c r="H2155" s="202" t="s">
        <v>156</v>
      </c>
      <c r="I2155" s="202" t="s">
        <v>156</v>
      </c>
      <c r="J2155" s="202" t="s">
        <v>156</v>
      </c>
      <c r="K2155" s="202" t="s">
        <v>156</v>
      </c>
      <c r="L2155" s="202" t="s">
        <v>156</v>
      </c>
      <c r="M2155" s="89"/>
      <c r="N2155" s="220"/>
      <c r="O2155" s="199"/>
      <c r="P2155" s="200"/>
      <c r="Q2155" s="309"/>
      <c r="R2155" s="309"/>
      <c r="S2155" s="86"/>
      <c r="T2155" s="86"/>
      <c r="U2155" s="86"/>
      <c r="V2155" s="86"/>
      <c r="W2155" s="86"/>
      <c r="X2155" s="86"/>
      <c r="Y2155" s="86"/>
      <c r="Z2155" s="86"/>
      <c r="AA2155" s="86"/>
      <c r="AB2155" s="86"/>
      <c r="AC2155" s="86"/>
    </row>
    <row r="2156" spans="1:29" ht="30" customHeight="1">
      <c r="A2156" s="189">
        <v>37</v>
      </c>
      <c r="B2156" s="188" t="s">
        <v>69</v>
      </c>
      <c r="C2156" s="307" t="s">
        <v>90</v>
      </c>
      <c r="D2156" s="308"/>
      <c r="E2156" s="179"/>
      <c r="F2156" s="191" t="s">
        <v>71</v>
      </c>
      <c r="G2156" s="202" t="s">
        <v>156</v>
      </c>
      <c r="H2156" s="202" t="s">
        <v>156</v>
      </c>
      <c r="I2156" s="202" t="s">
        <v>156</v>
      </c>
      <c r="J2156" s="202" t="s">
        <v>156</v>
      </c>
      <c r="K2156" s="202" t="s">
        <v>156</v>
      </c>
      <c r="L2156" s="202" t="s">
        <v>156</v>
      </c>
      <c r="M2156" s="89"/>
      <c r="N2156" s="220"/>
      <c r="O2156" s="199"/>
      <c r="P2156" s="200"/>
      <c r="Q2156" s="309"/>
      <c r="R2156" s="309"/>
      <c r="S2156" s="86"/>
      <c r="T2156" s="86"/>
      <c r="U2156" s="86"/>
      <c r="V2156" s="86"/>
      <c r="W2156" s="86"/>
      <c r="X2156" s="86"/>
      <c r="Y2156" s="86"/>
      <c r="Z2156" s="86"/>
      <c r="AA2156" s="86"/>
      <c r="AB2156" s="86"/>
      <c r="AC2156" s="86"/>
    </row>
    <row r="2157" spans="1:29" ht="30" customHeight="1">
      <c r="A2157" s="189">
        <v>38</v>
      </c>
      <c r="B2157" s="188" t="s">
        <v>69</v>
      </c>
      <c r="C2157" s="307" t="s">
        <v>106</v>
      </c>
      <c r="D2157" s="308"/>
      <c r="E2157" s="150"/>
      <c r="F2157" s="191" t="s">
        <v>71</v>
      </c>
      <c r="G2157" s="202" t="s">
        <v>156</v>
      </c>
      <c r="H2157" s="202" t="s">
        <v>156</v>
      </c>
      <c r="I2157" s="202" t="s">
        <v>156</v>
      </c>
      <c r="J2157" s="202" t="s">
        <v>156</v>
      </c>
      <c r="K2157" s="202" t="s">
        <v>156</v>
      </c>
      <c r="L2157" s="202" t="s">
        <v>156</v>
      </c>
      <c r="M2157" s="89"/>
      <c r="N2157" s="220"/>
      <c r="O2157" s="199"/>
      <c r="P2157" s="200"/>
      <c r="Q2157" s="309"/>
      <c r="R2157" s="309"/>
      <c r="S2157" s="86"/>
      <c r="T2157" s="86"/>
      <c r="U2157" s="86"/>
      <c r="V2157" s="86"/>
      <c r="W2157" s="86"/>
      <c r="X2157" s="86"/>
      <c r="Y2157" s="86"/>
      <c r="Z2157" s="86"/>
      <c r="AA2157" s="86"/>
      <c r="AB2157" s="86"/>
      <c r="AC2157" s="86"/>
    </row>
    <row r="2158" spans="1:29" ht="25.5" customHeight="1">
      <c r="A2158" s="310" t="s">
        <v>92</v>
      </c>
      <c r="B2158" s="310"/>
      <c r="C2158" s="310"/>
      <c r="D2158" s="310"/>
      <c r="E2158" s="310"/>
      <c r="F2158" s="310"/>
      <c r="G2158" s="310"/>
      <c r="H2158" s="310"/>
      <c r="I2158" s="310"/>
      <c r="J2158" s="310"/>
      <c r="K2158" s="310"/>
      <c r="L2158" s="310"/>
      <c r="M2158" s="92"/>
    </row>
    <row r="2159" spans="1:29" ht="19.5" customHeight="1">
      <c r="A2159" s="139"/>
      <c r="B2159" s="139"/>
      <c r="C2159" s="140"/>
      <c r="D2159" s="140" t="s">
        <v>145</v>
      </c>
      <c r="E2159" s="140"/>
      <c r="F2159" s="152" t="s">
        <v>54</v>
      </c>
      <c r="G2159" s="152"/>
      <c r="H2159" s="152"/>
      <c r="I2159" s="152"/>
      <c r="J2159" s="152" t="s">
        <v>144</v>
      </c>
      <c r="K2159" s="152"/>
      <c r="L2159" s="140"/>
      <c r="M2159" s="94"/>
    </row>
    <row r="2160" spans="1:29" ht="28.5" customHeight="1">
      <c r="A2160" s="310" t="s">
        <v>93</v>
      </c>
      <c r="B2160" s="310"/>
      <c r="C2160" s="310"/>
      <c r="D2160" s="310"/>
      <c r="E2160" s="310"/>
      <c r="F2160" s="310"/>
      <c r="G2160" s="310"/>
      <c r="H2160" s="310"/>
      <c r="I2160" s="310"/>
      <c r="J2160" s="310"/>
      <c r="K2160" s="310"/>
      <c r="L2160" s="310"/>
      <c r="M2160" s="92"/>
      <c r="N2160" s="311"/>
      <c r="O2160" s="311"/>
      <c r="P2160" s="311"/>
    </row>
    <row r="2161" spans="1:16" ht="20.25" customHeight="1">
      <c r="A2161" s="139"/>
      <c r="B2161" s="139"/>
      <c r="C2161" s="139"/>
      <c r="D2161" s="140" t="s">
        <v>145</v>
      </c>
      <c r="E2161" s="140"/>
      <c r="F2161" s="152" t="s">
        <v>54</v>
      </c>
      <c r="G2161" s="152"/>
      <c r="H2161" s="152"/>
      <c r="I2161" s="152"/>
      <c r="J2161" s="152" t="s">
        <v>144</v>
      </c>
      <c r="K2161" s="152"/>
      <c r="L2161" s="139"/>
      <c r="M2161" s="94"/>
      <c r="N2161" s="221"/>
      <c r="O2161" s="95"/>
      <c r="P2161" s="95"/>
    </row>
    <row r="2162" spans="1:16" ht="26.25" customHeight="1">
      <c r="A2162" s="312" t="s">
        <v>94</v>
      </c>
      <c r="B2162" s="312"/>
      <c r="C2162" s="312"/>
      <c r="D2162" s="312"/>
      <c r="E2162" s="312"/>
      <c r="F2162" s="312"/>
      <c r="G2162" s="312"/>
      <c r="H2162" s="312"/>
      <c r="I2162" s="312"/>
      <c r="J2162" s="312"/>
      <c r="K2162" s="312"/>
      <c r="L2162" s="312"/>
      <c r="M2162" s="92"/>
    </row>
    <row r="2163" spans="1:16" ht="22.5" customHeight="1">
      <c r="A2163" s="120"/>
      <c r="B2163" s="120"/>
      <c r="C2163" s="120"/>
      <c r="D2163" s="120"/>
      <c r="E2163" s="120"/>
      <c r="F2163" s="120"/>
      <c r="G2163" s="120"/>
      <c r="H2163" s="120"/>
      <c r="I2163" s="120"/>
      <c r="J2163" s="120"/>
      <c r="K2163" s="120"/>
      <c r="L2163" s="120"/>
      <c r="M2163" s="94"/>
    </row>
    <row r="2164" spans="1:16" ht="22.5" customHeight="1">
      <c r="A2164" s="313" t="s">
        <v>95</v>
      </c>
      <c r="B2164" s="313"/>
      <c r="C2164" s="313"/>
      <c r="D2164" s="313"/>
      <c r="E2164" s="313"/>
      <c r="F2164" s="313"/>
      <c r="G2164" s="313"/>
      <c r="H2164" s="313"/>
      <c r="I2164" s="313"/>
      <c r="J2164" s="313"/>
      <c r="K2164" s="313"/>
      <c r="L2164" s="313"/>
      <c r="M2164" s="92"/>
    </row>
    <row r="2165" spans="1:16" ht="19.5" customHeight="1">
      <c r="A2165" s="97"/>
      <c r="B2165" s="97"/>
      <c r="C2165" s="145"/>
      <c r="D2165" s="97"/>
      <c r="E2165" s="97"/>
      <c r="F2165" s="97"/>
      <c r="G2165" s="97"/>
      <c r="H2165" s="97"/>
      <c r="I2165" s="97"/>
      <c r="J2165" s="97"/>
      <c r="K2165" s="97"/>
      <c r="L2165" s="97"/>
      <c r="M2165" s="94"/>
    </row>
    <row r="2166" spans="1:16" ht="5.25" customHeight="1">
      <c r="A2166" s="94"/>
      <c r="B2166" s="94"/>
      <c r="C2166" s="146"/>
      <c r="D2166" s="94"/>
      <c r="E2166" s="94"/>
      <c r="F2166" s="94"/>
      <c r="G2166" s="94"/>
      <c r="H2166" s="94"/>
      <c r="I2166" s="94"/>
      <c r="J2166" s="94"/>
      <c r="K2166" s="94"/>
      <c r="L2166" s="94"/>
      <c r="M2166" s="94"/>
    </row>
    <row r="2167" spans="1:16" ht="16.5" customHeight="1">
      <c r="A2167" s="314" t="s">
        <v>96</v>
      </c>
      <c r="B2167" s="314"/>
      <c r="C2167" s="314"/>
      <c r="D2167" s="314"/>
      <c r="E2167" s="98"/>
      <c r="F2167" s="98"/>
      <c r="G2167" s="98"/>
      <c r="H2167" s="315" t="s">
        <v>97</v>
      </c>
      <c r="I2167" s="315"/>
      <c r="J2167" s="315"/>
      <c r="K2167" s="315"/>
      <c r="L2167" s="315"/>
      <c r="M2167" s="94"/>
    </row>
    <row r="2168" spans="1:16" ht="95.1" customHeight="1">
      <c r="A2168" s="99"/>
      <c r="B2168" s="101" t="str">
        <f>B2098</f>
        <v>Ông Huỳnh Phước Hải        ….............</v>
      </c>
      <c r="C2168" s="147"/>
      <c r="D2168" s="99"/>
      <c r="E2168" s="81"/>
      <c r="F2168" s="100"/>
      <c r="G2168" s="100"/>
      <c r="H2168" s="306" t="str">
        <f>H2098</f>
        <v>Ông Phạm Tấn Việt          …..................</v>
      </c>
      <c r="I2168" s="306"/>
      <c r="J2168" s="306"/>
      <c r="K2168" s="306"/>
      <c r="L2168" s="306"/>
      <c r="M2168" s="94"/>
    </row>
    <row r="2169" spans="1:16" ht="49.5" customHeight="1">
      <c r="A2169" s="99"/>
      <c r="B2169" s="99"/>
      <c r="C2169" s="147"/>
      <c r="D2169" s="99"/>
      <c r="E2169" s="81"/>
      <c r="F2169" s="100"/>
      <c r="G2169" s="100"/>
      <c r="H2169" s="100"/>
      <c r="I2169" s="100"/>
      <c r="J2169" s="99"/>
      <c r="K2169" s="99"/>
      <c r="L2169" s="99"/>
      <c r="M2169" s="94"/>
    </row>
    <row r="2170" spans="1:16" ht="21.75" customHeight="1">
      <c r="A2170" s="347" t="s">
        <v>165</v>
      </c>
      <c r="B2170" s="347"/>
      <c r="C2170" s="347"/>
      <c r="D2170" s="347"/>
      <c r="E2170" s="347"/>
      <c r="F2170" s="347"/>
      <c r="G2170" s="347"/>
      <c r="H2170" s="347"/>
      <c r="I2170" s="347"/>
      <c r="J2170" s="347"/>
      <c r="K2170" s="347"/>
      <c r="L2170" s="347"/>
      <c r="M2170" s="82"/>
    </row>
    <row r="2171" spans="1:16" ht="19.5">
      <c r="A2171" s="84" t="str">
        <f>"Ngày "&amp;N2172&amp;" tháng "&amp;O3&amp;" năm "&amp;P3&amp;""</f>
        <v>Ngày * tháng 07 năm 2026</v>
      </c>
      <c r="B2171" s="84"/>
      <c r="C2171" s="85"/>
      <c r="N2171" s="216"/>
      <c r="O2171" s="20"/>
      <c r="P2171" s="20"/>
    </row>
    <row r="2172" spans="1:16" ht="16.5">
      <c r="A2172" s="337" t="s">
        <v>57</v>
      </c>
      <c r="B2172" s="337"/>
      <c r="C2172" s="337"/>
      <c r="D2172" s="311"/>
      <c r="E2172" s="311"/>
      <c r="F2172" s="311"/>
      <c r="G2172" s="95"/>
      <c r="H2172" s="95"/>
      <c r="I2172" s="95"/>
      <c r="J2172" s="95"/>
      <c r="K2172" s="95"/>
      <c r="L2172" s="95"/>
      <c r="N2172" s="217" t="s">
        <v>128</v>
      </c>
      <c r="O2172" s="214"/>
      <c r="P2172" s="17"/>
    </row>
    <row r="2173" spans="1:16" ht="15.75" customHeight="1">
      <c r="A2173" s="338"/>
      <c r="B2173" s="338"/>
      <c r="C2173" s="338"/>
      <c r="D2173" s="339" t="s">
        <v>58</v>
      </c>
      <c r="E2173" s="340"/>
      <c r="F2173" s="340"/>
      <c r="G2173" s="340"/>
      <c r="H2173" s="341"/>
      <c r="I2173" s="339" t="s">
        <v>59</v>
      </c>
      <c r="J2173" s="340"/>
      <c r="K2173" s="340"/>
      <c r="L2173" s="341"/>
    </row>
    <row r="2174" spans="1:16" ht="19.5" customHeight="1">
      <c r="A2174" s="342" t="s">
        <v>60</v>
      </c>
      <c r="B2174" s="342"/>
      <c r="C2174" s="342"/>
      <c r="D2174" s="343" t="s">
        <v>54</v>
      </c>
      <c r="E2174" s="344"/>
      <c r="F2174" s="344"/>
      <c r="G2174" s="344"/>
      <c r="H2174" s="345"/>
      <c r="I2174" s="343" t="s">
        <v>54</v>
      </c>
      <c r="J2174" s="344"/>
      <c r="K2174" s="344"/>
      <c r="L2174" s="345"/>
    </row>
    <row r="2175" spans="1:16" ht="22.5" customHeight="1">
      <c r="A2175" s="342" t="s">
        <v>61</v>
      </c>
      <c r="B2175" s="342"/>
      <c r="C2175" s="342"/>
      <c r="D2175" s="343" t="s">
        <v>163</v>
      </c>
      <c r="E2175" s="344"/>
      <c r="F2175" s="344"/>
      <c r="G2175" s="344"/>
      <c r="H2175" s="345"/>
      <c r="I2175" s="343" t="str">
        <f>D2175</f>
        <v>31° - 34°</v>
      </c>
      <c r="J2175" s="344"/>
      <c r="K2175" s="344"/>
      <c r="L2175" s="345"/>
    </row>
    <row r="2176" spans="1:16" s="87" customFormat="1" ht="19.5" customHeight="1">
      <c r="A2176" s="310" t="s">
        <v>62</v>
      </c>
      <c r="B2176" s="310"/>
      <c r="C2176" s="310"/>
      <c r="D2176" s="310"/>
      <c r="E2176" s="310"/>
      <c r="F2176" s="310"/>
      <c r="G2176" s="310"/>
      <c r="H2176" s="310"/>
      <c r="I2176" s="310"/>
      <c r="J2176" s="310"/>
      <c r="K2176" s="310"/>
      <c r="L2176" s="310"/>
      <c r="M2176" s="85"/>
      <c r="N2176" s="218"/>
    </row>
    <row r="2177" spans="1:29" s="87" customFormat="1" ht="15.75">
      <c r="A2177" s="332" t="s">
        <v>63</v>
      </c>
      <c r="B2177" s="332"/>
      <c r="C2177" s="332"/>
      <c r="D2177" s="332"/>
      <c r="E2177" s="332"/>
      <c r="F2177" s="332"/>
      <c r="G2177" s="332"/>
      <c r="H2177" s="332"/>
      <c r="I2177" s="332"/>
      <c r="J2177" s="332"/>
      <c r="K2177" s="332"/>
      <c r="L2177" s="332"/>
      <c r="M2177" s="85"/>
      <c r="N2177" s="218"/>
    </row>
    <row r="2178" spans="1:29" s="87" customFormat="1" ht="20.100000000000001" customHeight="1">
      <c r="A2178" s="88"/>
      <c r="B2178" s="88"/>
      <c r="C2178" s="333" t="s">
        <v>64</v>
      </c>
      <c r="D2178" s="334"/>
      <c r="E2178" s="334"/>
      <c r="F2178" s="334"/>
      <c r="G2178" s="334"/>
      <c r="H2178" s="334"/>
      <c r="I2178" s="334"/>
      <c r="J2178" s="334"/>
      <c r="K2178" s="334"/>
      <c r="L2178" s="334"/>
      <c r="M2178" s="85"/>
      <c r="N2178" s="218"/>
    </row>
    <row r="2179" spans="1:29" s="87" customFormat="1" ht="20.100000000000001" customHeight="1">
      <c r="A2179" s="88"/>
      <c r="B2179" s="88"/>
      <c r="C2179" s="333" t="s">
        <v>65</v>
      </c>
      <c r="D2179" s="334"/>
      <c r="E2179" s="334"/>
      <c r="F2179" s="334"/>
      <c r="G2179" s="334"/>
      <c r="H2179" s="334"/>
      <c r="I2179" s="334"/>
      <c r="J2179" s="334"/>
      <c r="K2179" s="334"/>
      <c r="L2179" s="334"/>
      <c r="M2179" s="85"/>
      <c r="N2179" s="218"/>
    </row>
    <row r="2180" spans="1:29" s="87" customFormat="1" ht="17.25" customHeight="1">
      <c r="A2180" s="335" t="s">
        <v>66</v>
      </c>
      <c r="B2180" s="335"/>
      <c r="C2180" s="335"/>
      <c r="D2180" s="335"/>
      <c r="E2180" s="335"/>
      <c r="F2180" s="335"/>
      <c r="G2180" s="335"/>
      <c r="H2180" s="335"/>
      <c r="I2180" s="335"/>
      <c r="J2180" s="335"/>
      <c r="K2180" s="335"/>
      <c r="L2180" s="335"/>
      <c r="M2180" s="85"/>
      <c r="N2180" s="218"/>
    </row>
    <row r="2181" spans="1:29" s="87" customFormat="1" ht="7.5" customHeight="1">
      <c r="A2181" s="119"/>
      <c r="B2181" s="119"/>
      <c r="C2181" s="119"/>
      <c r="D2181" s="119"/>
      <c r="E2181" s="119"/>
      <c r="F2181" s="119"/>
      <c r="G2181" s="119"/>
      <c r="H2181" s="119"/>
      <c r="I2181" s="119"/>
      <c r="J2181" s="119"/>
      <c r="K2181" s="119"/>
      <c r="L2181" s="119"/>
      <c r="M2181" s="85"/>
      <c r="N2181" s="218"/>
    </row>
    <row r="2182" spans="1:29" ht="15.75">
      <c r="A2182" s="336" t="s">
        <v>67</v>
      </c>
      <c r="B2182" s="336"/>
      <c r="C2182" s="336"/>
      <c r="D2182" s="336"/>
      <c r="E2182" s="336"/>
      <c r="F2182" s="336"/>
      <c r="G2182" s="336"/>
      <c r="H2182" s="336"/>
      <c r="I2182" s="336"/>
      <c r="J2182" s="336"/>
      <c r="K2182" s="336"/>
      <c r="L2182" s="336"/>
    </row>
    <row r="2183" spans="1:29" ht="2.25" customHeight="1">
      <c r="A2183" s="141"/>
      <c r="B2183" s="141"/>
      <c r="C2183" s="141"/>
      <c r="D2183" s="141"/>
      <c r="E2183" s="141"/>
      <c r="F2183" s="141"/>
      <c r="G2183" s="155"/>
      <c r="H2183" s="155"/>
      <c r="I2183" s="155"/>
      <c r="J2183" s="155"/>
      <c r="K2183" s="155"/>
      <c r="L2183" s="155"/>
    </row>
    <row r="2184" spans="1:29" ht="27.75" customHeight="1">
      <c r="A2184" s="317" t="s">
        <v>135</v>
      </c>
      <c r="B2184" s="318"/>
      <c r="C2184" s="317" t="s">
        <v>68</v>
      </c>
      <c r="D2184" s="318"/>
      <c r="E2184" s="183"/>
      <c r="F2184" s="321" t="s">
        <v>136</v>
      </c>
      <c r="G2184" s="322" t="s">
        <v>155</v>
      </c>
      <c r="H2184" s="323"/>
      <c r="I2184" s="323"/>
      <c r="J2184" s="322" t="s">
        <v>154</v>
      </c>
      <c r="K2184" s="323"/>
      <c r="L2184" s="324"/>
      <c r="M2184" s="92"/>
      <c r="O2184" s="325"/>
      <c r="P2184" s="325"/>
      <c r="Q2184" s="325"/>
      <c r="R2184" s="325"/>
      <c r="S2184" s="316"/>
      <c r="T2184" s="316"/>
      <c r="U2184" s="316"/>
      <c r="V2184" s="316"/>
      <c r="W2184" s="316"/>
      <c r="X2184" s="316"/>
      <c r="Y2184" s="316"/>
      <c r="Z2184" s="316"/>
      <c r="AA2184" s="316"/>
      <c r="AB2184" s="316"/>
      <c r="AC2184" s="316"/>
    </row>
    <row r="2185" spans="1:29" ht="125.25" customHeight="1">
      <c r="A2185" s="319"/>
      <c r="B2185" s="320"/>
      <c r="C2185" s="319"/>
      <c r="D2185" s="320"/>
      <c r="E2185" s="184"/>
      <c r="F2185" s="321"/>
      <c r="G2185" s="153" t="s">
        <v>151</v>
      </c>
      <c r="H2185" s="153" t="s">
        <v>152</v>
      </c>
      <c r="I2185" s="153" t="s">
        <v>153</v>
      </c>
      <c r="J2185" s="153" t="s">
        <v>151</v>
      </c>
      <c r="K2185" s="153" t="s">
        <v>152</v>
      </c>
      <c r="L2185" s="153" t="s">
        <v>153</v>
      </c>
      <c r="O2185" s="325"/>
      <c r="P2185" s="325"/>
      <c r="Q2185" s="325"/>
      <c r="R2185" s="325"/>
      <c r="S2185" s="193"/>
      <c r="T2185" s="193"/>
      <c r="U2185" s="193"/>
      <c r="V2185" s="193"/>
      <c r="W2185" s="193"/>
      <c r="X2185" s="193"/>
      <c r="Y2185" s="193"/>
      <c r="Z2185" s="193"/>
      <c r="AA2185" s="193"/>
      <c r="AB2185" s="193"/>
      <c r="AC2185" s="193"/>
    </row>
    <row r="2186" spans="1:29" ht="24.75" customHeight="1">
      <c r="A2186" s="190" t="s">
        <v>128</v>
      </c>
      <c r="B2186" s="142"/>
      <c r="C2186" s="330" t="s">
        <v>129</v>
      </c>
      <c r="D2186" s="330"/>
      <c r="E2186" s="330"/>
      <c r="F2186" s="330"/>
      <c r="G2186" s="330"/>
      <c r="H2186" s="330"/>
      <c r="I2186" s="330"/>
      <c r="J2186" s="330"/>
      <c r="K2186" s="330"/>
      <c r="L2186" s="330"/>
      <c r="M2186" s="93"/>
      <c r="O2186" s="156"/>
      <c r="P2186" s="142"/>
      <c r="Q2186" s="331"/>
      <c r="R2186" s="331"/>
      <c r="S2186" s="331"/>
      <c r="T2186" s="331"/>
      <c r="U2186" s="331"/>
      <c r="V2186" s="331"/>
      <c r="W2186" s="331"/>
      <c r="X2186" s="331"/>
      <c r="Y2186" s="331"/>
      <c r="Z2186" s="331"/>
      <c r="AA2186" s="331"/>
      <c r="AB2186" s="331"/>
      <c r="AC2186" s="331"/>
    </row>
    <row r="2187" spans="1:29" ht="20.100000000000001" customHeight="1">
      <c r="A2187" s="187">
        <v>1</v>
      </c>
      <c r="B2187" s="185" t="s">
        <v>69</v>
      </c>
      <c r="C2187" s="326" t="s">
        <v>70</v>
      </c>
      <c r="D2187" s="326"/>
      <c r="E2187" s="176"/>
      <c r="F2187" s="144" t="s">
        <v>71</v>
      </c>
      <c r="G2187" s="203" t="s">
        <v>156</v>
      </c>
      <c r="H2187" s="202" t="s">
        <v>156</v>
      </c>
      <c r="I2187" s="201">
        <v>1</v>
      </c>
      <c r="J2187" s="202" t="s">
        <v>156</v>
      </c>
      <c r="K2187" s="202" t="s">
        <v>156</v>
      </c>
      <c r="L2187" s="201">
        <v>1</v>
      </c>
      <c r="M2187" s="93"/>
      <c r="O2187" s="195"/>
      <c r="P2187" s="196"/>
      <c r="Q2187" s="327"/>
      <c r="R2187" s="327"/>
      <c r="S2187" s="86"/>
      <c r="T2187" s="86"/>
      <c r="U2187" s="86"/>
      <c r="V2187" s="86"/>
      <c r="W2187" s="194"/>
      <c r="X2187" s="194"/>
      <c r="Y2187" s="194"/>
      <c r="Z2187" s="194"/>
      <c r="AA2187" s="194"/>
      <c r="AB2187" s="194"/>
      <c r="AC2187" s="194"/>
    </row>
    <row r="2188" spans="1:29" ht="20.100000000000001" customHeight="1">
      <c r="A2188" s="187">
        <v>2</v>
      </c>
      <c r="B2188" s="185" t="s">
        <v>69</v>
      </c>
      <c r="C2188" s="326" t="s">
        <v>72</v>
      </c>
      <c r="D2188" s="326"/>
      <c r="E2188" s="176"/>
      <c r="F2188" s="144" t="s">
        <v>71</v>
      </c>
      <c r="G2188" s="203" t="s">
        <v>156</v>
      </c>
      <c r="H2188" s="202" t="s">
        <v>156</v>
      </c>
      <c r="I2188" s="202" t="s">
        <v>156</v>
      </c>
      <c r="J2188" s="202" t="s">
        <v>156</v>
      </c>
      <c r="K2188" s="202" t="s">
        <v>156</v>
      </c>
      <c r="L2188" s="202" t="s">
        <v>156</v>
      </c>
      <c r="M2188" s="93"/>
      <c r="O2188" s="195"/>
      <c r="P2188" s="196"/>
      <c r="Q2188" s="327"/>
      <c r="R2188" s="327"/>
      <c r="S2188" s="194"/>
      <c r="T2188" s="194"/>
      <c r="U2188" s="194"/>
      <c r="V2188" s="86"/>
      <c r="W2188" s="86"/>
      <c r="X2188" s="86"/>
      <c r="Y2188" s="86"/>
      <c r="Z2188" s="194"/>
      <c r="AA2188" s="194"/>
      <c r="AB2188" s="194"/>
      <c r="AC2188" s="194"/>
    </row>
    <row r="2189" spans="1:29" ht="20.100000000000001" customHeight="1">
      <c r="A2189" s="187">
        <v>3</v>
      </c>
      <c r="B2189" s="185" t="s">
        <v>69</v>
      </c>
      <c r="C2189" s="326" t="s">
        <v>73</v>
      </c>
      <c r="D2189" s="326"/>
      <c r="E2189" s="176"/>
      <c r="F2189" s="144" t="s">
        <v>71</v>
      </c>
      <c r="G2189" s="203" t="s">
        <v>156</v>
      </c>
      <c r="H2189" s="202" t="s">
        <v>156</v>
      </c>
      <c r="I2189" s="202" t="s">
        <v>156</v>
      </c>
      <c r="J2189" s="202" t="s">
        <v>156</v>
      </c>
      <c r="K2189" s="202" t="s">
        <v>156</v>
      </c>
      <c r="L2189" s="202" t="s">
        <v>156</v>
      </c>
      <c r="M2189" s="93"/>
      <c r="O2189" s="195"/>
      <c r="P2189" s="196"/>
      <c r="Q2189" s="327"/>
      <c r="R2189" s="327"/>
      <c r="S2189" s="194"/>
      <c r="T2189" s="86"/>
      <c r="U2189" s="86"/>
      <c r="V2189" s="86"/>
      <c r="W2189" s="86"/>
      <c r="X2189" s="194"/>
      <c r="Y2189" s="194"/>
      <c r="Z2189" s="194"/>
      <c r="AA2189" s="194"/>
      <c r="AB2189" s="194"/>
      <c r="AC2189" s="194"/>
    </row>
    <row r="2190" spans="1:29" ht="20.100000000000001" customHeight="1">
      <c r="A2190" s="187">
        <v>4</v>
      </c>
      <c r="B2190" s="185" t="s">
        <v>69</v>
      </c>
      <c r="C2190" s="326" t="s">
        <v>98</v>
      </c>
      <c r="D2190" s="326"/>
      <c r="E2190" s="176"/>
      <c r="F2190" s="144" t="s">
        <v>71</v>
      </c>
      <c r="G2190" s="203" t="s">
        <v>156</v>
      </c>
      <c r="H2190" s="202" t="s">
        <v>156</v>
      </c>
      <c r="I2190" s="202" t="s">
        <v>156</v>
      </c>
      <c r="J2190" s="202" t="s">
        <v>156</v>
      </c>
      <c r="K2190" s="202" t="s">
        <v>156</v>
      </c>
      <c r="L2190" s="202" t="s">
        <v>156</v>
      </c>
      <c r="M2190" s="93"/>
      <c r="O2190" s="195"/>
      <c r="P2190" s="196"/>
      <c r="Q2190" s="327"/>
      <c r="R2190" s="327"/>
      <c r="S2190" s="194"/>
      <c r="T2190" s="194"/>
      <c r="U2190" s="194"/>
      <c r="V2190" s="194"/>
      <c r="W2190" s="194"/>
      <c r="X2190" s="194"/>
      <c r="Y2190" s="194"/>
      <c r="Z2190" s="86"/>
      <c r="AA2190" s="86"/>
      <c r="AB2190" s="86"/>
      <c r="AC2190" s="86"/>
    </row>
    <row r="2191" spans="1:29" ht="20.100000000000001" customHeight="1">
      <c r="A2191" s="187">
        <v>5</v>
      </c>
      <c r="B2191" s="185" t="s">
        <v>69</v>
      </c>
      <c r="C2191" s="326" t="s">
        <v>74</v>
      </c>
      <c r="D2191" s="326"/>
      <c r="E2191" s="176"/>
      <c r="F2191" s="144" t="s">
        <v>71</v>
      </c>
      <c r="G2191" s="203" t="s">
        <v>156</v>
      </c>
      <c r="H2191" s="202" t="s">
        <v>156</v>
      </c>
      <c r="I2191" s="202" t="s">
        <v>156</v>
      </c>
      <c r="J2191" s="202" t="s">
        <v>156</v>
      </c>
      <c r="K2191" s="202" t="s">
        <v>156</v>
      </c>
      <c r="L2191" s="202" t="s">
        <v>156</v>
      </c>
      <c r="M2191" s="93"/>
      <c r="O2191" s="195"/>
      <c r="P2191" s="196"/>
      <c r="Q2191" s="327"/>
      <c r="R2191" s="327"/>
      <c r="S2191" s="194"/>
      <c r="T2191" s="194"/>
      <c r="U2191" s="194"/>
      <c r="V2191" s="194"/>
      <c r="W2191" s="194"/>
      <c r="X2191" s="194"/>
      <c r="Y2191" s="194"/>
      <c r="Z2191" s="194"/>
      <c r="AA2191" s="194"/>
      <c r="AB2191" s="194"/>
      <c r="AC2191" s="194"/>
    </row>
    <row r="2192" spans="1:29" ht="20.100000000000001" customHeight="1">
      <c r="A2192" s="187">
        <v>6</v>
      </c>
      <c r="B2192" s="185" t="s">
        <v>69</v>
      </c>
      <c r="C2192" s="326" t="s">
        <v>75</v>
      </c>
      <c r="D2192" s="326"/>
      <c r="E2192" s="176"/>
      <c r="F2192" s="144" t="s">
        <v>71</v>
      </c>
      <c r="G2192" s="203" t="s">
        <v>156</v>
      </c>
      <c r="H2192" s="202" t="s">
        <v>156</v>
      </c>
      <c r="I2192" s="202" t="s">
        <v>156</v>
      </c>
      <c r="J2192" s="202" t="s">
        <v>156</v>
      </c>
      <c r="K2192" s="202" t="s">
        <v>156</v>
      </c>
      <c r="L2192" s="202" t="s">
        <v>156</v>
      </c>
      <c r="M2192" s="93"/>
      <c r="O2192" s="195"/>
      <c r="P2192" s="196"/>
      <c r="Q2192" s="327"/>
      <c r="R2192" s="327"/>
      <c r="S2192" s="194"/>
      <c r="T2192" s="194"/>
      <c r="U2192" s="194"/>
      <c r="V2192" s="194"/>
      <c r="W2192" s="194"/>
      <c r="X2192" s="194"/>
      <c r="Y2192" s="194"/>
      <c r="Z2192" s="194"/>
      <c r="AA2192" s="194"/>
      <c r="AB2192" s="194"/>
      <c r="AC2192" s="194"/>
    </row>
    <row r="2193" spans="1:29" ht="20.100000000000001" customHeight="1">
      <c r="A2193" s="187">
        <v>7</v>
      </c>
      <c r="B2193" s="185" t="s">
        <v>69</v>
      </c>
      <c r="C2193" s="326" t="s">
        <v>76</v>
      </c>
      <c r="D2193" s="326"/>
      <c r="E2193" s="176"/>
      <c r="F2193" s="144" t="s">
        <v>71</v>
      </c>
      <c r="G2193" s="203" t="s">
        <v>156</v>
      </c>
      <c r="H2193" s="202" t="s">
        <v>156</v>
      </c>
      <c r="I2193" s="202" t="s">
        <v>156</v>
      </c>
      <c r="J2193" s="202" t="s">
        <v>156</v>
      </c>
      <c r="K2193" s="202" t="s">
        <v>156</v>
      </c>
      <c r="L2193" s="202" t="s">
        <v>156</v>
      </c>
      <c r="M2193" s="93"/>
      <c r="O2193" s="195"/>
      <c r="P2193" s="196"/>
      <c r="Q2193" s="327"/>
      <c r="R2193" s="327"/>
      <c r="S2193" s="194"/>
      <c r="T2193" s="194"/>
      <c r="U2193" s="194"/>
      <c r="V2193" s="194"/>
      <c r="W2193" s="194"/>
      <c r="X2193" s="194"/>
      <c r="Y2193" s="194"/>
      <c r="Z2193" s="194"/>
      <c r="AA2193" s="194"/>
      <c r="AB2193" s="194"/>
      <c r="AC2193" s="194"/>
    </row>
    <row r="2194" spans="1:29" ht="20.100000000000001" customHeight="1">
      <c r="A2194" s="187">
        <v>8</v>
      </c>
      <c r="B2194" s="185" t="s">
        <v>69</v>
      </c>
      <c r="C2194" s="326" t="s">
        <v>99</v>
      </c>
      <c r="D2194" s="326"/>
      <c r="E2194" s="176"/>
      <c r="F2194" s="144" t="s">
        <v>71</v>
      </c>
      <c r="G2194" s="203" t="s">
        <v>156</v>
      </c>
      <c r="H2194" s="202" t="s">
        <v>156</v>
      </c>
      <c r="I2194" s="202" t="s">
        <v>156</v>
      </c>
      <c r="J2194" s="202" t="s">
        <v>156</v>
      </c>
      <c r="K2194" s="202" t="s">
        <v>156</v>
      </c>
      <c r="L2194" s="202" t="s">
        <v>156</v>
      </c>
      <c r="M2194" s="93"/>
      <c r="O2194" s="195"/>
      <c r="P2194" s="196"/>
      <c r="Q2194" s="327"/>
      <c r="R2194" s="327"/>
      <c r="S2194" s="194"/>
      <c r="T2194" s="194"/>
      <c r="U2194" s="194"/>
      <c r="V2194" s="194"/>
      <c r="W2194" s="194"/>
      <c r="X2194" s="194"/>
      <c r="Y2194" s="194"/>
      <c r="Z2194" s="194"/>
      <c r="AA2194" s="194"/>
      <c r="AB2194" s="194"/>
      <c r="AC2194" s="194"/>
    </row>
    <row r="2195" spans="1:29" ht="20.100000000000001" customHeight="1">
      <c r="A2195" s="187">
        <v>9</v>
      </c>
      <c r="B2195" s="185" t="s">
        <v>69</v>
      </c>
      <c r="C2195" s="326" t="s">
        <v>77</v>
      </c>
      <c r="D2195" s="326"/>
      <c r="E2195" s="176"/>
      <c r="F2195" s="144" t="s">
        <v>71</v>
      </c>
      <c r="G2195" s="203" t="s">
        <v>156</v>
      </c>
      <c r="H2195" s="202" t="s">
        <v>156</v>
      </c>
      <c r="I2195" s="202" t="s">
        <v>156</v>
      </c>
      <c r="J2195" s="202" t="s">
        <v>156</v>
      </c>
      <c r="K2195" s="202" t="s">
        <v>156</v>
      </c>
      <c r="L2195" s="202" t="s">
        <v>156</v>
      </c>
      <c r="M2195" s="93"/>
      <c r="O2195" s="195"/>
      <c r="P2195" s="196"/>
      <c r="Q2195" s="327"/>
      <c r="R2195" s="327"/>
      <c r="S2195" s="194"/>
      <c r="T2195" s="194"/>
      <c r="U2195" s="194"/>
      <c r="V2195" s="194"/>
      <c r="W2195" s="194"/>
      <c r="X2195" s="194"/>
      <c r="Y2195" s="194"/>
      <c r="Z2195" s="194"/>
      <c r="AA2195" s="194"/>
      <c r="AB2195" s="194"/>
      <c r="AC2195" s="194"/>
    </row>
    <row r="2196" spans="1:29" ht="20.100000000000001" customHeight="1">
      <c r="A2196" s="187">
        <v>10</v>
      </c>
      <c r="B2196" s="185" t="s">
        <v>69</v>
      </c>
      <c r="C2196" s="326" t="s">
        <v>78</v>
      </c>
      <c r="D2196" s="326"/>
      <c r="E2196" s="176"/>
      <c r="F2196" s="144" t="s">
        <v>71</v>
      </c>
      <c r="G2196" s="203" t="s">
        <v>156</v>
      </c>
      <c r="H2196" s="202" t="s">
        <v>156</v>
      </c>
      <c r="I2196" s="202" t="s">
        <v>156</v>
      </c>
      <c r="J2196" s="202" t="s">
        <v>156</v>
      </c>
      <c r="K2196" s="202" t="s">
        <v>156</v>
      </c>
      <c r="L2196" s="202" t="s">
        <v>156</v>
      </c>
      <c r="M2196" s="93"/>
      <c r="O2196" s="195"/>
      <c r="P2196" s="196"/>
      <c r="Q2196" s="327"/>
      <c r="R2196" s="327"/>
      <c r="S2196" s="194"/>
      <c r="T2196" s="194"/>
      <c r="U2196" s="194"/>
      <c r="V2196" s="194"/>
      <c r="W2196" s="194"/>
      <c r="X2196" s="194"/>
      <c r="Y2196" s="194"/>
      <c r="Z2196" s="194"/>
      <c r="AA2196" s="194"/>
      <c r="AB2196" s="194"/>
      <c r="AC2196" s="194"/>
    </row>
    <row r="2197" spans="1:29" ht="20.100000000000001" customHeight="1">
      <c r="A2197" s="187">
        <v>11</v>
      </c>
      <c r="B2197" s="185" t="s">
        <v>69</v>
      </c>
      <c r="C2197" s="326" t="s">
        <v>79</v>
      </c>
      <c r="D2197" s="326"/>
      <c r="E2197" s="176"/>
      <c r="F2197" s="144" t="s">
        <v>71</v>
      </c>
      <c r="G2197" s="203" t="s">
        <v>156</v>
      </c>
      <c r="H2197" s="202" t="s">
        <v>156</v>
      </c>
      <c r="I2197" s="202" t="s">
        <v>156</v>
      </c>
      <c r="J2197" s="202" t="s">
        <v>156</v>
      </c>
      <c r="K2197" s="202" t="s">
        <v>156</v>
      </c>
      <c r="L2197" s="202" t="s">
        <v>156</v>
      </c>
      <c r="M2197" s="93"/>
      <c r="O2197" s="195"/>
      <c r="P2197" s="196"/>
      <c r="Q2197" s="327"/>
      <c r="R2197" s="327"/>
      <c r="S2197" s="194"/>
      <c r="T2197" s="194"/>
      <c r="U2197" s="194"/>
      <c r="V2197" s="194"/>
      <c r="W2197" s="194"/>
      <c r="X2197" s="194"/>
      <c r="Y2197" s="194"/>
      <c r="Z2197" s="194"/>
      <c r="AA2197" s="194"/>
      <c r="AB2197" s="194"/>
      <c r="AC2197" s="194"/>
    </row>
    <row r="2198" spans="1:29" ht="20.100000000000001" customHeight="1">
      <c r="A2198" s="187">
        <v>12</v>
      </c>
      <c r="B2198" s="185" t="s">
        <v>69</v>
      </c>
      <c r="C2198" s="326" t="s">
        <v>100</v>
      </c>
      <c r="D2198" s="326"/>
      <c r="E2198" s="176"/>
      <c r="F2198" s="144" t="s">
        <v>71</v>
      </c>
      <c r="G2198" s="203" t="s">
        <v>156</v>
      </c>
      <c r="H2198" s="202" t="s">
        <v>156</v>
      </c>
      <c r="I2198" s="202" t="s">
        <v>156</v>
      </c>
      <c r="J2198" s="202" t="s">
        <v>156</v>
      </c>
      <c r="K2198" s="202" t="s">
        <v>156</v>
      </c>
      <c r="L2198" s="202" t="s">
        <v>156</v>
      </c>
      <c r="M2198" s="93"/>
      <c r="O2198" s="195"/>
      <c r="P2198" s="196"/>
      <c r="Q2198" s="327"/>
      <c r="R2198" s="327"/>
      <c r="S2198" s="194"/>
      <c r="T2198" s="194"/>
      <c r="U2198" s="194"/>
      <c r="V2198" s="194"/>
      <c r="W2198" s="194"/>
      <c r="X2198" s="194"/>
      <c r="Y2198" s="194"/>
      <c r="Z2198" s="194"/>
      <c r="AA2198" s="194"/>
      <c r="AB2198" s="194"/>
      <c r="AC2198" s="194"/>
    </row>
    <row r="2199" spans="1:29" ht="20.100000000000001" customHeight="1">
      <c r="A2199" s="187">
        <v>13</v>
      </c>
      <c r="B2199" s="185" t="s">
        <v>69</v>
      </c>
      <c r="C2199" s="326" t="s">
        <v>80</v>
      </c>
      <c r="D2199" s="326"/>
      <c r="E2199" s="176"/>
      <c r="F2199" s="144" t="s">
        <v>71</v>
      </c>
      <c r="G2199" s="203" t="s">
        <v>156</v>
      </c>
      <c r="H2199" s="202" t="s">
        <v>156</v>
      </c>
      <c r="I2199" s="202" t="s">
        <v>156</v>
      </c>
      <c r="J2199" s="202" t="s">
        <v>156</v>
      </c>
      <c r="K2199" s="202" t="s">
        <v>156</v>
      </c>
      <c r="L2199" s="202" t="s">
        <v>156</v>
      </c>
      <c r="M2199" s="93"/>
      <c r="O2199" s="195"/>
      <c r="P2199" s="196"/>
      <c r="Q2199" s="327"/>
      <c r="R2199" s="327"/>
      <c r="S2199" s="194"/>
      <c r="T2199" s="194"/>
      <c r="U2199" s="194"/>
      <c r="V2199" s="194"/>
      <c r="W2199" s="194"/>
      <c r="X2199" s="194"/>
      <c r="Y2199" s="194"/>
      <c r="Z2199" s="194"/>
      <c r="AA2199" s="194"/>
      <c r="AB2199" s="194"/>
      <c r="AC2199" s="194"/>
    </row>
    <row r="2200" spans="1:29" ht="20.100000000000001" customHeight="1">
      <c r="A2200" s="187">
        <v>14</v>
      </c>
      <c r="B2200" s="185" t="s">
        <v>69</v>
      </c>
      <c r="C2200" s="326" t="s">
        <v>91</v>
      </c>
      <c r="D2200" s="326"/>
      <c r="E2200" s="176"/>
      <c r="F2200" s="144" t="s">
        <v>71</v>
      </c>
      <c r="G2200" s="203" t="s">
        <v>156</v>
      </c>
      <c r="H2200" s="202" t="s">
        <v>156</v>
      </c>
      <c r="I2200" s="202" t="s">
        <v>156</v>
      </c>
      <c r="J2200" s="202" t="s">
        <v>156</v>
      </c>
      <c r="K2200" s="202" t="s">
        <v>156</v>
      </c>
      <c r="L2200" s="202" t="s">
        <v>156</v>
      </c>
      <c r="M2200" s="93"/>
      <c r="O2200" s="195"/>
      <c r="P2200" s="196"/>
      <c r="Q2200" s="327"/>
      <c r="R2200" s="327"/>
      <c r="S2200" s="194"/>
      <c r="T2200" s="194"/>
      <c r="U2200" s="194"/>
      <c r="V2200" s="194"/>
      <c r="W2200" s="194"/>
      <c r="X2200" s="194"/>
      <c r="Y2200" s="194"/>
      <c r="Z2200" s="194"/>
      <c r="AA2200" s="194"/>
      <c r="AB2200" s="194"/>
      <c r="AC2200" s="194"/>
    </row>
    <row r="2201" spans="1:29" ht="20.100000000000001" customHeight="1">
      <c r="A2201" s="187">
        <v>15</v>
      </c>
      <c r="B2201" s="185" t="s">
        <v>69</v>
      </c>
      <c r="C2201" s="326" t="s">
        <v>81</v>
      </c>
      <c r="D2201" s="326"/>
      <c r="E2201" s="176"/>
      <c r="F2201" s="144" t="s">
        <v>71</v>
      </c>
      <c r="G2201" s="203" t="s">
        <v>156</v>
      </c>
      <c r="H2201" s="202" t="s">
        <v>156</v>
      </c>
      <c r="I2201" s="202" t="s">
        <v>156</v>
      </c>
      <c r="J2201" s="202" t="s">
        <v>156</v>
      </c>
      <c r="K2201" s="202" t="s">
        <v>156</v>
      </c>
      <c r="L2201" s="202" t="s">
        <v>156</v>
      </c>
      <c r="M2201" s="93"/>
      <c r="O2201" s="195"/>
      <c r="P2201" s="196"/>
      <c r="Q2201" s="327"/>
      <c r="R2201" s="327"/>
      <c r="S2201" s="194"/>
      <c r="T2201" s="194"/>
      <c r="U2201" s="194"/>
      <c r="V2201" s="194"/>
      <c r="W2201" s="194"/>
      <c r="X2201" s="194"/>
      <c r="Y2201" s="194"/>
      <c r="Z2201" s="194"/>
      <c r="AA2201" s="194"/>
      <c r="AB2201" s="194"/>
      <c r="AC2201" s="194"/>
    </row>
    <row r="2202" spans="1:29" ht="20.100000000000001" customHeight="1">
      <c r="A2202" s="187">
        <v>16</v>
      </c>
      <c r="B2202" s="185" t="s">
        <v>69</v>
      </c>
      <c r="C2202" s="326" t="s">
        <v>101</v>
      </c>
      <c r="D2202" s="326"/>
      <c r="E2202" s="151"/>
      <c r="F2202" s="144" t="s">
        <v>71</v>
      </c>
      <c r="G2202" s="203" t="s">
        <v>156</v>
      </c>
      <c r="H2202" s="202" t="s">
        <v>156</v>
      </c>
      <c r="I2202" s="202" t="s">
        <v>156</v>
      </c>
      <c r="J2202" s="202" t="s">
        <v>156</v>
      </c>
      <c r="K2202" s="202" t="s">
        <v>156</v>
      </c>
      <c r="L2202" s="202" t="s">
        <v>156</v>
      </c>
      <c r="M2202" s="93"/>
      <c r="N2202" s="219"/>
      <c r="O2202" s="195"/>
      <c r="P2202" s="196"/>
      <c r="Q2202" s="327"/>
      <c r="R2202" s="327"/>
      <c r="S2202" s="197"/>
      <c r="T2202" s="197"/>
      <c r="U2202" s="197"/>
      <c r="V2202" s="197"/>
      <c r="W2202" s="197"/>
      <c r="X2202" s="197"/>
      <c r="Y2202" s="197"/>
      <c r="Z2202" s="197"/>
      <c r="AA2202" s="197"/>
      <c r="AB2202" s="197"/>
      <c r="AC2202" s="197"/>
    </row>
    <row r="2203" spans="1:29" ht="20.100000000000001" customHeight="1">
      <c r="A2203" s="187">
        <v>17</v>
      </c>
      <c r="B2203" s="186" t="s">
        <v>69</v>
      </c>
      <c r="C2203" s="326" t="s">
        <v>141</v>
      </c>
      <c r="D2203" s="326"/>
      <c r="E2203" s="151"/>
      <c r="F2203" s="144" t="s">
        <v>71</v>
      </c>
      <c r="G2203" s="203" t="s">
        <v>156</v>
      </c>
      <c r="H2203" s="202" t="s">
        <v>156</v>
      </c>
      <c r="I2203" s="202" t="s">
        <v>156</v>
      </c>
      <c r="J2203" s="202" t="s">
        <v>156</v>
      </c>
      <c r="K2203" s="202" t="s">
        <v>156</v>
      </c>
      <c r="L2203" s="202" t="s">
        <v>156</v>
      </c>
      <c r="M2203" s="93"/>
      <c r="N2203" s="219"/>
      <c r="O2203" s="195"/>
      <c r="P2203" s="104"/>
      <c r="Q2203" s="327"/>
      <c r="R2203" s="327"/>
      <c r="S2203" s="197"/>
      <c r="T2203" s="197"/>
      <c r="U2203" s="197"/>
      <c r="V2203" s="197"/>
      <c r="W2203" s="197"/>
      <c r="X2203" s="197"/>
      <c r="Y2203" s="197"/>
      <c r="Z2203" s="197"/>
      <c r="AA2203" s="197"/>
      <c r="AB2203" s="197"/>
      <c r="AC2203" s="197"/>
    </row>
    <row r="2204" spans="1:29" ht="20.100000000000001" customHeight="1">
      <c r="A2204" s="187">
        <v>18</v>
      </c>
      <c r="B2204" s="186" t="s">
        <v>69</v>
      </c>
      <c r="C2204" s="326" t="s">
        <v>142</v>
      </c>
      <c r="D2204" s="326"/>
      <c r="E2204" s="151"/>
      <c r="F2204" s="144" t="s">
        <v>71</v>
      </c>
      <c r="G2204" s="203" t="s">
        <v>156</v>
      </c>
      <c r="H2204" s="202" t="s">
        <v>156</v>
      </c>
      <c r="I2204" s="202" t="s">
        <v>156</v>
      </c>
      <c r="J2204" s="202" t="s">
        <v>156</v>
      </c>
      <c r="K2204" s="202" t="s">
        <v>156</v>
      </c>
      <c r="L2204" s="202" t="s">
        <v>156</v>
      </c>
      <c r="M2204" s="93"/>
      <c r="N2204" s="219"/>
      <c r="O2204" s="195"/>
      <c r="P2204" s="104"/>
      <c r="Q2204" s="327"/>
      <c r="R2204" s="327"/>
      <c r="S2204" s="197"/>
      <c r="T2204" s="197"/>
      <c r="U2204" s="197"/>
      <c r="V2204" s="197"/>
      <c r="W2204" s="197"/>
      <c r="X2204" s="197"/>
      <c r="Y2204" s="197"/>
      <c r="Z2204" s="197"/>
      <c r="AA2204" s="197"/>
      <c r="AB2204" s="197"/>
      <c r="AC2204" s="197"/>
    </row>
    <row r="2205" spans="1:29" ht="20.100000000000001" customHeight="1">
      <c r="A2205" s="187">
        <v>19</v>
      </c>
      <c r="B2205" s="186" t="s">
        <v>69</v>
      </c>
      <c r="C2205" s="326" t="s">
        <v>143</v>
      </c>
      <c r="D2205" s="326"/>
      <c r="E2205" s="151"/>
      <c r="F2205" s="144" t="s">
        <v>71</v>
      </c>
      <c r="G2205" s="203" t="s">
        <v>156</v>
      </c>
      <c r="H2205" s="202" t="s">
        <v>156</v>
      </c>
      <c r="I2205" s="202" t="s">
        <v>156</v>
      </c>
      <c r="J2205" s="202" t="s">
        <v>156</v>
      </c>
      <c r="K2205" s="202" t="s">
        <v>156</v>
      </c>
      <c r="L2205" s="202" t="s">
        <v>156</v>
      </c>
      <c r="M2205" s="93"/>
      <c r="N2205" s="219"/>
      <c r="O2205" s="195"/>
      <c r="P2205" s="104"/>
      <c r="Q2205" s="327"/>
      <c r="R2205" s="327"/>
      <c r="S2205" s="197"/>
      <c r="T2205" s="197"/>
      <c r="U2205" s="197"/>
      <c r="V2205" s="197"/>
      <c r="W2205" s="197"/>
      <c r="X2205" s="197"/>
      <c r="Y2205" s="197"/>
      <c r="Z2205" s="197"/>
      <c r="AA2205" s="197"/>
      <c r="AB2205" s="197"/>
      <c r="AC2205" s="197"/>
    </row>
    <row r="2206" spans="1:29" ht="20.100000000000001" customHeight="1">
      <c r="A2206" s="187">
        <v>20</v>
      </c>
      <c r="B2206" s="186" t="s">
        <v>69</v>
      </c>
      <c r="C2206" s="326" t="s">
        <v>102</v>
      </c>
      <c r="D2206" s="326"/>
      <c r="E2206" s="150"/>
      <c r="F2206" s="154" t="s">
        <v>71</v>
      </c>
      <c r="G2206" s="203" t="s">
        <v>156</v>
      </c>
      <c r="H2206" s="202" t="s">
        <v>156</v>
      </c>
      <c r="I2206" s="202" t="s">
        <v>156</v>
      </c>
      <c r="J2206" s="202" t="s">
        <v>156</v>
      </c>
      <c r="K2206" s="202" t="s">
        <v>156</v>
      </c>
      <c r="L2206" s="202" t="s">
        <v>156</v>
      </c>
      <c r="M2206" s="93"/>
      <c r="N2206" s="219"/>
      <c r="O2206" s="195"/>
      <c r="P2206" s="104"/>
      <c r="Q2206" s="327"/>
      <c r="R2206" s="327"/>
      <c r="S2206" s="197"/>
      <c r="T2206" s="197"/>
      <c r="U2206" s="197"/>
      <c r="V2206" s="197"/>
      <c r="W2206" s="197"/>
      <c r="X2206" s="197"/>
      <c r="Y2206" s="197"/>
      <c r="Z2206" s="197"/>
      <c r="AA2206" s="197"/>
      <c r="AB2206" s="197"/>
      <c r="AC2206" s="197"/>
    </row>
    <row r="2207" spans="1:29" ht="37.5" customHeight="1">
      <c r="A2207" s="192" t="s">
        <v>128</v>
      </c>
      <c r="B2207" s="104"/>
      <c r="C2207" s="328" t="s">
        <v>130</v>
      </c>
      <c r="D2207" s="328"/>
      <c r="E2207" s="328"/>
      <c r="F2207" s="328"/>
      <c r="G2207" s="328"/>
      <c r="H2207" s="328"/>
      <c r="I2207" s="328"/>
      <c r="J2207" s="328"/>
      <c r="K2207" s="328"/>
      <c r="L2207" s="328"/>
      <c r="M2207" s="89"/>
      <c r="N2207" s="219"/>
      <c r="O2207" s="198"/>
      <c r="P2207" s="104"/>
      <c r="Q2207" s="329"/>
      <c r="R2207" s="329"/>
      <c r="S2207" s="329"/>
      <c r="T2207" s="329"/>
      <c r="U2207" s="329"/>
      <c r="V2207" s="329"/>
      <c r="W2207" s="329"/>
      <c r="X2207" s="329"/>
      <c r="Y2207" s="329"/>
      <c r="Z2207" s="329"/>
      <c r="AA2207" s="329"/>
      <c r="AB2207" s="329"/>
      <c r="AC2207" s="329"/>
    </row>
    <row r="2208" spans="1:29" ht="33" customHeight="1">
      <c r="A2208" s="189">
        <v>21</v>
      </c>
      <c r="B2208" s="188" t="s">
        <v>69</v>
      </c>
      <c r="C2208" s="307" t="s">
        <v>82</v>
      </c>
      <c r="D2208" s="308"/>
      <c r="E2208" s="182"/>
      <c r="F2208" s="191" t="s">
        <v>71</v>
      </c>
      <c r="G2208" s="201">
        <v>58</v>
      </c>
      <c r="H2208" s="201">
        <v>40</v>
      </c>
      <c r="I2208" s="201">
        <v>21</v>
      </c>
      <c r="J2208" s="201">
        <v>58</v>
      </c>
      <c r="K2208" s="201">
        <v>40</v>
      </c>
      <c r="L2208" s="201">
        <v>21</v>
      </c>
      <c r="M2208" s="89"/>
      <c r="N2208" s="219"/>
      <c r="O2208" s="199"/>
      <c r="P2208" s="200"/>
      <c r="Q2208" s="309"/>
      <c r="R2208" s="309"/>
      <c r="S2208" s="86"/>
      <c r="T2208" s="86"/>
      <c r="U2208" s="86"/>
      <c r="V2208" s="86"/>
      <c r="W2208" s="86"/>
      <c r="X2208" s="86"/>
      <c r="Y2208" s="86"/>
      <c r="Z2208" s="86"/>
      <c r="AA2208" s="86"/>
      <c r="AB2208" s="86"/>
      <c r="AC2208" s="86"/>
    </row>
    <row r="2209" spans="1:29" ht="33" customHeight="1">
      <c r="A2209" s="189">
        <v>22</v>
      </c>
      <c r="B2209" s="188" t="s">
        <v>69</v>
      </c>
      <c r="C2209" s="307" t="s">
        <v>103</v>
      </c>
      <c r="D2209" s="308"/>
      <c r="E2209" s="179"/>
      <c r="F2209" s="191" t="s">
        <v>71</v>
      </c>
      <c r="G2209" s="201">
        <v>9</v>
      </c>
      <c r="H2209" s="201">
        <v>9</v>
      </c>
      <c r="I2209" s="201">
        <v>7</v>
      </c>
      <c r="J2209" s="201">
        <v>9</v>
      </c>
      <c r="K2209" s="201">
        <v>9</v>
      </c>
      <c r="L2209" s="201">
        <v>7</v>
      </c>
      <c r="M2209" s="89"/>
      <c r="N2209" s="219"/>
      <c r="O2209" s="199"/>
      <c r="P2209" s="200"/>
      <c r="Q2209" s="309"/>
      <c r="R2209" s="309"/>
      <c r="S2209" s="86"/>
      <c r="T2209" s="86"/>
      <c r="U2209" s="86"/>
      <c r="V2209" s="86"/>
      <c r="W2209" s="86"/>
      <c r="X2209" s="86"/>
      <c r="Y2209" s="86"/>
      <c r="Z2209" s="86"/>
      <c r="AA2209" s="86"/>
      <c r="AB2209" s="86"/>
      <c r="AC2209" s="86"/>
    </row>
    <row r="2210" spans="1:29" ht="33" customHeight="1">
      <c r="A2210" s="189">
        <v>23</v>
      </c>
      <c r="B2210" s="188" t="s">
        <v>69</v>
      </c>
      <c r="C2210" s="307" t="s">
        <v>104</v>
      </c>
      <c r="D2210" s="308"/>
      <c r="E2210" s="179"/>
      <c r="F2210" s="191" t="s">
        <v>71</v>
      </c>
      <c r="G2210" s="201">
        <v>5</v>
      </c>
      <c r="H2210" s="201">
        <v>1</v>
      </c>
      <c r="I2210" s="201">
        <v>1</v>
      </c>
      <c r="J2210" s="201">
        <v>5</v>
      </c>
      <c r="K2210" s="201">
        <v>1</v>
      </c>
      <c r="L2210" s="201">
        <v>1</v>
      </c>
      <c r="M2210" s="89"/>
      <c r="N2210" s="219"/>
      <c r="O2210" s="199"/>
      <c r="P2210" s="200"/>
      <c r="Q2210" s="309"/>
      <c r="R2210" s="309"/>
      <c r="S2210" s="86"/>
      <c r="T2210" s="86"/>
      <c r="U2210" s="86"/>
      <c r="V2210" s="86"/>
      <c r="W2210" s="86"/>
      <c r="X2210" s="86"/>
      <c r="Y2210" s="86"/>
      <c r="Z2210" s="86"/>
      <c r="AA2210" s="86"/>
      <c r="AB2210" s="86"/>
      <c r="AC2210" s="86"/>
    </row>
    <row r="2211" spans="1:29" ht="27.75" customHeight="1">
      <c r="A2211" s="317" t="s">
        <v>135</v>
      </c>
      <c r="B2211" s="318"/>
      <c r="C2211" s="317" t="s">
        <v>68</v>
      </c>
      <c r="D2211" s="318"/>
      <c r="E2211" s="183"/>
      <c r="F2211" s="321" t="s">
        <v>136</v>
      </c>
      <c r="G2211" s="322" t="s">
        <v>155</v>
      </c>
      <c r="H2211" s="323"/>
      <c r="I2211" s="323"/>
      <c r="J2211" s="322" t="s">
        <v>154</v>
      </c>
      <c r="K2211" s="323"/>
      <c r="L2211" s="324"/>
      <c r="M2211" s="92"/>
      <c r="O2211" s="325"/>
      <c r="P2211" s="325"/>
      <c r="Q2211" s="325"/>
      <c r="R2211" s="325"/>
      <c r="S2211" s="316"/>
      <c r="T2211" s="316"/>
      <c r="U2211" s="316"/>
      <c r="V2211" s="316"/>
      <c r="W2211" s="316"/>
      <c r="X2211" s="316"/>
      <c r="Y2211" s="316"/>
      <c r="Z2211" s="316"/>
      <c r="AA2211" s="316"/>
      <c r="AB2211" s="316"/>
      <c r="AC2211" s="316"/>
    </row>
    <row r="2212" spans="1:29" ht="125.25" customHeight="1">
      <c r="A2212" s="319"/>
      <c r="B2212" s="320"/>
      <c r="C2212" s="319"/>
      <c r="D2212" s="320"/>
      <c r="E2212" s="184"/>
      <c r="F2212" s="321"/>
      <c r="G2212" s="153" t="s">
        <v>151</v>
      </c>
      <c r="H2212" s="153" t="s">
        <v>152</v>
      </c>
      <c r="I2212" s="153" t="s">
        <v>153</v>
      </c>
      <c r="J2212" s="153" t="s">
        <v>151</v>
      </c>
      <c r="K2212" s="153" t="s">
        <v>152</v>
      </c>
      <c r="L2212" s="153" t="s">
        <v>153</v>
      </c>
      <c r="O2212" s="325"/>
      <c r="P2212" s="325"/>
      <c r="Q2212" s="325"/>
      <c r="R2212" s="325"/>
      <c r="S2212" s="193"/>
      <c r="T2212" s="193"/>
      <c r="U2212" s="193"/>
      <c r="V2212" s="193"/>
      <c r="W2212" s="193"/>
      <c r="X2212" s="193"/>
      <c r="Y2212" s="193"/>
      <c r="Z2212" s="193"/>
      <c r="AA2212" s="193"/>
      <c r="AB2212" s="193"/>
      <c r="AC2212" s="193"/>
    </row>
    <row r="2213" spans="1:29" ht="30" customHeight="1">
      <c r="A2213" s="189">
        <v>24</v>
      </c>
      <c r="B2213" s="188" t="s">
        <v>69</v>
      </c>
      <c r="C2213" s="307" t="s">
        <v>131</v>
      </c>
      <c r="D2213" s="308"/>
      <c r="E2213" s="179"/>
      <c r="F2213" s="191" t="s">
        <v>71</v>
      </c>
      <c r="G2213" s="202" t="s">
        <v>156</v>
      </c>
      <c r="H2213" s="202" t="s">
        <v>156</v>
      </c>
      <c r="I2213" s="202" t="s">
        <v>156</v>
      </c>
      <c r="J2213" s="202" t="s">
        <v>156</v>
      </c>
      <c r="K2213" s="202" t="s">
        <v>156</v>
      </c>
      <c r="L2213" s="202" t="s">
        <v>156</v>
      </c>
      <c r="M2213" s="89"/>
      <c r="N2213" s="219"/>
      <c r="O2213" s="199"/>
      <c r="P2213" s="200"/>
      <c r="Q2213" s="309"/>
      <c r="R2213" s="309"/>
      <c r="S2213" s="86"/>
      <c r="T2213" s="86"/>
      <c r="U2213" s="86"/>
      <c r="V2213" s="86"/>
      <c r="W2213" s="86"/>
      <c r="X2213" s="86"/>
      <c r="Y2213" s="86"/>
      <c r="Z2213" s="86"/>
      <c r="AA2213" s="86"/>
      <c r="AB2213" s="86"/>
      <c r="AC2213" s="86"/>
    </row>
    <row r="2214" spans="1:29" ht="30" customHeight="1">
      <c r="A2214" s="189">
        <v>25</v>
      </c>
      <c r="B2214" s="188" t="s">
        <v>69</v>
      </c>
      <c r="C2214" s="307" t="s">
        <v>83</v>
      </c>
      <c r="D2214" s="308"/>
      <c r="E2214" s="179"/>
      <c r="F2214" s="191" t="s">
        <v>71</v>
      </c>
      <c r="G2214" s="201">
        <v>25</v>
      </c>
      <c r="H2214" s="201">
        <v>40</v>
      </c>
      <c r="I2214" s="201">
        <v>22</v>
      </c>
      <c r="J2214" s="201">
        <v>25</v>
      </c>
      <c r="K2214" s="201">
        <v>40</v>
      </c>
      <c r="L2214" s="201">
        <v>22</v>
      </c>
      <c r="M2214" s="89"/>
      <c r="N2214" s="219"/>
      <c r="O2214" s="199"/>
      <c r="P2214" s="200"/>
      <c r="Q2214" s="309"/>
      <c r="R2214" s="309"/>
      <c r="S2214" s="86"/>
      <c r="T2214" s="86"/>
      <c r="U2214" s="86"/>
      <c r="V2214" s="86"/>
      <c r="W2214" s="86"/>
      <c r="X2214" s="86"/>
      <c r="Y2214" s="86"/>
      <c r="Z2214" s="86"/>
      <c r="AA2214" s="86"/>
      <c r="AB2214" s="86"/>
      <c r="AC2214" s="86"/>
    </row>
    <row r="2215" spans="1:29" ht="30" customHeight="1">
      <c r="A2215" s="189">
        <v>26</v>
      </c>
      <c r="B2215" s="188" t="s">
        <v>69</v>
      </c>
      <c r="C2215" s="307" t="s">
        <v>84</v>
      </c>
      <c r="D2215" s="308"/>
      <c r="E2215" s="179"/>
      <c r="F2215" s="191" t="s">
        <v>71</v>
      </c>
      <c r="G2215" s="201">
        <v>5</v>
      </c>
      <c r="H2215" s="202" t="s">
        <v>156</v>
      </c>
      <c r="I2215" s="202" t="s">
        <v>156</v>
      </c>
      <c r="J2215" s="201">
        <v>5</v>
      </c>
      <c r="K2215" s="202" t="s">
        <v>156</v>
      </c>
      <c r="L2215" s="202" t="s">
        <v>156</v>
      </c>
      <c r="M2215" s="89"/>
      <c r="N2215" s="219"/>
      <c r="O2215" s="199"/>
      <c r="P2215" s="200"/>
      <c r="Q2215" s="309"/>
      <c r="R2215" s="309"/>
      <c r="S2215" s="86"/>
      <c r="T2215" s="86"/>
      <c r="U2215" s="86"/>
      <c r="V2215" s="86"/>
      <c r="W2215" s="86"/>
      <c r="X2215" s="86"/>
      <c r="Y2215" s="86"/>
      <c r="Z2215" s="86"/>
      <c r="AA2215" s="86"/>
      <c r="AB2215" s="86"/>
      <c r="AC2215" s="86"/>
    </row>
    <row r="2216" spans="1:29" ht="30" customHeight="1">
      <c r="A2216" s="189">
        <v>27</v>
      </c>
      <c r="B2216" s="188" t="s">
        <v>69</v>
      </c>
      <c r="C2216" s="307" t="s">
        <v>85</v>
      </c>
      <c r="D2216" s="308"/>
      <c r="E2216" s="179"/>
      <c r="F2216" s="191" t="s">
        <v>71</v>
      </c>
      <c r="G2216" s="201">
        <v>3</v>
      </c>
      <c r="H2216" s="201">
        <v>1</v>
      </c>
      <c r="I2216" s="201">
        <v>8</v>
      </c>
      <c r="J2216" s="201">
        <v>3</v>
      </c>
      <c r="K2216" s="201">
        <v>1</v>
      </c>
      <c r="L2216" s="201">
        <v>8</v>
      </c>
      <c r="M2216" s="89"/>
      <c r="N2216" s="219"/>
      <c r="O2216" s="199"/>
      <c r="P2216" s="200"/>
      <c r="Q2216" s="309"/>
      <c r="R2216" s="309"/>
      <c r="S2216" s="86"/>
      <c r="T2216" s="86"/>
      <c r="U2216" s="86"/>
      <c r="V2216" s="86"/>
      <c r="W2216" s="86"/>
      <c r="X2216" s="86"/>
      <c r="Y2216" s="86"/>
      <c r="Z2216" s="86"/>
      <c r="AA2216" s="86"/>
      <c r="AB2216" s="86"/>
      <c r="AC2216" s="86"/>
    </row>
    <row r="2217" spans="1:29" ht="30" customHeight="1">
      <c r="A2217" s="189">
        <v>28</v>
      </c>
      <c r="B2217" s="188" t="s">
        <v>69</v>
      </c>
      <c r="C2217" s="307" t="s">
        <v>132</v>
      </c>
      <c r="D2217" s="308"/>
      <c r="E2217" s="179"/>
      <c r="F2217" s="191" t="s">
        <v>71</v>
      </c>
      <c r="G2217" s="202" t="s">
        <v>156</v>
      </c>
      <c r="H2217" s="202" t="s">
        <v>156</v>
      </c>
      <c r="I2217" s="202" t="s">
        <v>156</v>
      </c>
      <c r="J2217" s="202" t="s">
        <v>156</v>
      </c>
      <c r="K2217" s="202" t="s">
        <v>156</v>
      </c>
      <c r="L2217" s="202" t="s">
        <v>156</v>
      </c>
      <c r="M2217" s="89"/>
      <c r="N2217" s="219"/>
      <c r="O2217" s="199"/>
      <c r="P2217" s="200"/>
      <c r="Q2217" s="309"/>
      <c r="R2217" s="309"/>
      <c r="S2217" s="86"/>
      <c r="T2217" s="86"/>
      <c r="U2217" s="86"/>
      <c r="V2217" s="86"/>
      <c r="W2217" s="86"/>
      <c r="X2217" s="86"/>
      <c r="Y2217" s="86"/>
      <c r="Z2217" s="86"/>
      <c r="AA2217" s="86"/>
      <c r="AB2217" s="86"/>
      <c r="AC2217" s="86"/>
    </row>
    <row r="2218" spans="1:29" ht="30" customHeight="1">
      <c r="A2218" s="189">
        <v>29</v>
      </c>
      <c r="B2218" s="188" t="s">
        <v>69</v>
      </c>
      <c r="C2218" s="307" t="s">
        <v>86</v>
      </c>
      <c r="D2218" s="308"/>
      <c r="E2218" s="179"/>
      <c r="F2218" s="191" t="s">
        <v>71</v>
      </c>
      <c r="G2218" s="201">
        <v>10</v>
      </c>
      <c r="H2218" s="201">
        <v>12</v>
      </c>
      <c r="I2218" s="201">
        <v>9</v>
      </c>
      <c r="J2218" s="201">
        <v>10</v>
      </c>
      <c r="K2218" s="201">
        <v>12</v>
      </c>
      <c r="L2218" s="201">
        <v>9</v>
      </c>
      <c r="M2218" s="89"/>
      <c r="N2218" s="219"/>
      <c r="O2218" s="199"/>
      <c r="P2218" s="200"/>
      <c r="Q2218" s="309"/>
      <c r="R2218" s="309"/>
      <c r="S2218" s="86"/>
      <c r="T2218" s="86"/>
      <c r="U2218" s="86"/>
      <c r="V2218" s="86"/>
      <c r="W2218" s="86"/>
      <c r="X2218" s="86"/>
      <c r="Y2218" s="86"/>
      <c r="Z2218" s="86"/>
      <c r="AA2218" s="86"/>
      <c r="AB2218" s="86"/>
      <c r="AC2218" s="86"/>
    </row>
    <row r="2219" spans="1:29" ht="30" customHeight="1">
      <c r="A2219" s="189">
        <v>30</v>
      </c>
      <c r="B2219" s="188" t="s">
        <v>69</v>
      </c>
      <c r="C2219" s="307" t="s">
        <v>87</v>
      </c>
      <c r="D2219" s="308"/>
      <c r="E2219" s="179"/>
      <c r="F2219" s="191" t="s">
        <v>71</v>
      </c>
      <c r="G2219" s="202" t="s">
        <v>156</v>
      </c>
      <c r="H2219" s="202" t="s">
        <v>156</v>
      </c>
      <c r="I2219" s="202" t="s">
        <v>156</v>
      </c>
      <c r="J2219" s="202" t="s">
        <v>156</v>
      </c>
      <c r="K2219" s="202" t="s">
        <v>156</v>
      </c>
      <c r="L2219" s="202" t="s">
        <v>156</v>
      </c>
      <c r="M2219" s="89"/>
      <c r="N2219" s="219"/>
      <c r="O2219" s="199"/>
      <c r="P2219" s="200"/>
      <c r="Q2219" s="309"/>
      <c r="R2219" s="309"/>
      <c r="S2219" s="86"/>
      <c r="T2219" s="86"/>
      <c r="U2219" s="86"/>
      <c r="V2219" s="86"/>
      <c r="W2219" s="86"/>
      <c r="X2219" s="86"/>
      <c r="Y2219" s="86"/>
      <c r="Z2219" s="86"/>
      <c r="AA2219" s="86"/>
      <c r="AB2219" s="86"/>
      <c r="AC2219" s="86"/>
    </row>
    <row r="2220" spans="1:29" ht="30" customHeight="1">
      <c r="A2220" s="189">
        <v>31</v>
      </c>
      <c r="B2220" s="188" t="s">
        <v>69</v>
      </c>
      <c r="C2220" s="307" t="s">
        <v>105</v>
      </c>
      <c r="D2220" s="308"/>
      <c r="E2220" s="179"/>
      <c r="F2220" s="191" t="s">
        <v>71</v>
      </c>
      <c r="G2220" s="201">
        <v>2</v>
      </c>
      <c r="H2220" s="203" t="s">
        <v>156</v>
      </c>
      <c r="I2220" s="201">
        <v>8</v>
      </c>
      <c r="J2220" s="201">
        <v>2</v>
      </c>
      <c r="K2220" s="203" t="s">
        <v>156</v>
      </c>
      <c r="L2220" s="201">
        <v>8</v>
      </c>
      <c r="M2220" s="89"/>
      <c r="N2220" s="219"/>
      <c r="O2220" s="199"/>
      <c r="P2220" s="200"/>
      <c r="Q2220" s="309"/>
      <c r="R2220" s="309"/>
      <c r="S2220" s="86"/>
      <c r="T2220" s="86"/>
      <c r="U2220" s="86"/>
      <c r="V2220" s="86"/>
      <c r="W2220" s="86"/>
      <c r="X2220" s="86"/>
      <c r="Y2220" s="86"/>
      <c r="Z2220" s="86"/>
      <c r="AA2220" s="86"/>
      <c r="AB2220" s="86"/>
      <c r="AC2220" s="86"/>
    </row>
    <row r="2221" spans="1:29" ht="30" customHeight="1">
      <c r="A2221" s="189">
        <v>32</v>
      </c>
      <c r="B2221" s="188" t="s">
        <v>69</v>
      </c>
      <c r="C2221" s="307" t="s">
        <v>133</v>
      </c>
      <c r="D2221" s="308"/>
      <c r="E2221" s="179"/>
      <c r="F2221" s="191" t="s">
        <v>71</v>
      </c>
      <c r="G2221" s="202" t="s">
        <v>156</v>
      </c>
      <c r="H2221" s="202" t="s">
        <v>156</v>
      </c>
      <c r="I2221" s="202" t="s">
        <v>156</v>
      </c>
      <c r="J2221" s="202" t="s">
        <v>156</v>
      </c>
      <c r="K2221" s="202" t="s">
        <v>156</v>
      </c>
      <c r="L2221" s="202" t="s">
        <v>156</v>
      </c>
      <c r="M2221" s="89"/>
      <c r="N2221" s="219"/>
      <c r="O2221" s="199"/>
      <c r="P2221" s="200"/>
      <c r="Q2221" s="309"/>
      <c r="R2221" s="309"/>
      <c r="S2221" s="86"/>
      <c r="T2221" s="86"/>
      <c r="U2221" s="86"/>
      <c r="V2221" s="86"/>
      <c r="W2221" s="86"/>
      <c r="X2221" s="86"/>
      <c r="Y2221" s="86"/>
      <c r="Z2221" s="86"/>
      <c r="AA2221" s="86"/>
      <c r="AB2221" s="86"/>
      <c r="AC2221" s="86"/>
    </row>
    <row r="2222" spans="1:29" ht="30" customHeight="1">
      <c r="A2222" s="189">
        <v>33</v>
      </c>
      <c r="B2222" s="188" t="s">
        <v>69</v>
      </c>
      <c r="C2222" s="307" t="s">
        <v>88</v>
      </c>
      <c r="D2222" s="308"/>
      <c r="E2222" s="179"/>
      <c r="F2222" s="191" t="s">
        <v>71</v>
      </c>
      <c r="G2222" s="201">
        <v>3</v>
      </c>
      <c r="H2222" s="201">
        <v>7</v>
      </c>
      <c r="I2222" s="201">
        <v>7</v>
      </c>
      <c r="J2222" s="201">
        <v>3</v>
      </c>
      <c r="K2222" s="201">
        <v>7</v>
      </c>
      <c r="L2222" s="201">
        <v>7</v>
      </c>
      <c r="M2222" s="89"/>
      <c r="N2222" s="219"/>
      <c r="O2222" s="199"/>
      <c r="P2222" s="200"/>
      <c r="Q2222" s="309"/>
      <c r="R2222" s="309"/>
      <c r="S2222" s="86"/>
      <c r="T2222" s="86"/>
      <c r="U2222" s="86"/>
      <c r="V2222" s="86"/>
      <c r="W2222" s="86"/>
      <c r="X2222" s="86"/>
      <c r="Y2222" s="86"/>
      <c r="Z2222" s="86"/>
      <c r="AA2222" s="86"/>
      <c r="AB2222" s="86"/>
      <c r="AC2222" s="86"/>
    </row>
    <row r="2223" spans="1:29" ht="30" customHeight="1">
      <c r="A2223" s="189">
        <v>34</v>
      </c>
      <c r="B2223" s="188" t="s">
        <v>69</v>
      </c>
      <c r="C2223" s="307" t="s">
        <v>89</v>
      </c>
      <c r="D2223" s="308"/>
      <c r="E2223" s="179"/>
      <c r="F2223" s="191" t="s">
        <v>71</v>
      </c>
      <c r="G2223" s="202" t="s">
        <v>156</v>
      </c>
      <c r="H2223" s="202" t="s">
        <v>156</v>
      </c>
      <c r="I2223" s="202" t="s">
        <v>156</v>
      </c>
      <c r="J2223" s="202" t="s">
        <v>156</v>
      </c>
      <c r="K2223" s="202" t="s">
        <v>156</v>
      </c>
      <c r="L2223" s="202" t="s">
        <v>156</v>
      </c>
      <c r="M2223" s="89"/>
      <c r="N2223" s="219"/>
      <c r="O2223" s="199"/>
      <c r="P2223" s="200"/>
      <c r="Q2223" s="309"/>
      <c r="R2223" s="309"/>
      <c r="S2223" s="86"/>
      <c r="T2223" s="86"/>
      <c r="U2223" s="86"/>
      <c r="V2223" s="86"/>
      <c r="W2223" s="86"/>
      <c r="X2223" s="86"/>
      <c r="Y2223" s="86"/>
      <c r="Z2223" s="86"/>
      <c r="AA2223" s="86"/>
      <c r="AB2223" s="86"/>
      <c r="AC2223" s="86"/>
    </row>
    <row r="2224" spans="1:29" ht="30" customHeight="1">
      <c r="A2224" s="189">
        <v>35</v>
      </c>
      <c r="B2224" s="188" t="s">
        <v>69</v>
      </c>
      <c r="C2224" s="307" t="s">
        <v>140</v>
      </c>
      <c r="D2224" s="308"/>
      <c r="E2224" s="179"/>
      <c r="F2224" s="191" t="s">
        <v>71</v>
      </c>
      <c r="G2224" s="202" t="s">
        <v>156</v>
      </c>
      <c r="H2224" s="202" t="s">
        <v>156</v>
      </c>
      <c r="I2224" s="201">
        <v>3</v>
      </c>
      <c r="J2224" s="202" t="s">
        <v>156</v>
      </c>
      <c r="K2224" s="202" t="s">
        <v>156</v>
      </c>
      <c r="L2224" s="201">
        <v>3</v>
      </c>
      <c r="M2224" s="89"/>
      <c r="N2224" s="220"/>
      <c r="O2224" s="199"/>
      <c r="P2224" s="200"/>
      <c r="Q2224" s="309"/>
      <c r="R2224" s="309"/>
      <c r="S2224" s="86"/>
      <c r="T2224" s="86"/>
      <c r="U2224" s="86"/>
      <c r="V2224" s="86"/>
      <c r="W2224" s="86"/>
      <c r="X2224" s="86"/>
      <c r="Y2224" s="86"/>
      <c r="Z2224" s="86"/>
      <c r="AA2224" s="86"/>
      <c r="AB2224" s="86"/>
      <c r="AC2224" s="86"/>
    </row>
    <row r="2225" spans="1:29" ht="30" customHeight="1">
      <c r="A2225" s="189">
        <v>36</v>
      </c>
      <c r="B2225" s="188" t="s">
        <v>69</v>
      </c>
      <c r="C2225" s="307" t="s">
        <v>134</v>
      </c>
      <c r="D2225" s="308"/>
      <c r="E2225" s="179"/>
      <c r="F2225" s="191" t="s">
        <v>71</v>
      </c>
      <c r="G2225" s="202" t="s">
        <v>156</v>
      </c>
      <c r="H2225" s="202" t="s">
        <v>156</v>
      </c>
      <c r="I2225" s="202" t="s">
        <v>156</v>
      </c>
      <c r="J2225" s="202" t="s">
        <v>156</v>
      </c>
      <c r="K2225" s="202" t="s">
        <v>156</v>
      </c>
      <c r="L2225" s="202" t="s">
        <v>156</v>
      </c>
      <c r="M2225" s="89"/>
      <c r="N2225" s="220"/>
      <c r="O2225" s="199"/>
      <c r="P2225" s="200"/>
      <c r="Q2225" s="309"/>
      <c r="R2225" s="309"/>
      <c r="S2225" s="86"/>
      <c r="T2225" s="86"/>
      <c r="U2225" s="86"/>
      <c r="V2225" s="86"/>
      <c r="W2225" s="86"/>
      <c r="X2225" s="86"/>
      <c r="Y2225" s="86"/>
      <c r="Z2225" s="86"/>
      <c r="AA2225" s="86"/>
      <c r="AB2225" s="86"/>
      <c r="AC2225" s="86"/>
    </row>
    <row r="2226" spans="1:29" ht="30" customHeight="1">
      <c r="A2226" s="189">
        <v>37</v>
      </c>
      <c r="B2226" s="188" t="s">
        <v>69</v>
      </c>
      <c r="C2226" s="307" t="s">
        <v>90</v>
      </c>
      <c r="D2226" s="308"/>
      <c r="E2226" s="179"/>
      <c r="F2226" s="191" t="s">
        <v>71</v>
      </c>
      <c r="G2226" s="202" t="s">
        <v>156</v>
      </c>
      <c r="H2226" s="202" t="s">
        <v>156</v>
      </c>
      <c r="I2226" s="202" t="s">
        <v>156</v>
      </c>
      <c r="J2226" s="202" t="s">
        <v>156</v>
      </c>
      <c r="K2226" s="202" t="s">
        <v>156</v>
      </c>
      <c r="L2226" s="202" t="s">
        <v>156</v>
      </c>
      <c r="M2226" s="89"/>
      <c r="N2226" s="220"/>
      <c r="O2226" s="199"/>
      <c r="P2226" s="200"/>
      <c r="Q2226" s="309"/>
      <c r="R2226" s="309"/>
      <c r="S2226" s="86"/>
      <c r="T2226" s="86"/>
      <c r="U2226" s="86"/>
      <c r="V2226" s="86"/>
      <c r="W2226" s="86"/>
      <c r="X2226" s="86"/>
      <c r="Y2226" s="86"/>
      <c r="Z2226" s="86"/>
      <c r="AA2226" s="86"/>
      <c r="AB2226" s="86"/>
      <c r="AC2226" s="86"/>
    </row>
    <row r="2227" spans="1:29" ht="30" customHeight="1">
      <c r="A2227" s="189">
        <v>38</v>
      </c>
      <c r="B2227" s="188" t="s">
        <v>69</v>
      </c>
      <c r="C2227" s="307" t="s">
        <v>106</v>
      </c>
      <c r="D2227" s="308"/>
      <c r="E2227" s="150"/>
      <c r="F2227" s="191" t="s">
        <v>71</v>
      </c>
      <c r="G2227" s="202" t="s">
        <v>156</v>
      </c>
      <c r="H2227" s="202" t="s">
        <v>156</v>
      </c>
      <c r="I2227" s="202" t="s">
        <v>156</v>
      </c>
      <c r="J2227" s="202" t="s">
        <v>156</v>
      </c>
      <c r="K2227" s="202" t="s">
        <v>156</v>
      </c>
      <c r="L2227" s="202" t="s">
        <v>156</v>
      </c>
      <c r="M2227" s="89"/>
      <c r="N2227" s="220"/>
      <c r="O2227" s="199"/>
      <c r="P2227" s="200"/>
      <c r="Q2227" s="309"/>
      <c r="R2227" s="309"/>
      <c r="S2227" s="86"/>
      <c r="T2227" s="86"/>
      <c r="U2227" s="86"/>
      <c r="V2227" s="86"/>
      <c r="W2227" s="86"/>
      <c r="X2227" s="86"/>
      <c r="Y2227" s="86"/>
      <c r="Z2227" s="86"/>
      <c r="AA2227" s="86"/>
      <c r="AB2227" s="86"/>
      <c r="AC2227" s="86"/>
    </row>
    <row r="2228" spans="1:29" ht="25.5" customHeight="1">
      <c r="A2228" s="310" t="s">
        <v>92</v>
      </c>
      <c r="B2228" s="310"/>
      <c r="C2228" s="310"/>
      <c r="D2228" s="310"/>
      <c r="E2228" s="310"/>
      <c r="F2228" s="310"/>
      <c r="G2228" s="310"/>
      <c r="H2228" s="310"/>
      <c r="I2228" s="310"/>
      <c r="J2228" s="310"/>
      <c r="K2228" s="310"/>
      <c r="L2228" s="310"/>
      <c r="M2228" s="92"/>
    </row>
    <row r="2229" spans="1:29" ht="19.5" customHeight="1">
      <c r="A2229" s="139"/>
      <c r="B2229" s="139"/>
      <c r="C2229" s="140"/>
      <c r="D2229" s="140" t="s">
        <v>145</v>
      </c>
      <c r="E2229" s="140"/>
      <c r="F2229" s="152" t="s">
        <v>54</v>
      </c>
      <c r="G2229" s="152"/>
      <c r="H2229" s="152"/>
      <c r="I2229" s="152"/>
      <c r="J2229" s="152" t="s">
        <v>144</v>
      </c>
      <c r="K2229" s="152"/>
      <c r="L2229" s="140"/>
      <c r="M2229" s="94"/>
    </row>
    <row r="2230" spans="1:29" ht="28.5" customHeight="1">
      <c r="A2230" s="310" t="s">
        <v>93</v>
      </c>
      <c r="B2230" s="310"/>
      <c r="C2230" s="310"/>
      <c r="D2230" s="310"/>
      <c r="E2230" s="310"/>
      <c r="F2230" s="310"/>
      <c r="G2230" s="310"/>
      <c r="H2230" s="310"/>
      <c r="I2230" s="310"/>
      <c r="J2230" s="310"/>
      <c r="K2230" s="310"/>
      <c r="L2230" s="310"/>
      <c r="M2230" s="92"/>
      <c r="N2230" s="311"/>
      <c r="O2230" s="311"/>
      <c r="P2230" s="311"/>
    </row>
    <row r="2231" spans="1:29" ht="20.25" customHeight="1">
      <c r="A2231" s="139"/>
      <c r="B2231" s="139"/>
      <c r="C2231" s="139"/>
      <c r="D2231" s="140" t="s">
        <v>145</v>
      </c>
      <c r="E2231" s="140"/>
      <c r="F2231" s="152" t="s">
        <v>54</v>
      </c>
      <c r="G2231" s="152"/>
      <c r="H2231" s="152"/>
      <c r="I2231" s="152"/>
      <c r="J2231" s="152" t="s">
        <v>144</v>
      </c>
      <c r="K2231" s="152"/>
      <c r="L2231" s="139"/>
      <c r="M2231" s="94"/>
      <c r="N2231" s="221"/>
      <c r="O2231" s="95"/>
      <c r="P2231" s="95"/>
    </row>
    <row r="2232" spans="1:29" ht="26.25" customHeight="1">
      <c r="A2232" s="312" t="s">
        <v>94</v>
      </c>
      <c r="B2232" s="312"/>
      <c r="C2232" s="312"/>
      <c r="D2232" s="312"/>
      <c r="E2232" s="312"/>
      <c r="F2232" s="312"/>
      <c r="G2232" s="312"/>
      <c r="H2232" s="312"/>
      <c r="I2232" s="312"/>
      <c r="J2232" s="312"/>
      <c r="K2232" s="312"/>
      <c r="L2232" s="312"/>
      <c r="M2232" s="92"/>
    </row>
    <row r="2233" spans="1:29" ht="22.5" customHeight="1">
      <c r="A2233" s="120"/>
      <c r="B2233" s="120"/>
      <c r="C2233" s="120"/>
      <c r="D2233" s="120"/>
      <c r="E2233" s="120"/>
      <c r="F2233" s="120"/>
      <c r="G2233" s="120"/>
      <c r="H2233" s="120"/>
      <c r="I2233" s="120"/>
      <c r="J2233" s="120"/>
      <c r="K2233" s="120"/>
      <c r="L2233" s="120"/>
      <c r="M2233" s="94"/>
    </row>
    <row r="2234" spans="1:29" ht="22.5" customHeight="1">
      <c r="A2234" s="313" t="s">
        <v>95</v>
      </c>
      <c r="B2234" s="313"/>
      <c r="C2234" s="313"/>
      <c r="D2234" s="313"/>
      <c r="E2234" s="313"/>
      <c r="F2234" s="313"/>
      <c r="G2234" s="313"/>
      <c r="H2234" s="313"/>
      <c r="I2234" s="313"/>
      <c r="J2234" s="313"/>
      <c r="K2234" s="313"/>
      <c r="L2234" s="313"/>
      <c r="M2234" s="92"/>
    </row>
    <row r="2235" spans="1:29" ht="19.5" customHeight="1">
      <c r="A2235" s="97"/>
      <c r="B2235" s="97"/>
      <c r="C2235" s="145"/>
      <c r="D2235" s="97"/>
      <c r="E2235" s="97"/>
      <c r="F2235" s="97"/>
      <c r="G2235" s="97"/>
      <c r="H2235" s="97"/>
      <c r="I2235" s="97"/>
      <c r="J2235" s="97"/>
      <c r="K2235" s="97"/>
      <c r="L2235" s="97"/>
      <c r="M2235" s="94"/>
    </row>
    <row r="2236" spans="1:29" ht="5.25" customHeight="1">
      <c r="A2236" s="94"/>
      <c r="B2236" s="94"/>
      <c r="C2236" s="146"/>
      <c r="D2236" s="94"/>
      <c r="E2236" s="94"/>
      <c r="F2236" s="94"/>
      <c r="G2236" s="94"/>
      <c r="H2236" s="94"/>
      <c r="I2236" s="94"/>
      <c r="J2236" s="94"/>
      <c r="K2236" s="94"/>
      <c r="L2236" s="94"/>
      <c r="M2236" s="94"/>
    </row>
    <row r="2237" spans="1:29" ht="16.5" customHeight="1">
      <c r="A2237" s="314" t="s">
        <v>96</v>
      </c>
      <c r="B2237" s="314"/>
      <c r="C2237" s="314"/>
      <c r="D2237" s="314"/>
      <c r="E2237" s="98"/>
      <c r="F2237" s="98"/>
      <c r="G2237" s="98"/>
      <c r="H2237" s="315" t="s">
        <v>97</v>
      </c>
      <c r="I2237" s="315"/>
      <c r="J2237" s="315"/>
      <c r="K2237" s="315"/>
      <c r="L2237" s="315"/>
      <c r="M2237" s="94"/>
    </row>
    <row r="2238" spans="1:29" ht="95.1" customHeight="1">
      <c r="A2238" s="99"/>
      <c r="B2238" s="101" t="str">
        <f>B2168</f>
        <v>Ông Huỳnh Phước Hải        ….............</v>
      </c>
      <c r="C2238" s="147"/>
      <c r="D2238" s="99"/>
      <c r="E2238" s="81"/>
      <c r="F2238" s="100"/>
      <c r="G2238" s="100"/>
      <c r="H2238" s="306" t="str">
        <f>H2168</f>
        <v>Ông Phạm Tấn Việt          …..................</v>
      </c>
      <c r="I2238" s="306"/>
      <c r="J2238" s="306"/>
      <c r="K2238" s="306"/>
      <c r="L2238" s="306"/>
      <c r="M2238" s="94"/>
    </row>
    <row r="2239" spans="1:29" ht="49.5" customHeight="1">
      <c r="A2239" s="99"/>
      <c r="B2239" s="99"/>
      <c r="C2239" s="147"/>
      <c r="D2239" s="99"/>
      <c r="E2239" s="81"/>
      <c r="F2239" s="100"/>
      <c r="G2239" s="100"/>
      <c r="H2239" s="100"/>
      <c r="I2239" s="100"/>
      <c r="J2239" s="99"/>
      <c r="K2239" s="99"/>
      <c r="L2239" s="99"/>
      <c r="M2239" s="94"/>
    </row>
    <row r="2240" spans="1:29" ht="21.75" customHeight="1">
      <c r="A2240" s="346" t="s">
        <v>165</v>
      </c>
      <c r="B2240" s="346"/>
      <c r="C2240" s="346"/>
      <c r="D2240" s="346"/>
      <c r="E2240" s="346"/>
      <c r="F2240" s="346"/>
      <c r="G2240" s="346"/>
      <c r="H2240" s="346"/>
      <c r="I2240" s="346"/>
      <c r="J2240" s="346"/>
      <c r="K2240" s="346"/>
      <c r="L2240" s="346"/>
      <c r="M2240" s="82"/>
    </row>
    <row r="2241" spans="1:29" ht="19.5">
      <c r="A2241" s="84" t="str">
        <f>"Ngày "&amp;N2242&amp;" tháng "&amp;O2102&amp;" năm "&amp;P2102&amp;""</f>
        <v xml:space="preserve">Ngày * tháng  năm </v>
      </c>
      <c r="B2241" s="84"/>
      <c r="C2241" s="85"/>
      <c r="N2241" s="216"/>
      <c r="O2241" s="20"/>
      <c r="P2241" s="20"/>
    </row>
    <row r="2242" spans="1:29" ht="16.5">
      <c r="A2242" s="337" t="s">
        <v>57</v>
      </c>
      <c r="B2242" s="337"/>
      <c r="C2242" s="337"/>
      <c r="D2242" s="311"/>
      <c r="E2242" s="311"/>
      <c r="F2242" s="311"/>
      <c r="G2242" s="95"/>
      <c r="H2242" s="95"/>
      <c r="I2242" s="95"/>
      <c r="J2242" s="95"/>
      <c r="K2242" s="95"/>
      <c r="L2242" s="95"/>
      <c r="N2242" s="217" t="s">
        <v>128</v>
      </c>
      <c r="O2242" s="214"/>
      <c r="P2242" s="17"/>
    </row>
    <row r="2243" spans="1:29" ht="15.75" customHeight="1">
      <c r="A2243" s="338"/>
      <c r="B2243" s="338"/>
      <c r="C2243" s="338"/>
      <c r="D2243" s="339" t="s">
        <v>58</v>
      </c>
      <c r="E2243" s="340"/>
      <c r="F2243" s="340"/>
      <c r="G2243" s="340"/>
      <c r="H2243" s="341"/>
      <c r="I2243" s="339" t="s">
        <v>59</v>
      </c>
      <c r="J2243" s="340"/>
      <c r="K2243" s="340"/>
      <c r="L2243" s="341"/>
    </row>
    <row r="2244" spans="1:29" ht="19.5" customHeight="1">
      <c r="A2244" s="342" t="s">
        <v>60</v>
      </c>
      <c r="B2244" s="342"/>
      <c r="C2244" s="342"/>
      <c r="D2244" s="343" t="s">
        <v>54</v>
      </c>
      <c r="E2244" s="344"/>
      <c r="F2244" s="344"/>
      <c r="G2244" s="344"/>
      <c r="H2244" s="345"/>
      <c r="I2244" s="343" t="s">
        <v>54</v>
      </c>
      <c r="J2244" s="344"/>
      <c r="K2244" s="344"/>
      <c r="L2244" s="345"/>
    </row>
    <row r="2245" spans="1:29" ht="22.5" customHeight="1">
      <c r="A2245" s="342" t="s">
        <v>61</v>
      </c>
      <c r="B2245" s="342"/>
      <c r="C2245" s="342"/>
      <c r="D2245" s="343" t="s">
        <v>163</v>
      </c>
      <c r="E2245" s="344"/>
      <c r="F2245" s="344"/>
      <c r="G2245" s="344"/>
      <c r="H2245" s="345"/>
      <c r="I2245" s="343" t="str">
        <f>D2245</f>
        <v>31° - 34°</v>
      </c>
      <c r="J2245" s="344"/>
      <c r="K2245" s="344"/>
      <c r="L2245" s="345"/>
    </row>
    <row r="2246" spans="1:29" s="87" customFormat="1" ht="15.75">
      <c r="A2246" s="310" t="s">
        <v>62</v>
      </c>
      <c r="B2246" s="310"/>
      <c r="C2246" s="310"/>
      <c r="D2246" s="310"/>
      <c r="E2246" s="310"/>
      <c r="F2246" s="310"/>
      <c r="G2246" s="310"/>
      <c r="H2246" s="310"/>
      <c r="I2246" s="310"/>
      <c r="J2246" s="310"/>
      <c r="K2246" s="310"/>
      <c r="L2246" s="310"/>
      <c r="M2246" s="85"/>
      <c r="N2246" s="218"/>
    </row>
    <row r="2247" spans="1:29" s="87" customFormat="1" ht="15.75">
      <c r="A2247" s="332" t="s">
        <v>63</v>
      </c>
      <c r="B2247" s="332"/>
      <c r="C2247" s="332"/>
      <c r="D2247" s="332"/>
      <c r="E2247" s="332"/>
      <c r="F2247" s="332"/>
      <c r="G2247" s="332"/>
      <c r="H2247" s="332"/>
      <c r="I2247" s="332"/>
      <c r="J2247" s="332"/>
      <c r="K2247" s="332"/>
      <c r="L2247" s="332"/>
      <c r="M2247" s="85"/>
      <c r="N2247" s="218"/>
    </row>
    <row r="2248" spans="1:29" s="87" customFormat="1" ht="20.100000000000001" customHeight="1">
      <c r="A2248" s="88"/>
      <c r="B2248" s="88"/>
      <c r="C2248" s="333" t="s">
        <v>64</v>
      </c>
      <c r="D2248" s="334"/>
      <c r="E2248" s="334"/>
      <c r="F2248" s="334"/>
      <c r="G2248" s="334"/>
      <c r="H2248" s="334"/>
      <c r="I2248" s="334"/>
      <c r="J2248" s="334"/>
      <c r="K2248" s="334"/>
      <c r="L2248" s="334"/>
      <c r="M2248" s="85"/>
      <c r="N2248" s="218"/>
    </row>
    <row r="2249" spans="1:29" s="87" customFormat="1" ht="20.100000000000001" customHeight="1">
      <c r="A2249" s="88"/>
      <c r="B2249" s="88"/>
      <c r="C2249" s="333" t="s">
        <v>65</v>
      </c>
      <c r="D2249" s="334"/>
      <c r="E2249" s="334"/>
      <c r="F2249" s="334"/>
      <c r="G2249" s="334"/>
      <c r="H2249" s="334"/>
      <c r="I2249" s="334"/>
      <c r="J2249" s="334"/>
      <c r="K2249" s="334"/>
      <c r="L2249" s="334"/>
      <c r="M2249" s="85"/>
      <c r="N2249" s="218"/>
    </row>
    <row r="2250" spans="1:29" s="87" customFormat="1" ht="17.25" customHeight="1">
      <c r="A2250" s="335" t="s">
        <v>66</v>
      </c>
      <c r="B2250" s="335"/>
      <c r="C2250" s="335"/>
      <c r="D2250" s="335"/>
      <c r="E2250" s="335"/>
      <c r="F2250" s="335"/>
      <c r="G2250" s="335"/>
      <c r="H2250" s="335"/>
      <c r="I2250" s="335"/>
      <c r="J2250" s="335"/>
      <c r="K2250" s="335"/>
      <c r="L2250" s="335"/>
      <c r="M2250" s="85"/>
      <c r="N2250" s="218"/>
    </row>
    <row r="2251" spans="1:29" s="87" customFormat="1" ht="7.5" customHeight="1">
      <c r="A2251" s="119"/>
      <c r="B2251" s="119"/>
      <c r="C2251" s="119"/>
      <c r="D2251" s="119"/>
      <c r="E2251" s="119"/>
      <c r="F2251" s="119"/>
      <c r="G2251" s="119"/>
      <c r="H2251" s="119"/>
      <c r="I2251" s="119"/>
      <c r="J2251" s="119"/>
      <c r="K2251" s="119"/>
      <c r="L2251" s="119"/>
      <c r="M2251" s="85"/>
      <c r="N2251" s="218"/>
    </row>
    <row r="2252" spans="1:29" ht="15.75">
      <c r="A2252" s="336" t="s">
        <v>67</v>
      </c>
      <c r="B2252" s="336"/>
      <c r="C2252" s="336"/>
      <c r="D2252" s="336"/>
      <c r="E2252" s="336"/>
      <c r="F2252" s="336"/>
      <c r="G2252" s="336"/>
      <c r="H2252" s="336"/>
      <c r="I2252" s="336"/>
      <c r="J2252" s="336"/>
      <c r="K2252" s="336"/>
      <c r="L2252" s="336"/>
    </row>
    <row r="2253" spans="1:29" ht="2.25" customHeight="1">
      <c r="A2253" s="141"/>
      <c r="B2253" s="141"/>
      <c r="C2253" s="141"/>
      <c r="D2253" s="141"/>
      <c r="E2253" s="141"/>
      <c r="F2253" s="141"/>
      <c r="G2253" s="155"/>
      <c r="H2253" s="155"/>
      <c r="I2253" s="155"/>
      <c r="J2253" s="155"/>
      <c r="K2253" s="155"/>
      <c r="L2253" s="155"/>
    </row>
    <row r="2254" spans="1:29" ht="27.75" customHeight="1">
      <c r="A2254" s="317" t="s">
        <v>135</v>
      </c>
      <c r="B2254" s="318"/>
      <c r="C2254" s="317" t="s">
        <v>68</v>
      </c>
      <c r="D2254" s="318"/>
      <c r="E2254" s="183"/>
      <c r="F2254" s="321" t="s">
        <v>136</v>
      </c>
      <c r="G2254" s="322" t="s">
        <v>155</v>
      </c>
      <c r="H2254" s="323"/>
      <c r="I2254" s="323"/>
      <c r="J2254" s="322" t="s">
        <v>154</v>
      </c>
      <c r="K2254" s="323"/>
      <c r="L2254" s="324"/>
      <c r="M2254" s="92"/>
      <c r="O2254" s="325"/>
      <c r="P2254" s="325"/>
      <c r="Q2254" s="325"/>
      <c r="R2254" s="325"/>
      <c r="S2254" s="316"/>
      <c r="T2254" s="316"/>
      <c r="U2254" s="316"/>
      <c r="V2254" s="316"/>
      <c r="W2254" s="316"/>
      <c r="X2254" s="316"/>
      <c r="Y2254" s="316"/>
      <c r="Z2254" s="316"/>
      <c r="AA2254" s="316"/>
      <c r="AB2254" s="316"/>
      <c r="AC2254" s="316"/>
    </row>
    <row r="2255" spans="1:29" ht="125.25" customHeight="1">
      <c r="A2255" s="319"/>
      <c r="B2255" s="320"/>
      <c r="C2255" s="319"/>
      <c r="D2255" s="320"/>
      <c r="E2255" s="184"/>
      <c r="F2255" s="321"/>
      <c r="G2255" s="153" t="s">
        <v>151</v>
      </c>
      <c r="H2255" s="153" t="s">
        <v>152</v>
      </c>
      <c r="I2255" s="153" t="s">
        <v>153</v>
      </c>
      <c r="J2255" s="153" t="s">
        <v>151</v>
      </c>
      <c r="K2255" s="153" t="s">
        <v>152</v>
      </c>
      <c r="L2255" s="153" t="s">
        <v>153</v>
      </c>
      <c r="O2255" s="325"/>
      <c r="P2255" s="325"/>
      <c r="Q2255" s="325"/>
      <c r="R2255" s="325"/>
      <c r="S2255" s="193"/>
      <c r="T2255" s="193"/>
      <c r="U2255" s="193"/>
      <c r="V2255" s="193"/>
      <c r="W2255" s="193"/>
      <c r="X2255" s="193"/>
      <c r="Y2255" s="193"/>
      <c r="Z2255" s="193"/>
      <c r="AA2255" s="193"/>
      <c r="AB2255" s="193"/>
      <c r="AC2255" s="193"/>
    </row>
    <row r="2256" spans="1:29" ht="24.75" customHeight="1">
      <c r="A2256" s="190" t="s">
        <v>128</v>
      </c>
      <c r="B2256" s="142"/>
      <c r="C2256" s="330" t="s">
        <v>129</v>
      </c>
      <c r="D2256" s="330"/>
      <c r="E2256" s="330"/>
      <c r="F2256" s="330"/>
      <c r="G2256" s="330"/>
      <c r="H2256" s="330"/>
      <c r="I2256" s="330"/>
      <c r="J2256" s="330"/>
      <c r="K2256" s="330"/>
      <c r="L2256" s="330"/>
      <c r="M2256" s="93"/>
      <c r="O2256" s="156"/>
      <c r="P2256" s="142"/>
      <c r="Q2256" s="331"/>
      <c r="R2256" s="331"/>
      <c r="S2256" s="331"/>
      <c r="T2256" s="331"/>
      <c r="U2256" s="331"/>
      <c r="V2256" s="331"/>
      <c r="W2256" s="331"/>
      <c r="X2256" s="331"/>
      <c r="Y2256" s="331"/>
      <c r="Z2256" s="331"/>
      <c r="AA2256" s="331"/>
      <c r="AB2256" s="331"/>
      <c r="AC2256" s="331"/>
    </row>
    <row r="2257" spans="1:29" ht="21" customHeight="1">
      <c r="A2257" s="187">
        <v>1</v>
      </c>
      <c r="B2257" s="185" t="s">
        <v>69</v>
      </c>
      <c r="C2257" s="326" t="s">
        <v>70</v>
      </c>
      <c r="D2257" s="326"/>
      <c r="E2257" s="176"/>
      <c r="F2257" s="144" t="s">
        <v>71</v>
      </c>
      <c r="G2257" s="203" t="s">
        <v>156</v>
      </c>
      <c r="H2257" s="202" t="s">
        <v>156</v>
      </c>
      <c r="I2257" s="201">
        <v>1</v>
      </c>
      <c r="J2257" s="202" t="s">
        <v>156</v>
      </c>
      <c r="K2257" s="202" t="s">
        <v>156</v>
      </c>
      <c r="L2257" s="201">
        <v>1</v>
      </c>
      <c r="M2257" s="93"/>
      <c r="O2257" s="195"/>
      <c r="P2257" s="196"/>
      <c r="Q2257" s="327"/>
      <c r="R2257" s="327"/>
      <c r="S2257" s="86"/>
      <c r="T2257" s="86"/>
      <c r="U2257" s="86"/>
      <c r="V2257" s="86"/>
      <c r="W2257" s="194"/>
      <c r="X2257" s="194"/>
      <c r="Y2257" s="194"/>
      <c r="Z2257" s="194"/>
      <c r="AA2257" s="194"/>
      <c r="AB2257" s="194"/>
      <c r="AC2257" s="194"/>
    </row>
    <row r="2258" spans="1:29" ht="21" customHeight="1">
      <c r="A2258" s="187">
        <v>2</v>
      </c>
      <c r="B2258" s="185" t="s">
        <v>69</v>
      </c>
      <c r="C2258" s="326" t="s">
        <v>72</v>
      </c>
      <c r="D2258" s="326"/>
      <c r="E2258" s="176"/>
      <c r="F2258" s="144" t="s">
        <v>71</v>
      </c>
      <c r="G2258" s="203" t="s">
        <v>156</v>
      </c>
      <c r="H2258" s="202" t="s">
        <v>156</v>
      </c>
      <c r="I2258" s="202" t="s">
        <v>156</v>
      </c>
      <c r="J2258" s="202" t="s">
        <v>156</v>
      </c>
      <c r="K2258" s="202" t="s">
        <v>156</v>
      </c>
      <c r="L2258" s="202" t="s">
        <v>156</v>
      </c>
      <c r="M2258" s="93"/>
      <c r="O2258" s="195"/>
      <c r="P2258" s="196"/>
      <c r="Q2258" s="327"/>
      <c r="R2258" s="327"/>
      <c r="S2258" s="194"/>
      <c r="T2258" s="194"/>
      <c r="U2258" s="194"/>
      <c r="V2258" s="86"/>
      <c r="W2258" s="86"/>
      <c r="X2258" s="86"/>
      <c r="Y2258" s="86"/>
      <c r="Z2258" s="194"/>
      <c r="AA2258" s="194"/>
      <c r="AB2258" s="194"/>
      <c r="AC2258" s="194"/>
    </row>
    <row r="2259" spans="1:29" ht="21" customHeight="1">
      <c r="A2259" s="187">
        <v>3</v>
      </c>
      <c r="B2259" s="185" t="s">
        <v>69</v>
      </c>
      <c r="C2259" s="326" t="s">
        <v>73</v>
      </c>
      <c r="D2259" s="326"/>
      <c r="E2259" s="176"/>
      <c r="F2259" s="144" t="s">
        <v>71</v>
      </c>
      <c r="G2259" s="203" t="s">
        <v>156</v>
      </c>
      <c r="H2259" s="202" t="s">
        <v>156</v>
      </c>
      <c r="I2259" s="202" t="s">
        <v>156</v>
      </c>
      <c r="J2259" s="202" t="s">
        <v>156</v>
      </c>
      <c r="K2259" s="202" t="s">
        <v>156</v>
      </c>
      <c r="L2259" s="202" t="s">
        <v>156</v>
      </c>
      <c r="M2259" s="93"/>
      <c r="O2259" s="195"/>
      <c r="P2259" s="196"/>
      <c r="Q2259" s="327"/>
      <c r="R2259" s="327"/>
      <c r="S2259" s="194"/>
      <c r="T2259" s="86"/>
      <c r="U2259" s="86"/>
      <c r="V2259" s="86"/>
      <c r="W2259" s="86"/>
      <c r="X2259" s="194"/>
      <c r="Y2259" s="194"/>
      <c r="Z2259" s="194"/>
      <c r="AA2259" s="194"/>
      <c r="AB2259" s="194"/>
      <c r="AC2259" s="194"/>
    </row>
    <row r="2260" spans="1:29" ht="21" customHeight="1">
      <c r="A2260" s="187">
        <v>4</v>
      </c>
      <c r="B2260" s="185" t="s">
        <v>69</v>
      </c>
      <c r="C2260" s="326" t="s">
        <v>98</v>
      </c>
      <c r="D2260" s="326"/>
      <c r="E2260" s="176"/>
      <c r="F2260" s="144" t="s">
        <v>71</v>
      </c>
      <c r="G2260" s="203" t="s">
        <v>156</v>
      </c>
      <c r="H2260" s="202" t="s">
        <v>156</v>
      </c>
      <c r="I2260" s="202" t="s">
        <v>156</v>
      </c>
      <c r="J2260" s="202" t="s">
        <v>156</v>
      </c>
      <c r="K2260" s="202" t="s">
        <v>156</v>
      </c>
      <c r="L2260" s="202" t="s">
        <v>156</v>
      </c>
      <c r="M2260" s="93"/>
      <c r="O2260" s="195"/>
      <c r="P2260" s="196"/>
      <c r="Q2260" s="327"/>
      <c r="R2260" s="327"/>
      <c r="S2260" s="194"/>
      <c r="T2260" s="194"/>
      <c r="U2260" s="194"/>
      <c r="V2260" s="194"/>
      <c r="W2260" s="194"/>
      <c r="X2260" s="194"/>
      <c r="Y2260" s="194"/>
      <c r="Z2260" s="86"/>
      <c r="AA2260" s="86"/>
      <c r="AB2260" s="86"/>
      <c r="AC2260" s="86"/>
    </row>
    <row r="2261" spans="1:29" ht="21" customHeight="1">
      <c r="A2261" s="187">
        <v>5</v>
      </c>
      <c r="B2261" s="185" t="s">
        <v>69</v>
      </c>
      <c r="C2261" s="326" t="s">
        <v>74</v>
      </c>
      <c r="D2261" s="326"/>
      <c r="E2261" s="176"/>
      <c r="F2261" s="144" t="s">
        <v>71</v>
      </c>
      <c r="G2261" s="203" t="s">
        <v>156</v>
      </c>
      <c r="H2261" s="202" t="s">
        <v>156</v>
      </c>
      <c r="I2261" s="202" t="s">
        <v>156</v>
      </c>
      <c r="J2261" s="202" t="s">
        <v>156</v>
      </c>
      <c r="K2261" s="202" t="s">
        <v>156</v>
      </c>
      <c r="L2261" s="202" t="s">
        <v>156</v>
      </c>
      <c r="M2261" s="93"/>
      <c r="O2261" s="195"/>
      <c r="P2261" s="196"/>
      <c r="Q2261" s="327"/>
      <c r="R2261" s="327"/>
      <c r="S2261" s="194"/>
      <c r="T2261" s="194"/>
      <c r="U2261" s="194"/>
      <c r="V2261" s="194"/>
      <c r="W2261" s="194"/>
      <c r="X2261" s="194"/>
      <c r="Y2261" s="194"/>
      <c r="Z2261" s="194"/>
      <c r="AA2261" s="194"/>
      <c r="AB2261" s="194"/>
      <c r="AC2261" s="194"/>
    </row>
    <row r="2262" spans="1:29" ht="21" customHeight="1">
      <c r="A2262" s="187">
        <v>6</v>
      </c>
      <c r="B2262" s="185" t="s">
        <v>69</v>
      </c>
      <c r="C2262" s="326" t="s">
        <v>75</v>
      </c>
      <c r="D2262" s="326"/>
      <c r="E2262" s="176"/>
      <c r="F2262" s="144" t="s">
        <v>71</v>
      </c>
      <c r="G2262" s="203" t="s">
        <v>156</v>
      </c>
      <c r="H2262" s="202" t="s">
        <v>156</v>
      </c>
      <c r="I2262" s="202" t="s">
        <v>156</v>
      </c>
      <c r="J2262" s="202" t="s">
        <v>156</v>
      </c>
      <c r="K2262" s="202" t="s">
        <v>156</v>
      </c>
      <c r="L2262" s="202" t="s">
        <v>156</v>
      </c>
      <c r="M2262" s="93"/>
      <c r="O2262" s="195"/>
      <c r="P2262" s="196"/>
      <c r="Q2262" s="327"/>
      <c r="R2262" s="327"/>
      <c r="S2262" s="194"/>
      <c r="T2262" s="194"/>
      <c r="U2262" s="194"/>
      <c r="V2262" s="194"/>
      <c r="W2262" s="194"/>
      <c r="X2262" s="194"/>
      <c r="Y2262" s="194"/>
      <c r="Z2262" s="194"/>
      <c r="AA2262" s="194"/>
      <c r="AB2262" s="194"/>
      <c r="AC2262" s="194"/>
    </row>
    <row r="2263" spans="1:29" ht="21" customHeight="1">
      <c r="A2263" s="187">
        <v>7</v>
      </c>
      <c r="B2263" s="185" t="s">
        <v>69</v>
      </c>
      <c r="C2263" s="326" t="s">
        <v>76</v>
      </c>
      <c r="D2263" s="326"/>
      <c r="E2263" s="176"/>
      <c r="F2263" s="144" t="s">
        <v>71</v>
      </c>
      <c r="G2263" s="203" t="s">
        <v>156</v>
      </c>
      <c r="H2263" s="202" t="s">
        <v>156</v>
      </c>
      <c r="I2263" s="202" t="s">
        <v>156</v>
      </c>
      <c r="J2263" s="202" t="s">
        <v>156</v>
      </c>
      <c r="K2263" s="202" t="s">
        <v>156</v>
      </c>
      <c r="L2263" s="202" t="s">
        <v>156</v>
      </c>
      <c r="M2263" s="93"/>
      <c r="O2263" s="195"/>
      <c r="P2263" s="196"/>
      <c r="Q2263" s="327"/>
      <c r="R2263" s="327"/>
      <c r="S2263" s="194"/>
      <c r="T2263" s="194"/>
      <c r="U2263" s="194"/>
      <c r="V2263" s="194"/>
      <c r="W2263" s="194"/>
      <c r="X2263" s="194"/>
      <c r="Y2263" s="194"/>
      <c r="Z2263" s="194"/>
      <c r="AA2263" s="194"/>
      <c r="AB2263" s="194"/>
      <c r="AC2263" s="194"/>
    </row>
    <row r="2264" spans="1:29" ht="21" customHeight="1">
      <c r="A2264" s="187">
        <v>8</v>
      </c>
      <c r="B2264" s="185" t="s">
        <v>69</v>
      </c>
      <c r="C2264" s="326" t="s">
        <v>99</v>
      </c>
      <c r="D2264" s="326"/>
      <c r="E2264" s="176"/>
      <c r="F2264" s="144" t="s">
        <v>71</v>
      </c>
      <c r="G2264" s="203" t="s">
        <v>156</v>
      </c>
      <c r="H2264" s="202" t="s">
        <v>156</v>
      </c>
      <c r="I2264" s="202" t="s">
        <v>156</v>
      </c>
      <c r="J2264" s="202" t="s">
        <v>156</v>
      </c>
      <c r="K2264" s="202" t="s">
        <v>156</v>
      </c>
      <c r="L2264" s="202" t="s">
        <v>156</v>
      </c>
      <c r="M2264" s="93"/>
      <c r="O2264" s="195"/>
      <c r="P2264" s="196"/>
      <c r="Q2264" s="327"/>
      <c r="R2264" s="327"/>
      <c r="S2264" s="194"/>
      <c r="T2264" s="194"/>
      <c r="U2264" s="194"/>
      <c r="V2264" s="194"/>
      <c r="W2264" s="194"/>
      <c r="X2264" s="194"/>
      <c r="Y2264" s="194"/>
      <c r="Z2264" s="194"/>
      <c r="AA2264" s="194"/>
      <c r="AB2264" s="194"/>
      <c r="AC2264" s="194"/>
    </row>
    <row r="2265" spans="1:29" ht="21" customHeight="1">
      <c r="A2265" s="187">
        <v>9</v>
      </c>
      <c r="B2265" s="185" t="s">
        <v>69</v>
      </c>
      <c r="C2265" s="326" t="s">
        <v>77</v>
      </c>
      <c r="D2265" s="326"/>
      <c r="E2265" s="176"/>
      <c r="F2265" s="144" t="s">
        <v>71</v>
      </c>
      <c r="G2265" s="203" t="s">
        <v>156</v>
      </c>
      <c r="H2265" s="202" t="s">
        <v>156</v>
      </c>
      <c r="I2265" s="202" t="s">
        <v>156</v>
      </c>
      <c r="J2265" s="202" t="s">
        <v>156</v>
      </c>
      <c r="K2265" s="202" t="s">
        <v>156</v>
      </c>
      <c r="L2265" s="202" t="s">
        <v>156</v>
      </c>
      <c r="M2265" s="93"/>
      <c r="O2265" s="195"/>
      <c r="P2265" s="196"/>
      <c r="Q2265" s="327"/>
      <c r="R2265" s="327"/>
      <c r="S2265" s="194"/>
      <c r="T2265" s="194"/>
      <c r="U2265" s="194"/>
      <c r="V2265" s="194"/>
      <c r="W2265" s="194"/>
      <c r="X2265" s="194"/>
      <c r="Y2265" s="194"/>
      <c r="Z2265" s="194"/>
      <c r="AA2265" s="194"/>
      <c r="AB2265" s="194"/>
      <c r="AC2265" s="194"/>
    </row>
    <row r="2266" spans="1:29" ht="21" customHeight="1">
      <c r="A2266" s="187">
        <v>10</v>
      </c>
      <c r="B2266" s="185" t="s">
        <v>69</v>
      </c>
      <c r="C2266" s="326" t="s">
        <v>78</v>
      </c>
      <c r="D2266" s="326"/>
      <c r="E2266" s="176"/>
      <c r="F2266" s="144" t="s">
        <v>71</v>
      </c>
      <c r="G2266" s="203" t="s">
        <v>156</v>
      </c>
      <c r="H2266" s="202" t="s">
        <v>156</v>
      </c>
      <c r="I2266" s="202" t="s">
        <v>156</v>
      </c>
      <c r="J2266" s="202" t="s">
        <v>156</v>
      </c>
      <c r="K2266" s="202" t="s">
        <v>156</v>
      </c>
      <c r="L2266" s="202" t="s">
        <v>156</v>
      </c>
      <c r="M2266" s="93"/>
      <c r="O2266" s="195"/>
      <c r="P2266" s="196"/>
      <c r="Q2266" s="327"/>
      <c r="R2266" s="327"/>
      <c r="S2266" s="194"/>
      <c r="T2266" s="194"/>
      <c r="U2266" s="194"/>
      <c r="V2266" s="194"/>
      <c r="W2266" s="194"/>
      <c r="X2266" s="194"/>
      <c r="Y2266" s="194"/>
      <c r="Z2266" s="194"/>
      <c r="AA2266" s="194"/>
      <c r="AB2266" s="194"/>
      <c r="AC2266" s="194"/>
    </row>
    <row r="2267" spans="1:29" ht="21" customHeight="1">
      <c r="A2267" s="187">
        <v>11</v>
      </c>
      <c r="B2267" s="185" t="s">
        <v>69</v>
      </c>
      <c r="C2267" s="326" t="s">
        <v>79</v>
      </c>
      <c r="D2267" s="326"/>
      <c r="E2267" s="176"/>
      <c r="F2267" s="144" t="s">
        <v>71</v>
      </c>
      <c r="G2267" s="203" t="s">
        <v>156</v>
      </c>
      <c r="H2267" s="202" t="s">
        <v>156</v>
      </c>
      <c r="I2267" s="202" t="s">
        <v>156</v>
      </c>
      <c r="J2267" s="202" t="s">
        <v>156</v>
      </c>
      <c r="K2267" s="202" t="s">
        <v>156</v>
      </c>
      <c r="L2267" s="202" t="s">
        <v>156</v>
      </c>
      <c r="M2267" s="93"/>
      <c r="O2267" s="195"/>
      <c r="P2267" s="196"/>
      <c r="Q2267" s="327"/>
      <c r="R2267" s="327"/>
      <c r="S2267" s="194"/>
      <c r="T2267" s="194"/>
      <c r="U2267" s="194"/>
      <c r="V2267" s="194"/>
      <c r="W2267" s="194"/>
      <c r="X2267" s="194"/>
      <c r="Y2267" s="194"/>
      <c r="Z2267" s="194"/>
      <c r="AA2267" s="194"/>
      <c r="AB2267" s="194"/>
      <c r="AC2267" s="194"/>
    </row>
    <row r="2268" spans="1:29" ht="21" customHeight="1">
      <c r="A2268" s="187">
        <v>12</v>
      </c>
      <c r="B2268" s="185" t="s">
        <v>69</v>
      </c>
      <c r="C2268" s="326" t="s">
        <v>100</v>
      </c>
      <c r="D2268" s="326"/>
      <c r="E2268" s="176"/>
      <c r="F2268" s="144" t="s">
        <v>71</v>
      </c>
      <c r="G2268" s="203" t="s">
        <v>156</v>
      </c>
      <c r="H2268" s="202" t="s">
        <v>156</v>
      </c>
      <c r="I2268" s="202" t="s">
        <v>156</v>
      </c>
      <c r="J2268" s="202" t="s">
        <v>156</v>
      </c>
      <c r="K2268" s="202" t="s">
        <v>156</v>
      </c>
      <c r="L2268" s="202" t="s">
        <v>156</v>
      </c>
      <c r="M2268" s="93"/>
      <c r="O2268" s="195"/>
      <c r="P2268" s="196"/>
      <c r="Q2268" s="327"/>
      <c r="R2268" s="327"/>
      <c r="S2268" s="194"/>
      <c r="T2268" s="194"/>
      <c r="U2268" s="194"/>
      <c r="V2268" s="194"/>
      <c r="W2268" s="194"/>
      <c r="X2268" s="194"/>
      <c r="Y2268" s="194"/>
      <c r="Z2268" s="194"/>
      <c r="AA2268" s="194"/>
      <c r="AB2268" s="194"/>
      <c r="AC2268" s="194"/>
    </row>
    <row r="2269" spans="1:29" ht="21" customHeight="1">
      <c r="A2269" s="187">
        <v>13</v>
      </c>
      <c r="B2269" s="185" t="s">
        <v>69</v>
      </c>
      <c r="C2269" s="326" t="s">
        <v>80</v>
      </c>
      <c r="D2269" s="326"/>
      <c r="E2269" s="176"/>
      <c r="F2269" s="144" t="s">
        <v>71</v>
      </c>
      <c r="G2269" s="203" t="s">
        <v>156</v>
      </c>
      <c r="H2269" s="202" t="s">
        <v>156</v>
      </c>
      <c r="I2269" s="202" t="s">
        <v>156</v>
      </c>
      <c r="J2269" s="202" t="s">
        <v>156</v>
      </c>
      <c r="K2269" s="202" t="s">
        <v>156</v>
      </c>
      <c r="L2269" s="202" t="s">
        <v>156</v>
      </c>
      <c r="M2269" s="93"/>
      <c r="O2269" s="195"/>
      <c r="P2269" s="196"/>
      <c r="Q2269" s="327"/>
      <c r="R2269" s="327"/>
      <c r="S2269" s="194"/>
      <c r="T2269" s="194"/>
      <c r="U2269" s="194"/>
      <c r="V2269" s="194"/>
      <c r="W2269" s="194"/>
      <c r="X2269" s="194"/>
      <c r="Y2269" s="194"/>
      <c r="Z2269" s="194"/>
      <c r="AA2269" s="194"/>
      <c r="AB2269" s="194"/>
      <c r="AC2269" s="194"/>
    </row>
    <row r="2270" spans="1:29" ht="21" customHeight="1">
      <c r="A2270" s="187">
        <v>14</v>
      </c>
      <c r="B2270" s="185" t="s">
        <v>69</v>
      </c>
      <c r="C2270" s="326" t="s">
        <v>91</v>
      </c>
      <c r="D2270" s="326"/>
      <c r="E2270" s="176"/>
      <c r="F2270" s="144" t="s">
        <v>71</v>
      </c>
      <c r="G2270" s="203" t="s">
        <v>156</v>
      </c>
      <c r="H2270" s="202" t="s">
        <v>156</v>
      </c>
      <c r="I2270" s="202" t="s">
        <v>156</v>
      </c>
      <c r="J2270" s="202" t="s">
        <v>156</v>
      </c>
      <c r="K2270" s="202" t="s">
        <v>156</v>
      </c>
      <c r="L2270" s="202" t="s">
        <v>156</v>
      </c>
      <c r="M2270" s="93"/>
      <c r="O2270" s="195"/>
      <c r="P2270" s="196"/>
      <c r="Q2270" s="327"/>
      <c r="R2270" s="327"/>
      <c r="S2270" s="194"/>
      <c r="T2270" s="194"/>
      <c r="U2270" s="194"/>
      <c r="V2270" s="194"/>
      <c r="W2270" s="194"/>
      <c r="X2270" s="194"/>
      <c r="Y2270" s="194"/>
      <c r="Z2270" s="194"/>
      <c r="AA2270" s="194"/>
      <c r="AB2270" s="194"/>
      <c r="AC2270" s="194"/>
    </row>
    <row r="2271" spans="1:29" ht="21" customHeight="1">
      <c r="A2271" s="187">
        <v>15</v>
      </c>
      <c r="B2271" s="185" t="s">
        <v>69</v>
      </c>
      <c r="C2271" s="326" t="s">
        <v>81</v>
      </c>
      <c r="D2271" s="326"/>
      <c r="E2271" s="176"/>
      <c r="F2271" s="144" t="s">
        <v>71</v>
      </c>
      <c r="G2271" s="203" t="s">
        <v>156</v>
      </c>
      <c r="H2271" s="202" t="s">
        <v>156</v>
      </c>
      <c r="I2271" s="202" t="s">
        <v>156</v>
      </c>
      <c r="J2271" s="202" t="s">
        <v>156</v>
      </c>
      <c r="K2271" s="202" t="s">
        <v>156</v>
      </c>
      <c r="L2271" s="202" t="s">
        <v>156</v>
      </c>
      <c r="M2271" s="93"/>
      <c r="O2271" s="195"/>
      <c r="P2271" s="196"/>
      <c r="Q2271" s="327"/>
      <c r="R2271" s="327"/>
      <c r="S2271" s="194"/>
      <c r="T2271" s="194"/>
      <c r="U2271" s="194"/>
      <c r="V2271" s="194"/>
      <c r="W2271" s="194"/>
      <c r="X2271" s="194"/>
      <c r="Y2271" s="194"/>
      <c r="Z2271" s="194"/>
      <c r="AA2271" s="194"/>
      <c r="AB2271" s="194"/>
      <c r="AC2271" s="194"/>
    </row>
    <row r="2272" spans="1:29" ht="21" customHeight="1">
      <c r="A2272" s="187">
        <v>16</v>
      </c>
      <c r="B2272" s="185" t="s">
        <v>69</v>
      </c>
      <c r="C2272" s="326" t="s">
        <v>101</v>
      </c>
      <c r="D2272" s="326"/>
      <c r="E2272" s="151"/>
      <c r="F2272" s="144" t="s">
        <v>71</v>
      </c>
      <c r="G2272" s="203" t="s">
        <v>156</v>
      </c>
      <c r="H2272" s="202" t="s">
        <v>156</v>
      </c>
      <c r="I2272" s="202" t="s">
        <v>156</v>
      </c>
      <c r="J2272" s="202" t="s">
        <v>156</v>
      </c>
      <c r="K2272" s="202" t="s">
        <v>156</v>
      </c>
      <c r="L2272" s="202" t="s">
        <v>156</v>
      </c>
      <c r="M2272" s="93"/>
      <c r="N2272" s="219"/>
      <c r="O2272" s="195"/>
      <c r="P2272" s="196"/>
      <c r="Q2272" s="327"/>
      <c r="R2272" s="327"/>
      <c r="S2272" s="197"/>
      <c r="T2272" s="197"/>
      <c r="U2272" s="197"/>
      <c r="V2272" s="197"/>
      <c r="W2272" s="197"/>
      <c r="X2272" s="197"/>
      <c r="Y2272" s="197"/>
      <c r="Z2272" s="197"/>
      <c r="AA2272" s="197"/>
      <c r="AB2272" s="197"/>
      <c r="AC2272" s="197"/>
    </row>
    <row r="2273" spans="1:29" ht="21" customHeight="1">
      <c r="A2273" s="187">
        <v>17</v>
      </c>
      <c r="B2273" s="186" t="s">
        <v>69</v>
      </c>
      <c r="C2273" s="326" t="s">
        <v>141</v>
      </c>
      <c r="D2273" s="326"/>
      <c r="E2273" s="151"/>
      <c r="F2273" s="144" t="s">
        <v>71</v>
      </c>
      <c r="G2273" s="203" t="s">
        <v>156</v>
      </c>
      <c r="H2273" s="202" t="s">
        <v>156</v>
      </c>
      <c r="I2273" s="202" t="s">
        <v>156</v>
      </c>
      <c r="J2273" s="202" t="s">
        <v>156</v>
      </c>
      <c r="K2273" s="202" t="s">
        <v>156</v>
      </c>
      <c r="L2273" s="202" t="s">
        <v>156</v>
      </c>
      <c r="M2273" s="93"/>
      <c r="N2273" s="219"/>
      <c r="O2273" s="195"/>
      <c r="P2273" s="104"/>
      <c r="Q2273" s="327"/>
      <c r="R2273" s="327"/>
      <c r="S2273" s="197"/>
      <c r="T2273" s="197"/>
      <c r="U2273" s="197"/>
      <c r="V2273" s="197"/>
      <c r="W2273" s="197"/>
      <c r="X2273" s="197"/>
      <c r="Y2273" s="197"/>
      <c r="Z2273" s="197"/>
      <c r="AA2273" s="197"/>
      <c r="AB2273" s="197"/>
      <c r="AC2273" s="197"/>
    </row>
    <row r="2274" spans="1:29" ht="21" customHeight="1">
      <c r="A2274" s="187">
        <v>18</v>
      </c>
      <c r="B2274" s="186" t="s">
        <v>69</v>
      </c>
      <c r="C2274" s="326" t="s">
        <v>142</v>
      </c>
      <c r="D2274" s="326"/>
      <c r="E2274" s="151"/>
      <c r="F2274" s="144" t="s">
        <v>71</v>
      </c>
      <c r="G2274" s="203" t="s">
        <v>156</v>
      </c>
      <c r="H2274" s="202" t="s">
        <v>156</v>
      </c>
      <c r="I2274" s="202" t="s">
        <v>156</v>
      </c>
      <c r="J2274" s="202" t="s">
        <v>156</v>
      </c>
      <c r="K2274" s="202" t="s">
        <v>156</v>
      </c>
      <c r="L2274" s="202" t="s">
        <v>156</v>
      </c>
      <c r="M2274" s="93"/>
      <c r="N2274" s="219"/>
      <c r="O2274" s="195"/>
      <c r="P2274" s="104"/>
      <c r="Q2274" s="327"/>
      <c r="R2274" s="327"/>
      <c r="S2274" s="197"/>
      <c r="T2274" s="197"/>
      <c r="U2274" s="197"/>
      <c r="V2274" s="197"/>
      <c r="W2274" s="197"/>
      <c r="X2274" s="197"/>
      <c r="Y2274" s="197"/>
      <c r="Z2274" s="197"/>
      <c r="AA2274" s="197"/>
      <c r="AB2274" s="197"/>
      <c r="AC2274" s="197"/>
    </row>
    <row r="2275" spans="1:29" ht="21" customHeight="1">
      <c r="A2275" s="187">
        <v>19</v>
      </c>
      <c r="B2275" s="186" t="s">
        <v>69</v>
      </c>
      <c r="C2275" s="326" t="s">
        <v>143</v>
      </c>
      <c r="D2275" s="326"/>
      <c r="E2275" s="151"/>
      <c r="F2275" s="144" t="s">
        <v>71</v>
      </c>
      <c r="G2275" s="203" t="s">
        <v>156</v>
      </c>
      <c r="H2275" s="202" t="s">
        <v>156</v>
      </c>
      <c r="I2275" s="202" t="s">
        <v>156</v>
      </c>
      <c r="J2275" s="202" t="s">
        <v>156</v>
      </c>
      <c r="K2275" s="202" t="s">
        <v>156</v>
      </c>
      <c r="L2275" s="202" t="s">
        <v>156</v>
      </c>
      <c r="M2275" s="93"/>
      <c r="N2275" s="219"/>
      <c r="O2275" s="195"/>
      <c r="P2275" s="104"/>
      <c r="Q2275" s="327"/>
      <c r="R2275" s="327"/>
      <c r="S2275" s="197"/>
      <c r="T2275" s="197"/>
      <c r="U2275" s="197"/>
      <c r="V2275" s="197"/>
      <c r="W2275" s="197"/>
      <c r="X2275" s="197"/>
      <c r="Y2275" s="197"/>
      <c r="Z2275" s="197"/>
      <c r="AA2275" s="197"/>
      <c r="AB2275" s="197"/>
      <c r="AC2275" s="197"/>
    </row>
    <row r="2276" spans="1:29" ht="21" customHeight="1">
      <c r="A2276" s="187">
        <v>20</v>
      </c>
      <c r="B2276" s="186" t="s">
        <v>69</v>
      </c>
      <c r="C2276" s="326" t="s">
        <v>102</v>
      </c>
      <c r="D2276" s="326"/>
      <c r="E2276" s="150"/>
      <c r="F2276" s="154" t="s">
        <v>71</v>
      </c>
      <c r="G2276" s="203" t="s">
        <v>156</v>
      </c>
      <c r="H2276" s="202" t="s">
        <v>156</v>
      </c>
      <c r="I2276" s="202" t="s">
        <v>156</v>
      </c>
      <c r="J2276" s="202" t="s">
        <v>156</v>
      </c>
      <c r="K2276" s="202" t="s">
        <v>156</v>
      </c>
      <c r="L2276" s="202" t="s">
        <v>156</v>
      </c>
      <c r="M2276" s="93"/>
      <c r="N2276" s="219"/>
      <c r="O2276" s="195"/>
      <c r="P2276" s="104"/>
      <c r="Q2276" s="327"/>
      <c r="R2276" s="327"/>
      <c r="S2276" s="197"/>
      <c r="T2276" s="197"/>
      <c r="U2276" s="197"/>
      <c r="V2276" s="197"/>
      <c r="W2276" s="197"/>
      <c r="X2276" s="197"/>
      <c r="Y2276" s="197"/>
      <c r="Z2276" s="197"/>
      <c r="AA2276" s="197"/>
      <c r="AB2276" s="197"/>
      <c r="AC2276" s="197"/>
    </row>
    <row r="2277" spans="1:29" ht="24.75" customHeight="1">
      <c r="A2277" s="192" t="s">
        <v>128</v>
      </c>
      <c r="B2277" s="104"/>
      <c r="C2277" s="328" t="s">
        <v>130</v>
      </c>
      <c r="D2277" s="328"/>
      <c r="E2277" s="328"/>
      <c r="F2277" s="328"/>
      <c r="G2277" s="328"/>
      <c r="H2277" s="328"/>
      <c r="I2277" s="328"/>
      <c r="J2277" s="328"/>
      <c r="K2277" s="328"/>
      <c r="L2277" s="328"/>
      <c r="M2277" s="89"/>
      <c r="N2277" s="219"/>
      <c r="O2277" s="198"/>
      <c r="P2277" s="104"/>
      <c r="Q2277" s="329"/>
      <c r="R2277" s="329"/>
      <c r="S2277" s="329"/>
      <c r="T2277" s="329"/>
      <c r="U2277" s="329"/>
      <c r="V2277" s="329"/>
      <c r="W2277" s="329"/>
      <c r="X2277" s="329"/>
      <c r="Y2277" s="329"/>
      <c r="Z2277" s="329"/>
      <c r="AA2277" s="329"/>
      <c r="AB2277" s="329"/>
      <c r="AC2277" s="329"/>
    </row>
    <row r="2278" spans="1:29" ht="33" customHeight="1">
      <c r="A2278" s="189">
        <v>21</v>
      </c>
      <c r="B2278" s="188" t="s">
        <v>69</v>
      </c>
      <c r="C2278" s="307" t="s">
        <v>82</v>
      </c>
      <c r="D2278" s="308"/>
      <c r="E2278" s="182"/>
      <c r="F2278" s="191" t="s">
        <v>71</v>
      </c>
      <c r="G2278" s="201">
        <v>58</v>
      </c>
      <c r="H2278" s="201">
        <v>40</v>
      </c>
      <c r="I2278" s="201">
        <v>21</v>
      </c>
      <c r="J2278" s="201">
        <v>58</v>
      </c>
      <c r="K2278" s="201">
        <v>40</v>
      </c>
      <c r="L2278" s="201">
        <v>21</v>
      </c>
      <c r="M2278" s="89"/>
      <c r="N2278" s="219"/>
      <c r="O2278" s="199"/>
      <c r="P2278" s="200"/>
      <c r="Q2278" s="309"/>
      <c r="R2278" s="309"/>
      <c r="S2278" s="86"/>
      <c r="T2278" s="86"/>
      <c r="U2278" s="86"/>
      <c r="V2278" s="86"/>
      <c r="W2278" s="86"/>
      <c r="X2278" s="86"/>
      <c r="Y2278" s="86"/>
      <c r="Z2278" s="86"/>
      <c r="AA2278" s="86"/>
      <c r="AB2278" s="86"/>
      <c r="AC2278" s="86"/>
    </row>
    <row r="2279" spans="1:29" ht="33" customHeight="1">
      <c r="A2279" s="189">
        <v>22</v>
      </c>
      <c r="B2279" s="188" t="s">
        <v>69</v>
      </c>
      <c r="C2279" s="307" t="s">
        <v>103</v>
      </c>
      <c r="D2279" s="308"/>
      <c r="E2279" s="179"/>
      <c r="F2279" s="191" t="s">
        <v>71</v>
      </c>
      <c r="G2279" s="201">
        <v>9</v>
      </c>
      <c r="H2279" s="201">
        <v>9</v>
      </c>
      <c r="I2279" s="201">
        <v>7</v>
      </c>
      <c r="J2279" s="201">
        <v>9</v>
      </c>
      <c r="K2279" s="201">
        <v>9</v>
      </c>
      <c r="L2279" s="201">
        <v>7</v>
      </c>
      <c r="M2279" s="89"/>
      <c r="N2279" s="219"/>
      <c r="O2279" s="199"/>
      <c r="P2279" s="200"/>
      <c r="Q2279" s="309"/>
      <c r="R2279" s="309"/>
      <c r="S2279" s="86"/>
      <c r="T2279" s="86"/>
      <c r="U2279" s="86"/>
      <c r="V2279" s="86"/>
      <c r="W2279" s="86"/>
      <c r="X2279" s="86"/>
      <c r="Y2279" s="86"/>
      <c r="Z2279" s="86"/>
      <c r="AA2279" s="86"/>
      <c r="AB2279" s="86"/>
      <c r="AC2279" s="86"/>
    </row>
    <row r="2280" spans="1:29" ht="33" customHeight="1">
      <c r="A2280" s="189">
        <v>23</v>
      </c>
      <c r="B2280" s="188" t="s">
        <v>69</v>
      </c>
      <c r="C2280" s="307" t="s">
        <v>104</v>
      </c>
      <c r="D2280" s="308"/>
      <c r="E2280" s="179"/>
      <c r="F2280" s="191" t="s">
        <v>71</v>
      </c>
      <c r="G2280" s="201">
        <v>5</v>
      </c>
      <c r="H2280" s="201">
        <v>1</v>
      </c>
      <c r="I2280" s="201">
        <v>1</v>
      </c>
      <c r="J2280" s="201">
        <v>5</v>
      </c>
      <c r="K2280" s="201">
        <v>1</v>
      </c>
      <c r="L2280" s="201">
        <v>1</v>
      </c>
      <c r="M2280" s="89"/>
      <c r="N2280" s="219"/>
      <c r="O2280" s="199"/>
      <c r="P2280" s="200"/>
      <c r="Q2280" s="309"/>
      <c r="R2280" s="309"/>
      <c r="S2280" s="86"/>
      <c r="T2280" s="86"/>
      <c r="U2280" s="86"/>
      <c r="V2280" s="86"/>
      <c r="W2280" s="86"/>
      <c r="X2280" s="86"/>
      <c r="Y2280" s="86"/>
      <c r="Z2280" s="86"/>
      <c r="AA2280" s="86"/>
      <c r="AB2280" s="86"/>
      <c r="AC2280" s="86"/>
    </row>
    <row r="2281" spans="1:29" ht="27.75" customHeight="1">
      <c r="A2281" s="317" t="s">
        <v>135</v>
      </c>
      <c r="B2281" s="318"/>
      <c r="C2281" s="317" t="s">
        <v>68</v>
      </c>
      <c r="D2281" s="318"/>
      <c r="E2281" s="183"/>
      <c r="F2281" s="321" t="s">
        <v>136</v>
      </c>
      <c r="G2281" s="322" t="s">
        <v>155</v>
      </c>
      <c r="H2281" s="323"/>
      <c r="I2281" s="323"/>
      <c r="J2281" s="322" t="s">
        <v>154</v>
      </c>
      <c r="K2281" s="323"/>
      <c r="L2281" s="324"/>
      <c r="M2281" s="92"/>
      <c r="O2281" s="325"/>
      <c r="P2281" s="325"/>
      <c r="Q2281" s="325"/>
      <c r="R2281" s="325"/>
      <c r="S2281" s="316"/>
      <c r="T2281" s="316"/>
      <c r="U2281" s="316"/>
      <c r="V2281" s="316"/>
      <c r="W2281" s="316"/>
      <c r="X2281" s="316"/>
      <c r="Y2281" s="316"/>
      <c r="Z2281" s="316"/>
      <c r="AA2281" s="316"/>
      <c r="AB2281" s="316"/>
      <c r="AC2281" s="316"/>
    </row>
    <row r="2282" spans="1:29" ht="125.25" customHeight="1">
      <c r="A2282" s="319"/>
      <c r="B2282" s="320"/>
      <c r="C2282" s="319"/>
      <c r="D2282" s="320"/>
      <c r="E2282" s="184"/>
      <c r="F2282" s="321"/>
      <c r="G2282" s="153" t="s">
        <v>151</v>
      </c>
      <c r="H2282" s="153" t="s">
        <v>152</v>
      </c>
      <c r="I2282" s="153" t="s">
        <v>153</v>
      </c>
      <c r="J2282" s="153" t="s">
        <v>151</v>
      </c>
      <c r="K2282" s="153" t="s">
        <v>152</v>
      </c>
      <c r="L2282" s="153" t="s">
        <v>153</v>
      </c>
      <c r="O2282" s="325"/>
      <c r="P2282" s="325"/>
      <c r="Q2282" s="325"/>
      <c r="R2282" s="325"/>
      <c r="S2282" s="193"/>
      <c r="T2282" s="193"/>
      <c r="U2282" s="193"/>
      <c r="V2282" s="193"/>
      <c r="W2282" s="193"/>
      <c r="X2282" s="193"/>
      <c r="Y2282" s="193"/>
      <c r="Z2282" s="193"/>
      <c r="AA2282" s="193"/>
      <c r="AB2282" s="193"/>
      <c r="AC2282" s="193"/>
    </row>
    <row r="2283" spans="1:29" ht="30" customHeight="1">
      <c r="A2283" s="189">
        <v>24</v>
      </c>
      <c r="B2283" s="188" t="s">
        <v>69</v>
      </c>
      <c r="C2283" s="307" t="s">
        <v>131</v>
      </c>
      <c r="D2283" s="308"/>
      <c r="E2283" s="179"/>
      <c r="F2283" s="191" t="s">
        <v>71</v>
      </c>
      <c r="G2283" s="202" t="s">
        <v>156</v>
      </c>
      <c r="H2283" s="202" t="s">
        <v>156</v>
      </c>
      <c r="I2283" s="202" t="s">
        <v>156</v>
      </c>
      <c r="J2283" s="202" t="s">
        <v>156</v>
      </c>
      <c r="K2283" s="202" t="s">
        <v>156</v>
      </c>
      <c r="L2283" s="202" t="s">
        <v>156</v>
      </c>
      <c r="M2283" s="89"/>
      <c r="N2283" s="219"/>
      <c r="O2283" s="199"/>
      <c r="P2283" s="200"/>
      <c r="Q2283" s="309"/>
      <c r="R2283" s="309"/>
      <c r="S2283" s="86"/>
      <c r="T2283" s="86"/>
      <c r="U2283" s="86"/>
      <c r="V2283" s="86"/>
      <c r="W2283" s="86"/>
      <c r="X2283" s="86"/>
      <c r="Y2283" s="86"/>
      <c r="Z2283" s="86"/>
      <c r="AA2283" s="86"/>
      <c r="AB2283" s="86"/>
      <c r="AC2283" s="86"/>
    </row>
    <row r="2284" spans="1:29" ht="30" customHeight="1">
      <c r="A2284" s="189">
        <v>25</v>
      </c>
      <c r="B2284" s="188" t="s">
        <v>69</v>
      </c>
      <c r="C2284" s="307" t="s">
        <v>83</v>
      </c>
      <c r="D2284" s="308"/>
      <c r="E2284" s="179"/>
      <c r="F2284" s="191" t="s">
        <v>71</v>
      </c>
      <c r="G2284" s="201">
        <v>25</v>
      </c>
      <c r="H2284" s="201">
        <v>40</v>
      </c>
      <c r="I2284" s="201">
        <v>22</v>
      </c>
      <c r="J2284" s="201">
        <v>25</v>
      </c>
      <c r="K2284" s="201">
        <v>40</v>
      </c>
      <c r="L2284" s="201">
        <v>22</v>
      </c>
      <c r="M2284" s="89"/>
      <c r="N2284" s="219"/>
      <c r="O2284" s="199"/>
      <c r="P2284" s="200"/>
      <c r="Q2284" s="309"/>
      <c r="R2284" s="309"/>
      <c r="S2284" s="86"/>
      <c r="T2284" s="86"/>
      <c r="U2284" s="86"/>
      <c r="V2284" s="86"/>
      <c r="W2284" s="86"/>
      <c r="X2284" s="86"/>
      <c r="Y2284" s="86"/>
      <c r="Z2284" s="86"/>
      <c r="AA2284" s="86"/>
      <c r="AB2284" s="86"/>
      <c r="AC2284" s="86"/>
    </row>
    <row r="2285" spans="1:29" ht="30" customHeight="1">
      <c r="A2285" s="189">
        <v>26</v>
      </c>
      <c r="B2285" s="188" t="s">
        <v>69</v>
      </c>
      <c r="C2285" s="307" t="s">
        <v>84</v>
      </c>
      <c r="D2285" s="308"/>
      <c r="E2285" s="179"/>
      <c r="F2285" s="191" t="s">
        <v>71</v>
      </c>
      <c r="G2285" s="201">
        <v>5</v>
      </c>
      <c r="H2285" s="202" t="s">
        <v>156</v>
      </c>
      <c r="I2285" s="202" t="s">
        <v>156</v>
      </c>
      <c r="J2285" s="201">
        <v>5</v>
      </c>
      <c r="K2285" s="202" t="s">
        <v>156</v>
      </c>
      <c r="L2285" s="202" t="s">
        <v>156</v>
      </c>
      <c r="M2285" s="89"/>
      <c r="N2285" s="219"/>
      <c r="O2285" s="199"/>
      <c r="P2285" s="200"/>
      <c r="Q2285" s="309"/>
      <c r="R2285" s="309"/>
      <c r="S2285" s="86"/>
      <c r="T2285" s="86"/>
      <c r="U2285" s="86"/>
      <c r="V2285" s="86"/>
      <c r="W2285" s="86"/>
      <c r="X2285" s="86"/>
      <c r="Y2285" s="86"/>
      <c r="Z2285" s="86"/>
      <c r="AA2285" s="86"/>
      <c r="AB2285" s="86"/>
      <c r="AC2285" s="86"/>
    </row>
    <row r="2286" spans="1:29" ht="30" customHeight="1">
      <c r="A2286" s="189">
        <v>27</v>
      </c>
      <c r="B2286" s="188" t="s">
        <v>69</v>
      </c>
      <c r="C2286" s="307" t="s">
        <v>85</v>
      </c>
      <c r="D2286" s="308"/>
      <c r="E2286" s="179"/>
      <c r="F2286" s="191" t="s">
        <v>71</v>
      </c>
      <c r="G2286" s="201">
        <v>3</v>
      </c>
      <c r="H2286" s="201">
        <v>1</v>
      </c>
      <c r="I2286" s="201">
        <v>8</v>
      </c>
      <c r="J2286" s="201">
        <v>3</v>
      </c>
      <c r="K2286" s="201">
        <v>1</v>
      </c>
      <c r="L2286" s="201">
        <v>8</v>
      </c>
      <c r="M2286" s="89"/>
      <c r="N2286" s="219"/>
      <c r="O2286" s="199"/>
      <c r="P2286" s="200"/>
      <c r="Q2286" s="309"/>
      <c r="R2286" s="309"/>
      <c r="S2286" s="86"/>
      <c r="T2286" s="86"/>
      <c r="U2286" s="86"/>
      <c r="V2286" s="86"/>
      <c r="W2286" s="86"/>
      <c r="X2286" s="86"/>
      <c r="Y2286" s="86"/>
      <c r="Z2286" s="86"/>
      <c r="AA2286" s="86"/>
      <c r="AB2286" s="86"/>
      <c r="AC2286" s="86"/>
    </row>
    <row r="2287" spans="1:29" ht="30" customHeight="1">
      <c r="A2287" s="189">
        <v>28</v>
      </c>
      <c r="B2287" s="188" t="s">
        <v>69</v>
      </c>
      <c r="C2287" s="307" t="s">
        <v>132</v>
      </c>
      <c r="D2287" s="308"/>
      <c r="E2287" s="179"/>
      <c r="F2287" s="191" t="s">
        <v>71</v>
      </c>
      <c r="G2287" s="202" t="s">
        <v>156</v>
      </c>
      <c r="H2287" s="202" t="s">
        <v>156</v>
      </c>
      <c r="I2287" s="202" t="s">
        <v>156</v>
      </c>
      <c r="J2287" s="202" t="s">
        <v>156</v>
      </c>
      <c r="K2287" s="202" t="s">
        <v>156</v>
      </c>
      <c r="L2287" s="202" t="s">
        <v>156</v>
      </c>
      <c r="M2287" s="89"/>
      <c r="N2287" s="219"/>
      <c r="O2287" s="199"/>
      <c r="P2287" s="200"/>
      <c r="Q2287" s="309"/>
      <c r="R2287" s="309"/>
      <c r="S2287" s="86"/>
      <c r="T2287" s="86"/>
      <c r="U2287" s="86"/>
      <c r="V2287" s="86"/>
      <c r="W2287" s="86"/>
      <c r="X2287" s="86"/>
      <c r="Y2287" s="86"/>
      <c r="Z2287" s="86"/>
      <c r="AA2287" s="86"/>
      <c r="AB2287" s="86"/>
      <c r="AC2287" s="86"/>
    </row>
    <row r="2288" spans="1:29" ht="30" customHeight="1">
      <c r="A2288" s="189">
        <v>29</v>
      </c>
      <c r="B2288" s="188" t="s">
        <v>69</v>
      </c>
      <c r="C2288" s="307" t="s">
        <v>86</v>
      </c>
      <c r="D2288" s="308"/>
      <c r="E2288" s="179"/>
      <c r="F2288" s="191" t="s">
        <v>71</v>
      </c>
      <c r="G2288" s="201">
        <v>10</v>
      </c>
      <c r="H2288" s="201">
        <v>12</v>
      </c>
      <c r="I2288" s="201">
        <v>9</v>
      </c>
      <c r="J2288" s="201">
        <v>10</v>
      </c>
      <c r="K2288" s="201">
        <v>12</v>
      </c>
      <c r="L2288" s="201">
        <v>9</v>
      </c>
      <c r="M2288" s="89"/>
      <c r="N2288" s="219"/>
      <c r="O2288" s="199"/>
      <c r="P2288" s="200"/>
      <c r="Q2288" s="309"/>
      <c r="R2288" s="309"/>
      <c r="S2288" s="86"/>
      <c r="T2288" s="86"/>
      <c r="U2288" s="86"/>
      <c r="V2288" s="86"/>
      <c r="W2288" s="86"/>
      <c r="X2288" s="86"/>
      <c r="Y2288" s="86"/>
      <c r="Z2288" s="86"/>
      <c r="AA2288" s="86"/>
      <c r="AB2288" s="86"/>
      <c r="AC2288" s="86"/>
    </row>
    <row r="2289" spans="1:29" ht="30" customHeight="1">
      <c r="A2289" s="189">
        <v>30</v>
      </c>
      <c r="B2289" s="188" t="s">
        <v>69</v>
      </c>
      <c r="C2289" s="307" t="s">
        <v>87</v>
      </c>
      <c r="D2289" s="308"/>
      <c r="E2289" s="179"/>
      <c r="F2289" s="191" t="s">
        <v>71</v>
      </c>
      <c r="G2289" s="202" t="s">
        <v>156</v>
      </c>
      <c r="H2289" s="202" t="s">
        <v>156</v>
      </c>
      <c r="I2289" s="202" t="s">
        <v>156</v>
      </c>
      <c r="J2289" s="202" t="s">
        <v>156</v>
      </c>
      <c r="K2289" s="202" t="s">
        <v>156</v>
      </c>
      <c r="L2289" s="202" t="s">
        <v>156</v>
      </c>
      <c r="M2289" s="89"/>
      <c r="N2289" s="219"/>
      <c r="O2289" s="199"/>
      <c r="P2289" s="200"/>
      <c r="Q2289" s="309"/>
      <c r="R2289" s="309"/>
      <c r="S2289" s="86"/>
      <c r="T2289" s="86"/>
      <c r="U2289" s="86"/>
      <c r="V2289" s="86"/>
      <c r="W2289" s="86"/>
      <c r="X2289" s="86"/>
      <c r="Y2289" s="86"/>
      <c r="Z2289" s="86"/>
      <c r="AA2289" s="86"/>
      <c r="AB2289" s="86"/>
      <c r="AC2289" s="86"/>
    </row>
    <row r="2290" spans="1:29" ht="30" customHeight="1">
      <c r="A2290" s="189">
        <v>31</v>
      </c>
      <c r="B2290" s="188" t="s">
        <v>69</v>
      </c>
      <c r="C2290" s="307" t="s">
        <v>105</v>
      </c>
      <c r="D2290" s="308"/>
      <c r="E2290" s="179"/>
      <c r="F2290" s="191" t="s">
        <v>71</v>
      </c>
      <c r="G2290" s="201">
        <v>2</v>
      </c>
      <c r="H2290" s="203" t="s">
        <v>156</v>
      </c>
      <c r="I2290" s="201">
        <v>8</v>
      </c>
      <c r="J2290" s="201">
        <v>2</v>
      </c>
      <c r="K2290" s="203" t="s">
        <v>156</v>
      </c>
      <c r="L2290" s="201">
        <v>8</v>
      </c>
      <c r="M2290" s="89"/>
      <c r="N2290" s="219"/>
      <c r="O2290" s="199"/>
      <c r="P2290" s="200"/>
      <c r="Q2290" s="309"/>
      <c r="R2290" s="309"/>
      <c r="S2290" s="86"/>
      <c r="T2290" s="86"/>
      <c r="U2290" s="86"/>
      <c r="V2290" s="86"/>
      <c r="W2290" s="86"/>
      <c r="X2290" s="86"/>
      <c r="Y2290" s="86"/>
      <c r="Z2290" s="86"/>
      <c r="AA2290" s="86"/>
      <c r="AB2290" s="86"/>
      <c r="AC2290" s="86"/>
    </row>
    <row r="2291" spans="1:29" ht="30" customHeight="1">
      <c r="A2291" s="189">
        <v>32</v>
      </c>
      <c r="B2291" s="188" t="s">
        <v>69</v>
      </c>
      <c r="C2291" s="307" t="s">
        <v>133</v>
      </c>
      <c r="D2291" s="308"/>
      <c r="E2291" s="179"/>
      <c r="F2291" s="191" t="s">
        <v>71</v>
      </c>
      <c r="G2291" s="202" t="s">
        <v>156</v>
      </c>
      <c r="H2291" s="202" t="s">
        <v>156</v>
      </c>
      <c r="I2291" s="202" t="s">
        <v>156</v>
      </c>
      <c r="J2291" s="202" t="s">
        <v>156</v>
      </c>
      <c r="K2291" s="202" t="s">
        <v>156</v>
      </c>
      <c r="L2291" s="202" t="s">
        <v>156</v>
      </c>
      <c r="M2291" s="89"/>
      <c r="N2291" s="219"/>
      <c r="O2291" s="199"/>
      <c r="P2291" s="200"/>
      <c r="Q2291" s="309"/>
      <c r="R2291" s="309"/>
      <c r="S2291" s="86"/>
      <c r="T2291" s="86"/>
      <c r="U2291" s="86"/>
      <c r="V2291" s="86"/>
      <c r="W2291" s="86"/>
      <c r="X2291" s="86"/>
      <c r="Y2291" s="86"/>
      <c r="Z2291" s="86"/>
      <c r="AA2291" s="86"/>
      <c r="AB2291" s="86"/>
      <c r="AC2291" s="86"/>
    </row>
    <row r="2292" spans="1:29" ht="30" customHeight="1">
      <c r="A2292" s="189">
        <v>33</v>
      </c>
      <c r="B2292" s="188" t="s">
        <v>69</v>
      </c>
      <c r="C2292" s="307" t="s">
        <v>88</v>
      </c>
      <c r="D2292" s="308"/>
      <c r="E2292" s="179"/>
      <c r="F2292" s="191" t="s">
        <v>71</v>
      </c>
      <c r="G2292" s="201">
        <v>3</v>
      </c>
      <c r="H2292" s="201">
        <v>7</v>
      </c>
      <c r="I2292" s="201">
        <v>7</v>
      </c>
      <c r="J2292" s="201">
        <v>3</v>
      </c>
      <c r="K2292" s="201">
        <v>7</v>
      </c>
      <c r="L2292" s="201">
        <v>7</v>
      </c>
      <c r="M2292" s="89"/>
      <c r="N2292" s="219"/>
      <c r="O2292" s="199"/>
      <c r="P2292" s="200"/>
      <c r="Q2292" s="309"/>
      <c r="R2292" s="309"/>
      <c r="S2292" s="86"/>
      <c r="T2292" s="86"/>
      <c r="U2292" s="86"/>
      <c r="V2292" s="86"/>
      <c r="W2292" s="86"/>
      <c r="X2292" s="86"/>
      <c r="Y2292" s="86"/>
      <c r="Z2292" s="86"/>
      <c r="AA2292" s="86"/>
      <c r="AB2292" s="86"/>
      <c r="AC2292" s="86"/>
    </row>
    <row r="2293" spans="1:29" ht="30" customHeight="1">
      <c r="A2293" s="189">
        <v>34</v>
      </c>
      <c r="B2293" s="188" t="s">
        <v>69</v>
      </c>
      <c r="C2293" s="307" t="s">
        <v>89</v>
      </c>
      <c r="D2293" s="308"/>
      <c r="E2293" s="179"/>
      <c r="F2293" s="191" t="s">
        <v>71</v>
      </c>
      <c r="G2293" s="202" t="s">
        <v>156</v>
      </c>
      <c r="H2293" s="202" t="s">
        <v>156</v>
      </c>
      <c r="I2293" s="202" t="s">
        <v>156</v>
      </c>
      <c r="J2293" s="202" t="s">
        <v>156</v>
      </c>
      <c r="K2293" s="202" t="s">
        <v>156</v>
      </c>
      <c r="L2293" s="202" t="s">
        <v>156</v>
      </c>
      <c r="M2293" s="89"/>
      <c r="N2293" s="219"/>
      <c r="O2293" s="199"/>
      <c r="P2293" s="200"/>
      <c r="Q2293" s="309"/>
      <c r="R2293" s="309"/>
      <c r="S2293" s="86"/>
      <c r="T2293" s="86"/>
      <c r="U2293" s="86"/>
      <c r="V2293" s="86"/>
      <c r="W2293" s="86"/>
      <c r="X2293" s="86"/>
      <c r="Y2293" s="86"/>
      <c r="Z2293" s="86"/>
      <c r="AA2293" s="86"/>
      <c r="AB2293" s="86"/>
      <c r="AC2293" s="86"/>
    </row>
    <row r="2294" spans="1:29" ht="30" customHeight="1">
      <c r="A2294" s="189">
        <v>35</v>
      </c>
      <c r="B2294" s="188" t="s">
        <v>69</v>
      </c>
      <c r="C2294" s="307" t="s">
        <v>140</v>
      </c>
      <c r="D2294" s="308"/>
      <c r="E2294" s="179"/>
      <c r="F2294" s="191" t="s">
        <v>71</v>
      </c>
      <c r="G2294" s="202" t="s">
        <v>156</v>
      </c>
      <c r="H2294" s="202" t="s">
        <v>156</v>
      </c>
      <c r="I2294" s="201">
        <v>3</v>
      </c>
      <c r="J2294" s="202" t="s">
        <v>156</v>
      </c>
      <c r="K2294" s="202" t="s">
        <v>156</v>
      </c>
      <c r="L2294" s="201">
        <v>3</v>
      </c>
      <c r="M2294" s="89"/>
      <c r="N2294" s="220"/>
      <c r="O2294" s="199"/>
      <c r="P2294" s="200"/>
      <c r="Q2294" s="309"/>
      <c r="R2294" s="309"/>
      <c r="S2294" s="86"/>
      <c r="T2294" s="86"/>
      <c r="U2294" s="86"/>
      <c r="V2294" s="86"/>
      <c r="W2294" s="86"/>
      <c r="X2294" s="86"/>
      <c r="Y2294" s="86"/>
      <c r="Z2294" s="86"/>
      <c r="AA2294" s="86"/>
      <c r="AB2294" s="86"/>
      <c r="AC2294" s="86"/>
    </row>
    <row r="2295" spans="1:29" ht="30" customHeight="1">
      <c r="A2295" s="189">
        <v>36</v>
      </c>
      <c r="B2295" s="188" t="s">
        <v>69</v>
      </c>
      <c r="C2295" s="307" t="s">
        <v>134</v>
      </c>
      <c r="D2295" s="308"/>
      <c r="E2295" s="179"/>
      <c r="F2295" s="191" t="s">
        <v>71</v>
      </c>
      <c r="G2295" s="202" t="s">
        <v>156</v>
      </c>
      <c r="H2295" s="202" t="s">
        <v>156</v>
      </c>
      <c r="I2295" s="202" t="s">
        <v>156</v>
      </c>
      <c r="J2295" s="202" t="s">
        <v>156</v>
      </c>
      <c r="K2295" s="202" t="s">
        <v>156</v>
      </c>
      <c r="L2295" s="202" t="s">
        <v>156</v>
      </c>
      <c r="M2295" s="89"/>
      <c r="N2295" s="220"/>
      <c r="O2295" s="199"/>
      <c r="P2295" s="200"/>
      <c r="Q2295" s="309"/>
      <c r="R2295" s="309"/>
      <c r="S2295" s="86"/>
      <c r="T2295" s="86"/>
      <c r="U2295" s="86"/>
      <c r="V2295" s="86"/>
      <c r="W2295" s="86"/>
      <c r="X2295" s="86"/>
      <c r="Y2295" s="86"/>
      <c r="Z2295" s="86"/>
      <c r="AA2295" s="86"/>
      <c r="AB2295" s="86"/>
      <c r="AC2295" s="86"/>
    </row>
    <row r="2296" spans="1:29" ht="30" customHeight="1">
      <c r="A2296" s="189">
        <v>37</v>
      </c>
      <c r="B2296" s="188" t="s">
        <v>69</v>
      </c>
      <c r="C2296" s="307" t="s">
        <v>90</v>
      </c>
      <c r="D2296" s="308"/>
      <c r="E2296" s="179"/>
      <c r="F2296" s="191" t="s">
        <v>71</v>
      </c>
      <c r="G2296" s="202" t="s">
        <v>156</v>
      </c>
      <c r="H2296" s="202" t="s">
        <v>156</v>
      </c>
      <c r="I2296" s="202" t="s">
        <v>156</v>
      </c>
      <c r="J2296" s="202" t="s">
        <v>156</v>
      </c>
      <c r="K2296" s="202" t="s">
        <v>156</v>
      </c>
      <c r="L2296" s="202" t="s">
        <v>156</v>
      </c>
      <c r="M2296" s="89"/>
      <c r="N2296" s="220"/>
      <c r="O2296" s="199"/>
      <c r="P2296" s="200"/>
      <c r="Q2296" s="309"/>
      <c r="R2296" s="309"/>
      <c r="S2296" s="86"/>
      <c r="T2296" s="86"/>
      <c r="U2296" s="86"/>
      <c r="V2296" s="86"/>
      <c r="W2296" s="86"/>
      <c r="X2296" s="86"/>
      <c r="Y2296" s="86"/>
      <c r="Z2296" s="86"/>
      <c r="AA2296" s="86"/>
      <c r="AB2296" s="86"/>
      <c r="AC2296" s="86"/>
    </row>
    <row r="2297" spans="1:29" ht="30" customHeight="1">
      <c r="A2297" s="189">
        <v>38</v>
      </c>
      <c r="B2297" s="188" t="s">
        <v>69</v>
      </c>
      <c r="C2297" s="307" t="s">
        <v>106</v>
      </c>
      <c r="D2297" s="308"/>
      <c r="E2297" s="150"/>
      <c r="F2297" s="191" t="s">
        <v>71</v>
      </c>
      <c r="G2297" s="202" t="s">
        <v>156</v>
      </c>
      <c r="H2297" s="202" t="s">
        <v>156</v>
      </c>
      <c r="I2297" s="202" t="s">
        <v>156</v>
      </c>
      <c r="J2297" s="202" t="s">
        <v>156</v>
      </c>
      <c r="K2297" s="202" t="s">
        <v>156</v>
      </c>
      <c r="L2297" s="202" t="s">
        <v>156</v>
      </c>
      <c r="M2297" s="89"/>
      <c r="N2297" s="220"/>
      <c r="O2297" s="199"/>
      <c r="P2297" s="200"/>
      <c r="Q2297" s="309"/>
      <c r="R2297" s="309"/>
      <c r="S2297" s="86"/>
      <c r="T2297" s="86"/>
      <c r="U2297" s="86"/>
      <c r="V2297" s="86"/>
      <c r="W2297" s="86"/>
      <c r="X2297" s="86"/>
      <c r="Y2297" s="86"/>
      <c r="Z2297" s="86"/>
      <c r="AA2297" s="86"/>
      <c r="AB2297" s="86"/>
      <c r="AC2297" s="86"/>
    </row>
    <row r="2298" spans="1:29" ht="25.5" customHeight="1">
      <c r="A2298" s="310" t="s">
        <v>92</v>
      </c>
      <c r="B2298" s="310"/>
      <c r="C2298" s="310"/>
      <c r="D2298" s="310"/>
      <c r="E2298" s="310"/>
      <c r="F2298" s="310"/>
      <c r="G2298" s="310"/>
      <c r="H2298" s="310"/>
      <c r="I2298" s="310"/>
      <c r="J2298" s="310"/>
      <c r="K2298" s="310"/>
      <c r="L2298" s="310"/>
      <c r="M2298" s="92"/>
    </row>
    <row r="2299" spans="1:29" ht="19.5" customHeight="1">
      <c r="A2299" s="139"/>
      <c r="B2299" s="139"/>
      <c r="C2299" s="140"/>
      <c r="D2299" s="140" t="s">
        <v>145</v>
      </c>
      <c r="E2299" s="140"/>
      <c r="F2299" s="152" t="s">
        <v>54</v>
      </c>
      <c r="G2299" s="152"/>
      <c r="H2299" s="152"/>
      <c r="I2299" s="152"/>
      <c r="J2299" s="152" t="s">
        <v>144</v>
      </c>
      <c r="K2299" s="152"/>
      <c r="L2299" s="140"/>
      <c r="M2299" s="94"/>
    </row>
    <row r="2300" spans="1:29" ht="28.5" customHeight="1">
      <c r="A2300" s="310" t="s">
        <v>93</v>
      </c>
      <c r="B2300" s="310"/>
      <c r="C2300" s="310"/>
      <c r="D2300" s="310"/>
      <c r="E2300" s="310"/>
      <c r="F2300" s="310"/>
      <c r="G2300" s="310"/>
      <c r="H2300" s="310"/>
      <c r="I2300" s="310"/>
      <c r="J2300" s="310"/>
      <c r="K2300" s="310"/>
      <c r="L2300" s="310"/>
      <c r="M2300" s="92"/>
      <c r="N2300" s="311"/>
      <c r="O2300" s="311"/>
      <c r="P2300" s="311"/>
    </row>
    <row r="2301" spans="1:29" ht="20.25" customHeight="1">
      <c r="A2301" s="139"/>
      <c r="B2301" s="139"/>
      <c r="C2301" s="139"/>
      <c r="D2301" s="140" t="s">
        <v>145</v>
      </c>
      <c r="E2301" s="140"/>
      <c r="F2301" s="152" t="s">
        <v>54</v>
      </c>
      <c r="G2301" s="152"/>
      <c r="H2301" s="152"/>
      <c r="I2301" s="152"/>
      <c r="J2301" s="152" t="s">
        <v>144</v>
      </c>
      <c r="K2301" s="152"/>
      <c r="L2301" s="139"/>
      <c r="M2301" s="94"/>
      <c r="N2301" s="221"/>
      <c r="O2301" s="95"/>
      <c r="P2301" s="95"/>
    </row>
    <row r="2302" spans="1:29" ht="26.25" customHeight="1">
      <c r="A2302" s="312" t="s">
        <v>94</v>
      </c>
      <c r="B2302" s="312"/>
      <c r="C2302" s="312"/>
      <c r="D2302" s="312"/>
      <c r="E2302" s="312"/>
      <c r="F2302" s="312"/>
      <c r="G2302" s="312"/>
      <c r="H2302" s="312"/>
      <c r="I2302" s="312"/>
      <c r="J2302" s="312"/>
      <c r="K2302" s="312"/>
      <c r="L2302" s="312"/>
      <c r="M2302" s="92"/>
    </row>
    <row r="2303" spans="1:29" ht="22.5" customHeight="1">
      <c r="A2303" s="120"/>
      <c r="B2303" s="120"/>
      <c r="C2303" s="120"/>
      <c r="D2303" s="120"/>
      <c r="E2303" s="120"/>
      <c r="F2303" s="120"/>
      <c r="G2303" s="120"/>
      <c r="H2303" s="120"/>
      <c r="I2303" s="120"/>
      <c r="J2303" s="120"/>
      <c r="K2303" s="120"/>
      <c r="L2303" s="120"/>
      <c r="M2303" s="94"/>
    </row>
    <row r="2304" spans="1:29" ht="22.5" customHeight="1">
      <c r="A2304" s="313" t="s">
        <v>95</v>
      </c>
      <c r="B2304" s="313"/>
      <c r="C2304" s="313"/>
      <c r="D2304" s="313"/>
      <c r="E2304" s="313"/>
      <c r="F2304" s="313"/>
      <c r="G2304" s="313"/>
      <c r="H2304" s="313"/>
      <c r="I2304" s="313"/>
      <c r="J2304" s="313"/>
      <c r="K2304" s="313"/>
      <c r="L2304" s="313"/>
      <c r="M2304" s="92"/>
    </row>
    <row r="2305" spans="1:13" ht="19.5" customHeight="1">
      <c r="A2305" s="97"/>
      <c r="B2305" s="97"/>
      <c r="C2305" s="145"/>
      <c r="D2305" s="97"/>
      <c r="E2305" s="97"/>
      <c r="F2305" s="97"/>
      <c r="G2305" s="97"/>
      <c r="H2305" s="97"/>
      <c r="I2305" s="97"/>
      <c r="J2305" s="97"/>
      <c r="K2305" s="97"/>
      <c r="L2305" s="97"/>
      <c r="M2305" s="94"/>
    </row>
    <row r="2306" spans="1:13" ht="15.75">
      <c r="A2306" s="94"/>
      <c r="B2306" s="94"/>
      <c r="C2306" s="146"/>
      <c r="D2306" s="94"/>
      <c r="E2306" s="94"/>
      <c r="F2306" s="94"/>
      <c r="G2306" s="94"/>
      <c r="H2306" s="94"/>
      <c r="I2306" s="94"/>
      <c r="J2306" s="94"/>
      <c r="K2306" s="94"/>
      <c r="L2306" s="94"/>
      <c r="M2306" s="94"/>
    </row>
    <row r="2307" spans="1:13" ht="31.5" customHeight="1">
      <c r="A2307" s="314" t="s">
        <v>96</v>
      </c>
      <c r="B2307" s="314"/>
      <c r="C2307" s="314"/>
      <c r="D2307" s="314"/>
      <c r="E2307" s="98"/>
      <c r="F2307" s="98"/>
      <c r="G2307" s="98"/>
      <c r="H2307" s="315" t="s">
        <v>97</v>
      </c>
      <c r="I2307" s="315"/>
      <c r="J2307" s="315"/>
      <c r="K2307" s="315"/>
      <c r="L2307" s="315"/>
      <c r="M2307" s="94"/>
    </row>
    <row r="2308" spans="1:13" ht="95.1" customHeight="1">
      <c r="A2308" s="99"/>
      <c r="B2308" s="101" t="str">
        <f>B2238</f>
        <v>Ông Huỳnh Phước Hải        ….............</v>
      </c>
      <c r="C2308" s="147"/>
      <c r="D2308" s="99"/>
      <c r="E2308" s="81"/>
      <c r="F2308" s="100"/>
      <c r="G2308" s="100"/>
      <c r="H2308" s="306" t="str">
        <f>H2238</f>
        <v>Ông Phạm Tấn Việt          …..................</v>
      </c>
      <c r="I2308" s="306"/>
      <c r="J2308" s="306"/>
      <c r="K2308" s="306"/>
      <c r="L2308" s="306"/>
      <c r="M2308" s="94"/>
    </row>
    <row r="2309" spans="1:13" ht="33.75" customHeight="1">
      <c r="A2309" s="99"/>
      <c r="B2309" s="101"/>
      <c r="C2309" s="147"/>
      <c r="D2309" s="99"/>
      <c r="E2309" s="81"/>
      <c r="F2309" s="100"/>
      <c r="G2309" s="100"/>
      <c r="H2309" s="204"/>
      <c r="I2309" s="204"/>
      <c r="J2309" s="204"/>
      <c r="K2309" s="204"/>
      <c r="L2309" s="204"/>
      <c r="M2309" s="94"/>
    </row>
  </sheetData>
  <mergeCells count="4026">
    <mergeCell ref="Q30:R30"/>
    <mergeCell ref="Q31:R31"/>
    <mergeCell ref="Q58:R58"/>
    <mergeCell ref="O15:P16"/>
    <mergeCell ref="Q15:R16"/>
    <mergeCell ref="S15:AC15"/>
    <mergeCell ref="Q17:AC17"/>
    <mergeCell ref="Q18:R18"/>
    <mergeCell ref="Q38:AC38"/>
    <mergeCell ref="Q39:R39"/>
    <mergeCell ref="Q52:R52"/>
    <mergeCell ref="Q53:R53"/>
    <mergeCell ref="Q54:R54"/>
    <mergeCell ref="Q55:R55"/>
    <mergeCell ref="Q56:R56"/>
    <mergeCell ref="Q57:R57"/>
    <mergeCell ref="Q46:R46"/>
    <mergeCell ref="Q47:R47"/>
    <mergeCell ref="Q48:R48"/>
    <mergeCell ref="Q49:R49"/>
    <mergeCell ref="Q50:R50"/>
    <mergeCell ref="Q51:R51"/>
    <mergeCell ref="Q40:R40"/>
    <mergeCell ref="Q41:R41"/>
    <mergeCell ref="Q44:R44"/>
    <mergeCell ref="Q45:R45"/>
    <mergeCell ref="Q20:R20"/>
    <mergeCell ref="Q21:R21"/>
    <mergeCell ref="Q22:R22"/>
    <mergeCell ref="Q23:R23"/>
    <mergeCell ref="Q24:R24"/>
    <mergeCell ref="Q25:R25"/>
    <mergeCell ref="Q19:R19"/>
    <mergeCell ref="C32:D32"/>
    <mergeCell ref="A68:D68"/>
    <mergeCell ref="C47:D47"/>
    <mergeCell ref="C48:D48"/>
    <mergeCell ref="C49:D49"/>
    <mergeCell ref="C50:D50"/>
    <mergeCell ref="C51:D51"/>
    <mergeCell ref="C52:D52"/>
    <mergeCell ref="C39:D39"/>
    <mergeCell ref="C40:D40"/>
    <mergeCell ref="C41:D41"/>
    <mergeCell ref="C44:D44"/>
    <mergeCell ref="C45:D45"/>
    <mergeCell ref="C46:D46"/>
    <mergeCell ref="C33:D33"/>
    <mergeCell ref="Q32:R32"/>
    <mergeCell ref="Q33:R33"/>
    <mergeCell ref="Q34:R34"/>
    <mergeCell ref="Q35:R35"/>
    <mergeCell ref="Q36:R36"/>
    <mergeCell ref="Q37:R37"/>
    <mergeCell ref="Q26:R26"/>
    <mergeCell ref="Q27:R27"/>
    <mergeCell ref="Q28:R28"/>
    <mergeCell ref="Q29:R29"/>
    <mergeCell ref="A61:L61"/>
    <mergeCell ref="N61:P61"/>
    <mergeCell ref="A63:L63"/>
    <mergeCell ref="A65:L65"/>
    <mergeCell ref="H68:L68"/>
    <mergeCell ref="C53:D53"/>
    <mergeCell ref="C54:D54"/>
    <mergeCell ref="C55:D55"/>
    <mergeCell ref="C56:D56"/>
    <mergeCell ref="C57:D57"/>
    <mergeCell ref="A59:L59"/>
    <mergeCell ref="C58:D58"/>
    <mergeCell ref="A83:L83"/>
    <mergeCell ref="A85:B86"/>
    <mergeCell ref="C85:D86"/>
    <mergeCell ref="F85:F86"/>
    <mergeCell ref="G85:I85"/>
    <mergeCell ref="J85:L85"/>
    <mergeCell ref="O85:P86"/>
    <mergeCell ref="C18:D18"/>
    <mergeCell ref="C19:D19"/>
    <mergeCell ref="C20:D20"/>
    <mergeCell ref="C21:D21"/>
    <mergeCell ref="C22:D22"/>
    <mergeCell ref="C38:L38"/>
    <mergeCell ref="C28:D28"/>
    <mergeCell ref="C29:D29"/>
    <mergeCell ref="C30:D30"/>
    <mergeCell ref="C31:D31"/>
    <mergeCell ref="C34:D34"/>
    <mergeCell ref="C35:D35"/>
    <mergeCell ref="C36:D36"/>
    <mergeCell ref="C37:D37"/>
    <mergeCell ref="C23:D23"/>
    <mergeCell ref="C24:D24"/>
    <mergeCell ref="C25:D25"/>
    <mergeCell ref="C26:D26"/>
    <mergeCell ref="C27:D27"/>
    <mergeCell ref="A5:C5"/>
    <mergeCell ref="A6:C6"/>
    <mergeCell ref="A1:L1"/>
    <mergeCell ref="A3:C3"/>
    <mergeCell ref="D3:F3"/>
    <mergeCell ref="A4:C4"/>
    <mergeCell ref="D4:H4"/>
    <mergeCell ref="D5:H5"/>
    <mergeCell ref="I4:L4"/>
    <mergeCell ref="I5:L5"/>
    <mergeCell ref="D6:H6"/>
    <mergeCell ref="I6:L6"/>
    <mergeCell ref="C15:D16"/>
    <mergeCell ref="F15:F16"/>
    <mergeCell ref="C17:L17"/>
    <mergeCell ref="A15:B16"/>
    <mergeCell ref="A7:L7"/>
    <mergeCell ref="A8:L8"/>
    <mergeCell ref="C9:L9"/>
    <mergeCell ref="C10:L10"/>
    <mergeCell ref="A11:L11"/>
    <mergeCell ref="A13:L13"/>
    <mergeCell ref="J15:L15"/>
    <mergeCell ref="G15:I15"/>
    <mergeCell ref="A144:C144"/>
    <mergeCell ref="D144:H144"/>
    <mergeCell ref="I144:L144"/>
    <mergeCell ref="A151:L151"/>
    <mergeCell ref="A145:C145"/>
    <mergeCell ref="D145:H145"/>
    <mergeCell ref="I145:L145"/>
    <mergeCell ref="A146:C146"/>
    <mergeCell ref="D146:H146"/>
    <mergeCell ref="I146:L146"/>
    <mergeCell ref="A147:L147"/>
    <mergeCell ref="A148:L148"/>
    <mergeCell ref="C149:L149"/>
    <mergeCell ref="C150:L150"/>
    <mergeCell ref="A143:C143"/>
    <mergeCell ref="A141:L141"/>
    <mergeCell ref="D143:F143"/>
    <mergeCell ref="C158:D158"/>
    <mergeCell ref="Q158:R158"/>
    <mergeCell ref="C159:D159"/>
    <mergeCell ref="Q159:R159"/>
    <mergeCell ref="C160:D160"/>
    <mergeCell ref="Q160:R160"/>
    <mergeCell ref="C155:D156"/>
    <mergeCell ref="F155:F156"/>
    <mergeCell ref="G155:I155"/>
    <mergeCell ref="J155:L155"/>
    <mergeCell ref="O155:P156"/>
    <mergeCell ref="Q155:R156"/>
    <mergeCell ref="C157:L157"/>
    <mergeCell ref="Q157:AC157"/>
    <mergeCell ref="A153:L153"/>
    <mergeCell ref="A155:B156"/>
    <mergeCell ref="S155:AC155"/>
    <mergeCell ref="C166:D166"/>
    <mergeCell ref="Q166:R166"/>
    <mergeCell ref="C167:D167"/>
    <mergeCell ref="Q167:R167"/>
    <mergeCell ref="C168:D168"/>
    <mergeCell ref="Q168:R168"/>
    <mergeCell ref="C169:D169"/>
    <mergeCell ref="Q169:R169"/>
    <mergeCell ref="C170:D170"/>
    <mergeCell ref="Q170:R170"/>
    <mergeCell ref="C161:D161"/>
    <mergeCell ref="Q161:R161"/>
    <mergeCell ref="C162:D162"/>
    <mergeCell ref="Q162:R162"/>
    <mergeCell ref="C163:D163"/>
    <mergeCell ref="Q163:R163"/>
    <mergeCell ref="C164:D164"/>
    <mergeCell ref="Q164:R164"/>
    <mergeCell ref="C165:D165"/>
    <mergeCell ref="Q165:R165"/>
    <mergeCell ref="C181:D181"/>
    <mergeCell ref="Q181:R181"/>
    <mergeCell ref="C184:D184"/>
    <mergeCell ref="Q184:R184"/>
    <mergeCell ref="C185:D185"/>
    <mergeCell ref="Q185:R185"/>
    <mergeCell ref="C177:D177"/>
    <mergeCell ref="Q177:R177"/>
    <mergeCell ref="C179:D179"/>
    <mergeCell ref="Q179:R179"/>
    <mergeCell ref="C180:D180"/>
    <mergeCell ref="Q180:R180"/>
    <mergeCell ref="C176:D176"/>
    <mergeCell ref="Q176:R176"/>
    <mergeCell ref="C178:L178"/>
    <mergeCell ref="Q178:AC178"/>
    <mergeCell ref="C171:D171"/>
    <mergeCell ref="Q171:R171"/>
    <mergeCell ref="C172:D172"/>
    <mergeCell ref="Q172:R172"/>
    <mergeCell ref="C173:D173"/>
    <mergeCell ref="Q173:R173"/>
    <mergeCell ref="C174:D174"/>
    <mergeCell ref="Q174:R174"/>
    <mergeCell ref="C175:D175"/>
    <mergeCell ref="Q175:R175"/>
    <mergeCell ref="A212:C212"/>
    <mergeCell ref="A199:L199"/>
    <mergeCell ref="A201:L201"/>
    <mergeCell ref="C191:D191"/>
    <mergeCell ref="Q191:R191"/>
    <mergeCell ref="C192:D192"/>
    <mergeCell ref="Q192:R192"/>
    <mergeCell ref="C193:D193"/>
    <mergeCell ref="Q193:R193"/>
    <mergeCell ref="C194:D194"/>
    <mergeCell ref="Q194:R194"/>
    <mergeCell ref="C186:D186"/>
    <mergeCell ref="Q186:R186"/>
    <mergeCell ref="C187:D187"/>
    <mergeCell ref="Q187:R187"/>
    <mergeCell ref="C188:D188"/>
    <mergeCell ref="Q188:R188"/>
    <mergeCell ref="C189:D189"/>
    <mergeCell ref="Q189:R189"/>
    <mergeCell ref="C190:D190"/>
    <mergeCell ref="Q190:R190"/>
    <mergeCell ref="C226:L226"/>
    <mergeCell ref="Q226:AC226"/>
    <mergeCell ref="A222:L222"/>
    <mergeCell ref="A224:B225"/>
    <mergeCell ref="C224:D225"/>
    <mergeCell ref="F224:F225"/>
    <mergeCell ref="G224:I224"/>
    <mergeCell ref="J224:L224"/>
    <mergeCell ref="O224:P225"/>
    <mergeCell ref="Q224:R225"/>
    <mergeCell ref="S224:AC224"/>
    <mergeCell ref="A217:L217"/>
    <mergeCell ref="A215:C215"/>
    <mergeCell ref="D215:H215"/>
    <mergeCell ref="I215:L215"/>
    <mergeCell ref="A216:L216"/>
    <mergeCell ref="C218:L218"/>
    <mergeCell ref="C219:L219"/>
    <mergeCell ref="A220:L220"/>
    <mergeCell ref="C231:D231"/>
    <mergeCell ref="Q231:R231"/>
    <mergeCell ref="C232:D232"/>
    <mergeCell ref="Q232:R232"/>
    <mergeCell ref="C233:D233"/>
    <mergeCell ref="Q233:R233"/>
    <mergeCell ref="C234:D234"/>
    <mergeCell ref="Q234:R234"/>
    <mergeCell ref="C235:D235"/>
    <mergeCell ref="Q235:R235"/>
    <mergeCell ref="C227:D227"/>
    <mergeCell ref="Q227:R227"/>
    <mergeCell ref="C228:D228"/>
    <mergeCell ref="Q228:R228"/>
    <mergeCell ref="C229:D229"/>
    <mergeCell ref="Q229:R229"/>
    <mergeCell ref="C230:D230"/>
    <mergeCell ref="Q230:R230"/>
    <mergeCell ref="Q241:R241"/>
    <mergeCell ref="C242:D242"/>
    <mergeCell ref="Q242:R242"/>
    <mergeCell ref="C243:D243"/>
    <mergeCell ref="Q243:R243"/>
    <mergeCell ref="C245:D245"/>
    <mergeCell ref="Q245:R245"/>
    <mergeCell ref="C244:D244"/>
    <mergeCell ref="Q244:R244"/>
    <mergeCell ref="C236:D236"/>
    <mergeCell ref="Q236:R236"/>
    <mergeCell ref="C237:D237"/>
    <mergeCell ref="Q237:R237"/>
    <mergeCell ref="C238:D238"/>
    <mergeCell ref="Q238:R238"/>
    <mergeCell ref="C239:D239"/>
    <mergeCell ref="Q239:R239"/>
    <mergeCell ref="C240:D240"/>
    <mergeCell ref="Q240:R240"/>
    <mergeCell ref="A81:L81"/>
    <mergeCell ref="C261:D261"/>
    <mergeCell ref="Q261:R261"/>
    <mergeCell ref="C262:D262"/>
    <mergeCell ref="Q262:R262"/>
    <mergeCell ref="C264:D264"/>
    <mergeCell ref="Q264:R264"/>
    <mergeCell ref="C265:D265"/>
    <mergeCell ref="Q265:R265"/>
    <mergeCell ref="C266:D266"/>
    <mergeCell ref="Q266:R266"/>
    <mergeCell ref="C267:D267"/>
    <mergeCell ref="Q267:R267"/>
    <mergeCell ref="A268:L268"/>
    <mergeCell ref="C256:D256"/>
    <mergeCell ref="Q256:R256"/>
    <mergeCell ref="C257:D257"/>
    <mergeCell ref="Q257:R257"/>
    <mergeCell ref="C258:D258"/>
    <mergeCell ref="Q258:R258"/>
    <mergeCell ref="C259:D259"/>
    <mergeCell ref="Q259:R259"/>
    <mergeCell ref="C260:D260"/>
    <mergeCell ref="Q260:R260"/>
    <mergeCell ref="C253:D253"/>
    <mergeCell ref="Q253:R253"/>
    <mergeCell ref="C254:D254"/>
    <mergeCell ref="Q254:R254"/>
    <mergeCell ref="C255:D255"/>
    <mergeCell ref="Q255:R255"/>
    <mergeCell ref="C246:D246"/>
    <mergeCell ref="Q246:R246"/>
    <mergeCell ref="H69:L69"/>
    <mergeCell ref="A71:L71"/>
    <mergeCell ref="A73:C73"/>
    <mergeCell ref="D73:F73"/>
    <mergeCell ref="A74:C74"/>
    <mergeCell ref="D74:H74"/>
    <mergeCell ref="I74:L74"/>
    <mergeCell ref="A75:C75"/>
    <mergeCell ref="D75:H75"/>
    <mergeCell ref="I75:L75"/>
    <mergeCell ref="A76:C76"/>
    <mergeCell ref="D76:H76"/>
    <mergeCell ref="I76:L76"/>
    <mergeCell ref="A77:L77"/>
    <mergeCell ref="A78:L78"/>
    <mergeCell ref="C79:L79"/>
    <mergeCell ref="C80:L80"/>
    <mergeCell ref="Q91:R91"/>
    <mergeCell ref="C92:D92"/>
    <mergeCell ref="Q92:R92"/>
    <mergeCell ref="C93:D93"/>
    <mergeCell ref="Q93:R93"/>
    <mergeCell ref="C94:D94"/>
    <mergeCell ref="Q94:R94"/>
    <mergeCell ref="C95:D95"/>
    <mergeCell ref="Q95:R95"/>
    <mergeCell ref="Q85:R86"/>
    <mergeCell ref="S85:AC85"/>
    <mergeCell ref="C87:L87"/>
    <mergeCell ref="Q87:AC87"/>
    <mergeCell ref="C88:D88"/>
    <mergeCell ref="Q88:R88"/>
    <mergeCell ref="C89:D89"/>
    <mergeCell ref="Q89:R89"/>
    <mergeCell ref="C90:D90"/>
    <mergeCell ref="Q90:R90"/>
    <mergeCell ref="C91:D91"/>
    <mergeCell ref="Q101:R101"/>
    <mergeCell ref="C102:D102"/>
    <mergeCell ref="Q102:R102"/>
    <mergeCell ref="C103:D103"/>
    <mergeCell ref="Q103:R103"/>
    <mergeCell ref="C104:D104"/>
    <mergeCell ref="Q104:R104"/>
    <mergeCell ref="C105:D105"/>
    <mergeCell ref="Q105:R105"/>
    <mergeCell ref="Q96:R96"/>
    <mergeCell ref="C97:D97"/>
    <mergeCell ref="Q97:R97"/>
    <mergeCell ref="C98:D98"/>
    <mergeCell ref="Q98:R98"/>
    <mergeCell ref="C99:D99"/>
    <mergeCell ref="Q99:R99"/>
    <mergeCell ref="C100:D100"/>
    <mergeCell ref="Q100:R100"/>
    <mergeCell ref="C96:D96"/>
    <mergeCell ref="C101:D101"/>
    <mergeCell ref="C111:D111"/>
    <mergeCell ref="Q111:R111"/>
    <mergeCell ref="C114:D114"/>
    <mergeCell ref="Q114:R114"/>
    <mergeCell ref="C115:D115"/>
    <mergeCell ref="Q115:R115"/>
    <mergeCell ref="C116:D116"/>
    <mergeCell ref="Q116:R116"/>
    <mergeCell ref="C117:D117"/>
    <mergeCell ref="Q117:R117"/>
    <mergeCell ref="C106:D106"/>
    <mergeCell ref="Q106:R106"/>
    <mergeCell ref="C107:D107"/>
    <mergeCell ref="Q107:R107"/>
    <mergeCell ref="C108:L108"/>
    <mergeCell ref="Q108:AC108"/>
    <mergeCell ref="C109:D109"/>
    <mergeCell ref="Q109:R109"/>
    <mergeCell ref="C110:D110"/>
    <mergeCell ref="Q110:R110"/>
    <mergeCell ref="A133:L133"/>
    <mergeCell ref="A135:L135"/>
    <mergeCell ref="A138:D138"/>
    <mergeCell ref="H138:L138"/>
    <mergeCell ref="C123:D123"/>
    <mergeCell ref="Q123:R123"/>
    <mergeCell ref="C124:D124"/>
    <mergeCell ref="Q124:R124"/>
    <mergeCell ref="C125:D125"/>
    <mergeCell ref="Q125:R125"/>
    <mergeCell ref="C126:D126"/>
    <mergeCell ref="Q126:R126"/>
    <mergeCell ref="C127:D127"/>
    <mergeCell ref="Q127:R127"/>
    <mergeCell ref="C118:D118"/>
    <mergeCell ref="Q118:R118"/>
    <mergeCell ref="C119:D119"/>
    <mergeCell ref="Q119:R119"/>
    <mergeCell ref="C120:D120"/>
    <mergeCell ref="Q120:R120"/>
    <mergeCell ref="C121:D121"/>
    <mergeCell ref="Q121:R121"/>
    <mergeCell ref="C122:D122"/>
    <mergeCell ref="Q122:R122"/>
    <mergeCell ref="A182:B183"/>
    <mergeCell ref="C182:D183"/>
    <mergeCell ref="F182:F183"/>
    <mergeCell ref="G182:I182"/>
    <mergeCell ref="J182:L182"/>
    <mergeCell ref="O182:P183"/>
    <mergeCell ref="Q182:R183"/>
    <mergeCell ref="S182:AC182"/>
    <mergeCell ref="C195:D195"/>
    <mergeCell ref="Q195:R195"/>
    <mergeCell ref="H139:L139"/>
    <mergeCell ref="A42:B43"/>
    <mergeCell ref="C42:D43"/>
    <mergeCell ref="F42:F43"/>
    <mergeCell ref="G42:I42"/>
    <mergeCell ref="J42:L42"/>
    <mergeCell ref="O42:P43"/>
    <mergeCell ref="Q42:R43"/>
    <mergeCell ref="S42:AC42"/>
    <mergeCell ref="A112:B113"/>
    <mergeCell ref="C112:D113"/>
    <mergeCell ref="F112:F113"/>
    <mergeCell ref="G112:I112"/>
    <mergeCell ref="J112:L112"/>
    <mergeCell ref="O112:P113"/>
    <mergeCell ref="Q112:R113"/>
    <mergeCell ref="S112:AC112"/>
    <mergeCell ref="C128:D128"/>
    <mergeCell ref="Q128:R128"/>
    <mergeCell ref="A129:L129"/>
    <mergeCell ref="A131:L131"/>
    <mergeCell ref="N131:P131"/>
    <mergeCell ref="S251:AC251"/>
    <mergeCell ref="C263:D263"/>
    <mergeCell ref="Q263:R263"/>
    <mergeCell ref="A208:D208"/>
    <mergeCell ref="H208:L208"/>
    <mergeCell ref="H209:L209"/>
    <mergeCell ref="A210:L210"/>
    <mergeCell ref="D212:F212"/>
    <mergeCell ref="A213:C213"/>
    <mergeCell ref="D213:H213"/>
    <mergeCell ref="I213:L213"/>
    <mergeCell ref="A214:C214"/>
    <mergeCell ref="D214:H214"/>
    <mergeCell ref="I214:L214"/>
    <mergeCell ref="C196:D196"/>
    <mergeCell ref="Q196:R196"/>
    <mergeCell ref="C197:D197"/>
    <mergeCell ref="Q197:R197"/>
    <mergeCell ref="C198:D198"/>
    <mergeCell ref="Q198:R198"/>
    <mergeCell ref="N201:P201"/>
    <mergeCell ref="A203:L203"/>
    <mergeCell ref="A205:L205"/>
    <mergeCell ref="C248:D248"/>
    <mergeCell ref="Q248:R248"/>
    <mergeCell ref="C249:D249"/>
    <mergeCell ref="Q249:R249"/>
    <mergeCell ref="C250:D250"/>
    <mergeCell ref="Q250:R250"/>
    <mergeCell ref="C247:L247"/>
    <mergeCell ref="Q247:AC247"/>
    <mergeCell ref="C241:D241"/>
    <mergeCell ref="A270:L270"/>
    <mergeCell ref="N270:P270"/>
    <mergeCell ref="A272:L272"/>
    <mergeCell ref="A274:L274"/>
    <mergeCell ref="A277:D277"/>
    <mergeCell ref="H277:L277"/>
    <mergeCell ref="H278:L278"/>
    <mergeCell ref="A280:L280"/>
    <mergeCell ref="A282:C282"/>
    <mergeCell ref="D282:F282"/>
    <mergeCell ref="A251:B252"/>
    <mergeCell ref="C251:D252"/>
    <mergeCell ref="F251:F252"/>
    <mergeCell ref="G251:I251"/>
    <mergeCell ref="J251:L251"/>
    <mergeCell ref="O251:P252"/>
    <mergeCell ref="Q251:R252"/>
    <mergeCell ref="A286:L286"/>
    <mergeCell ref="A287:L287"/>
    <mergeCell ref="C288:L288"/>
    <mergeCell ref="C289:L289"/>
    <mergeCell ref="A290:L290"/>
    <mergeCell ref="A292:L292"/>
    <mergeCell ref="A294:B295"/>
    <mergeCell ref="C294:D295"/>
    <mergeCell ref="F294:F295"/>
    <mergeCell ref="G294:I294"/>
    <mergeCell ref="J294:L294"/>
    <mergeCell ref="A283:C283"/>
    <mergeCell ref="D283:H283"/>
    <mergeCell ref="I283:L283"/>
    <mergeCell ref="A284:C284"/>
    <mergeCell ref="D284:H284"/>
    <mergeCell ref="I284:L284"/>
    <mergeCell ref="A285:C285"/>
    <mergeCell ref="D285:H285"/>
    <mergeCell ref="I285:L285"/>
    <mergeCell ref="C299:D299"/>
    <mergeCell ref="Q299:R299"/>
    <mergeCell ref="C300:D300"/>
    <mergeCell ref="Q300:R300"/>
    <mergeCell ref="C301:D301"/>
    <mergeCell ref="Q301:R301"/>
    <mergeCell ref="C302:D302"/>
    <mergeCell ref="Q302:R302"/>
    <mergeCell ref="C303:D303"/>
    <mergeCell ref="Q303:R303"/>
    <mergeCell ref="O294:P295"/>
    <mergeCell ref="Q294:R295"/>
    <mergeCell ref="S294:AC294"/>
    <mergeCell ref="C296:L296"/>
    <mergeCell ref="Q296:AC296"/>
    <mergeCell ref="C297:D297"/>
    <mergeCell ref="Q297:R297"/>
    <mergeCell ref="C298:D298"/>
    <mergeCell ref="Q298:R298"/>
    <mergeCell ref="C309:D309"/>
    <mergeCell ref="Q309:R309"/>
    <mergeCell ref="C310:D310"/>
    <mergeCell ref="Q310:R310"/>
    <mergeCell ref="C311:D311"/>
    <mergeCell ref="Q311:R311"/>
    <mergeCell ref="C312:D312"/>
    <mergeCell ref="Q312:R312"/>
    <mergeCell ref="C313:D313"/>
    <mergeCell ref="Q313:R313"/>
    <mergeCell ref="C304:D304"/>
    <mergeCell ref="Q304:R304"/>
    <mergeCell ref="C305:D305"/>
    <mergeCell ref="Q305:R305"/>
    <mergeCell ref="C306:D306"/>
    <mergeCell ref="Q306:R306"/>
    <mergeCell ref="C307:D307"/>
    <mergeCell ref="Q307:R307"/>
    <mergeCell ref="C308:D308"/>
    <mergeCell ref="Q308:R308"/>
    <mergeCell ref="C319:D319"/>
    <mergeCell ref="Q319:R319"/>
    <mergeCell ref="C320:D320"/>
    <mergeCell ref="Q320:R320"/>
    <mergeCell ref="A321:B322"/>
    <mergeCell ref="C321:D322"/>
    <mergeCell ref="F321:F322"/>
    <mergeCell ref="G321:I321"/>
    <mergeCell ref="J321:L321"/>
    <mergeCell ref="O321:P322"/>
    <mergeCell ref="Q321:R322"/>
    <mergeCell ref="C314:D314"/>
    <mergeCell ref="Q314:R314"/>
    <mergeCell ref="C315:D315"/>
    <mergeCell ref="Q315:R315"/>
    <mergeCell ref="C316:D316"/>
    <mergeCell ref="Q316:R316"/>
    <mergeCell ref="C317:L317"/>
    <mergeCell ref="Q317:AC317"/>
    <mergeCell ref="C318:D318"/>
    <mergeCell ref="Q318:R318"/>
    <mergeCell ref="C327:D327"/>
    <mergeCell ref="Q327:R327"/>
    <mergeCell ref="C328:D328"/>
    <mergeCell ref="Q328:R328"/>
    <mergeCell ref="C329:D329"/>
    <mergeCell ref="Q329:R329"/>
    <mergeCell ref="C330:D330"/>
    <mergeCell ref="Q330:R330"/>
    <mergeCell ref="C331:D331"/>
    <mergeCell ref="Q331:R331"/>
    <mergeCell ref="S321:AC321"/>
    <mergeCell ref="C323:D323"/>
    <mergeCell ref="Q323:R323"/>
    <mergeCell ref="C324:D324"/>
    <mergeCell ref="Q324:R324"/>
    <mergeCell ref="C325:D325"/>
    <mergeCell ref="Q325:R325"/>
    <mergeCell ref="C326:D326"/>
    <mergeCell ref="Q326:R326"/>
    <mergeCell ref="C337:D337"/>
    <mergeCell ref="Q337:R337"/>
    <mergeCell ref="A338:L338"/>
    <mergeCell ref="A340:L340"/>
    <mergeCell ref="N340:P340"/>
    <mergeCell ref="A342:L342"/>
    <mergeCell ref="A344:L344"/>
    <mergeCell ref="A347:D347"/>
    <mergeCell ref="H347:L347"/>
    <mergeCell ref="C332:D332"/>
    <mergeCell ref="Q332:R332"/>
    <mergeCell ref="C333:D333"/>
    <mergeCell ref="Q333:R333"/>
    <mergeCell ref="C334:D334"/>
    <mergeCell ref="Q334:R334"/>
    <mergeCell ref="C335:D335"/>
    <mergeCell ref="Q335:R335"/>
    <mergeCell ref="C336:D336"/>
    <mergeCell ref="Q336:R336"/>
    <mergeCell ref="S364:AC364"/>
    <mergeCell ref="C366:L366"/>
    <mergeCell ref="Q366:AC366"/>
    <mergeCell ref="A355:C355"/>
    <mergeCell ref="D355:H355"/>
    <mergeCell ref="I355:L355"/>
    <mergeCell ref="A356:L356"/>
    <mergeCell ref="A357:L357"/>
    <mergeCell ref="C358:L358"/>
    <mergeCell ref="C359:L359"/>
    <mergeCell ref="A360:L360"/>
    <mergeCell ref="A362:L362"/>
    <mergeCell ref="H348:L348"/>
    <mergeCell ref="A350:L350"/>
    <mergeCell ref="A352:C352"/>
    <mergeCell ref="D352:F352"/>
    <mergeCell ref="A353:C353"/>
    <mergeCell ref="D353:H353"/>
    <mergeCell ref="I353:L353"/>
    <mergeCell ref="A354:C354"/>
    <mergeCell ref="D354:H354"/>
    <mergeCell ref="I354:L354"/>
    <mergeCell ref="C367:D367"/>
    <mergeCell ref="Q367:R367"/>
    <mergeCell ref="C368:D368"/>
    <mergeCell ref="Q368:R368"/>
    <mergeCell ref="C369:D369"/>
    <mergeCell ref="Q369:R369"/>
    <mergeCell ref="C370:D370"/>
    <mergeCell ref="Q370:R370"/>
    <mergeCell ref="C371:D371"/>
    <mergeCell ref="Q371:R371"/>
    <mergeCell ref="A364:B365"/>
    <mergeCell ref="C364:D365"/>
    <mergeCell ref="F364:F365"/>
    <mergeCell ref="G364:I364"/>
    <mergeCell ref="J364:L364"/>
    <mergeCell ref="O364:P365"/>
    <mergeCell ref="Q364:R365"/>
    <mergeCell ref="C377:D377"/>
    <mergeCell ref="Q377:R377"/>
    <mergeCell ref="C378:D378"/>
    <mergeCell ref="Q378:R378"/>
    <mergeCell ref="C379:D379"/>
    <mergeCell ref="Q379:R379"/>
    <mergeCell ref="C380:D380"/>
    <mergeCell ref="Q380:R380"/>
    <mergeCell ref="C381:D381"/>
    <mergeCell ref="Q381:R381"/>
    <mergeCell ref="C372:D372"/>
    <mergeCell ref="Q372:R372"/>
    <mergeCell ref="C373:D373"/>
    <mergeCell ref="Q373:R373"/>
    <mergeCell ref="C374:D374"/>
    <mergeCell ref="Q374:R374"/>
    <mergeCell ref="C375:D375"/>
    <mergeCell ref="Q375:R375"/>
    <mergeCell ref="C376:D376"/>
    <mergeCell ref="Q376:R376"/>
    <mergeCell ref="C387:L387"/>
    <mergeCell ref="Q387:AC387"/>
    <mergeCell ref="C388:D388"/>
    <mergeCell ref="Q388:R388"/>
    <mergeCell ref="C389:D389"/>
    <mergeCell ref="Q389:R389"/>
    <mergeCell ref="C390:D390"/>
    <mergeCell ref="Q390:R390"/>
    <mergeCell ref="A391:B392"/>
    <mergeCell ref="C391:D392"/>
    <mergeCell ref="F391:F392"/>
    <mergeCell ref="G391:I391"/>
    <mergeCell ref="J391:L391"/>
    <mergeCell ref="O391:P392"/>
    <mergeCell ref="Q391:R392"/>
    <mergeCell ref="S391:AC391"/>
    <mergeCell ref="C382:D382"/>
    <mergeCell ref="Q382:R382"/>
    <mergeCell ref="C383:D383"/>
    <mergeCell ref="Q383:R383"/>
    <mergeCell ref="C384:D384"/>
    <mergeCell ref="Q384:R384"/>
    <mergeCell ref="C385:D385"/>
    <mergeCell ref="Q385:R385"/>
    <mergeCell ref="C386:D386"/>
    <mergeCell ref="Q386:R386"/>
    <mergeCell ref="C398:D398"/>
    <mergeCell ref="Q398:R398"/>
    <mergeCell ref="C399:D399"/>
    <mergeCell ref="Q399:R399"/>
    <mergeCell ref="C400:D400"/>
    <mergeCell ref="Q400:R400"/>
    <mergeCell ref="C401:D401"/>
    <mergeCell ref="Q401:R401"/>
    <mergeCell ref="C402:D402"/>
    <mergeCell ref="Q402:R402"/>
    <mergeCell ref="C393:D393"/>
    <mergeCell ref="Q393:R393"/>
    <mergeCell ref="C394:D394"/>
    <mergeCell ref="Q394:R394"/>
    <mergeCell ref="C395:D395"/>
    <mergeCell ref="Q395:R395"/>
    <mergeCell ref="C396:D396"/>
    <mergeCell ref="Q396:R396"/>
    <mergeCell ref="C397:D397"/>
    <mergeCell ref="Q397:R397"/>
    <mergeCell ref="A408:L408"/>
    <mergeCell ref="A410:L410"/>
    <mergeCell ref="N410:P410"/>
    <mergeCell ref="A412:L412"/>
    <mergeCell ref="A414:L414"/>
    <mergeCell ref="A417:D417"/>
    <mergeCell ref="H417:L417"/>
    <mergeCell ref="H418:L418"/>
    <mergeCell ref="A420:L420"/>
    <mergeCell ref="C403:D403"/>
    <mergeCell ref="Q403:R403"/>
    <mergeCell ref="C404:D404"/>
    <mergeCell ref="Q404:R404"/>
    <mergeCell ref="C405:D405"/>
    <mergeCell ref="Q405:R405"/>
    <mergeCell ref="C406:D406"/>
    <mergeCell ref="Q406:R406"/>
    <mergeCell ref="C407:D407"/>
    <mergeCell ref="Q407:R407"/>
    <mergeCell ref="A426:L426"/>
    <mergeCell ref="A427:L427"/>
    <mergeCell ref="C428:L428"/>
    <mergeCell ref="C429:L429"/>
    <mergeCell ref="A430:L430"/>
    <mergeCell ref="A432:L432"/>
    <mergeCell ref="A434:B435"/>
    <mergeCell ref="C434:D435"/>
    <mergeCell ref="F434:F435"/>
    <mergeCell ref="G434:I434"/>
    <mergeCell ref="J434:L434"/>
    <mergeCell ref="A422:C422"/>
    <mergeCell ref="D422:F422"/>
    <mergeCell ref="A423:C423"/>
    <mergeCell ref="D423:H423"/>
    <mergeCell ref="I423:L423"/>
    <mergeCell ref="A424:C424"/>
    <mergeCell ref="D424:H424"/>
    <mergeCell ref="I424:L424"/>
    <mergeCell ref="A425:C425"/>
    <mergeCell ref="D425:H425"/>
    <mergeCell ref="I425:L425"/>
    <mergeCell ref="C439:D439"/>
    <mergeCell ref="Q439:R439"/>
    <mergeCell ref="C440:D440"/>
    <mergeCell ref="Q440:R440"/>
    <mergeCell ref="C441:D441"/>
    <mergeCell ref="Q441:R441"/>
    <mergeCell ref="C442:D442"/>
    <mergeCell ref="Q442:R442"/>
    <mergeCell ref="C443:D443"/>
    <mergeCell ref="Q443:R443"/>
    <mergeCell ref="O434:P435"/>
    <mergeCell ref="Q434:R435"/>
    <mergeCell ref="S434:AC434"/>
    <mergeCell ref="C436:L436"/>
    <mergeCell ref="Q436:AC436"/>
    <mergeCell ref="C437:D437"/>
    <mergeCell ref="Q437:R437"/>
    <mergeCell ref="C438:D438"/>
    <mergeCell ref="Q438:R438"/>
    <mergeCell ref="C449:D449"/>
    <mergeCell ref="Q449:R449"/>
    <mergeCell ref="C450:D450"/>
    <mergeCell ref="Q450:R450"/>
    <mergeCell ref="C451:D451"/>
    <mergeCell ref="Q451:R451"/>
    <mergeCell ref="C452:D452"/>
    <mergeCell ref="Q452:R452"/>
    <mergeCell ref="C453:D453"/>
    <mergeCell ref="Q453:R453"/>
    <mergeCell ref="C444:D444"/>
    <mergeCell ref="Q444:R444"/>
    <mergeCell ref="C445:D445"/>
    <mergeCell ref="Q445:R445"/>
    <mergeCell ref="C446:D446"/>
    <mergeCell ref="Q446:R446"/>
    <mergeCell ref="C447:D447"/>
    <mergeCell ref="Q447:R447"/>
    <mergeCell ref="C448:D448"/>
    <mergeCell ref="Q448:R448"/>
    <mergeCell ref="C459:D459"/>
    <mergeCell ref="Q459:R459"/>
    <mergeCell ref="C460:D460"/>
    <mergeCell ref="Q460:R460"/>
    <mergeCell ref="A461:B462"/>
    <mergeCell ref="C461:D462"/>
    <mergeCell ref="F461:F462"/>
    <mergeCell ref="G461:I461"/>
    <mergeCell ref="J461:L461"/>
    <mergeCell ref="O461:P462"/>
    <mergeCell ref="Q461:R462"/>
    <mergeCell ref="C454:D454"/>
    <mergeCell ref="Q454:R454"/>
    <mergeCell ref="C455:D455"/>
    <mergeCell ref="Q455:R455"/>
    <mergeCell ref="C456:D456"/>
    <mergeCell ref="Q456:R456"/>
    <mergeCell ref="C457:L457"/>
    <mergeCell ref="Q457:AC457"/>
    <mergeCell ref="C458:D458"/>
    <mergeCell ref="Q458:R458"/>
    <mergeCell ref="C467:D467"/>
    <mergeCell ref="Q467:R467"/>
    <mergeCell ref="C468:D468"/>
    <mergeCell ref="Q468:R468"/>
    <mergeCell ref="C469:D469"/>
    <mergeCell ref="Q469:R469"/>
    <mergeCell ref="C470:D470"/>
    <mergeCell ref="Q470:R470"/>
    <mergeCell ref="C471:D471"/>
    <mergeCell ref="Q471:R471"/>
    <mergeCell ref="S461:AC461"/>
    <mergeCell ref="C463:D463"/>
    <mergeCell ref="Q463:R463"/>
    <mergeCell ref="C464:D464"/>
    <mergeCell ref="Q464:R464"/>
    <mergeCell ref="C465:D465"/>
    <mergeCell ref="Q465:R465"/>
    <mergeCell ref="C466:D466"/>
    <mergeCell ref="Q466:R466"/>
    <mergeCell ref="C477:D477"/>
    <mergeCell ref="Q477:R477"/>
    <mergeCell ref="A478:L478"/>
    <mergeCell ref="A480:L480"/>
    <mergeCell ref="N480:P480"/>
    <mergeCell ref="A482:L482"/>
    <mergeCell ref="A484:L484"/>
    <mergeCell ref="A487:D487"/>
    <mergeCell ref="H487:L487"/>
    <mergeCell ref="C472:D472"/>
    <mergeCell ref="Q472:R472"/>
    <mergeCell ref="C473:D473"/>
    <mergeCell ref="Q473:R473"/>
    <mergeCell ref="C474:D474"/>
    <mergeCell ref="Q474:R474"/>
    <mergeCell ref="C475:D475"/>
    <mergeCell ref="Q475:R475"/>
    <mergeCell ref="C476:D476"/>
    <mergeCell ref="Q476:R476"/>
    <mergeCell ref="S504:AC504"/>
    <mergeCell ref="C506:L506"/>
    <mergeCell ref="Q506:AC506"/>
    <mergeCell ref="A495:C495"/>
    <mergeCell ref="D495:H495"/>
    <mergeCell ref="I495:L495"/>
    <mergeCell ref="A496:L496"/>
    <mergeCell ref="A497:L497"/>
    <mergeCell ref="C498:L498"/>
    <mergeCell ref="C499:L499"/>
    <mergeCell ref="A500:L500"/>
    <mergeCell ref="A502:L502"/>
    <mergeCell ref="H488:L488"/>
    <mergeCell ref="A490:L490"/>
    <mergeCell ref="A492:C492"/>
    <mergeCell ref="D492:F492"/>
    <mergeCell ref="A493:C493"/>
    <mergeCell ref="D493:H493"/>
    <mergeCell ref="I493:L493"/>
    <mergeCell ref="A494:C494"/>
    <mergeCell ref="D494:H494"/>
    <mergeCell ref="I494:L494"/>
    <mergeCell ref="C507:D507"/>
    <mergeCell ref="Q507:R507"/>
    <mergeCell ref="C508:D508"/>
    <mergeCell ref="Q508:R508"/>
    <mergeCell ref="C509:D509"/>
    <mergeCell ref="Q509:R509"/>
    <mergeCell ref="C510:D510"/>
    <mergeCell ref="Q510:R510"/>
    <mergeCell ref="C511:D511"/>
    <mergeCell ref="Q511:R511"/>
    <mergeCell ref="A504:B505"/>
    <mergeCell ref="C504:D505"/>
    <mergeCell ref="F504:F505"/>
    <mergeCell ref="G504:I504"/>
    <mergeCell ref="J504:L504"/>
    <mergeCell ref="O504:P505"/>
    <mergeCell ref="Q504:R505"/>
    <mergeCell ref="C517:D517"/>
    <mergeCell ref="Q517:R517"/>
    <mergeCell ref="C518:D518"/>
    <mergeCell ref="Q518:R518"/>
    <mergeCell ref="C519:D519"/>
    <mergeCell ref="Q519:R519"/>
    <mergeCell ref="C520:D520"/>
    <mergeCell ref="Q520:R520"/>
    <mergeCell ref="C521:D521"/>
    <mergeCell ref="Q521:R521"/>
    <mergeCell ref="C512:D512"/>
    <mergeCell ref="Q512:R512"/>
    <mergeCell ref="C513:D513"/>
    <mergeCell ref="Q513:R513"/>
    <mergeCell ref="C514:D514"/>
    <mergeCell ref="Q514:R514"/>
    <mergeCell ref="C515:D515"/>
    <mergeCell ref="Q515:R515"/>
    <mergeCell ref="C516:D516"/>
    <mergeCell ref="Q516:R516"/>
    <mergeCell ref="C527:L527"/>
    <mergeCell ref="Q527:AC527"/>
    <mergeCell ref="C528:D528"/>
    <mergeCell ref="Q528:R528"/>
    <mergeCell ref="C529:D529"/>
    <mergeCell ref="Q529:R529"/>
    <mergeCell ref="C530:D530"/>
    <mergeCell ref="Q530:R530"/>
    <mergeCell ref="A531:B532"/>
    <mergeCell ref="C531:D532"/>
    <mergeCell ref="F531:F532"/>
    <mergeCell ref="G531:I531"/>
    <mergeCell ref="J531:L531"/>
    <mergeCell ref="O531:P532"/>
    <mergeCell ref="Q531:R532"/>
    <mergeCell ref="S531:AC531"/>
    <mergeCell ref="C522:D522"/>
    <mergeCell ref="Q522:R522"/>
    <mergeCell ref="C523:D523"/>
    <mergeCell ref="Q523:R523"/>
    <mergeCell ref="C524:D524"/>
    <mergeCell ref="Q524:R524"/>
    <mergeCell ref="C525:D525"/>
    <mergeCell ref="Q525:R525"/>
    <mergeCell ref="C526:D526"/>
    <mergeCell ref="Q526:R526"/>
    <mergeCell ref="C538:D538"/>
    <mergeCell ref="Q538:R538"/>
    <mergeCell ref="C539:D539"/>
    <mergeCell ref="Q539:R539"/>
    <mergeCell ref="C540:D540"/>
    <mergeCell ref="Q540:R540"/>
    <mergeCell ref="C541:D541"/>
    <mergeCell ref="Q541:R541"/>
    <mergeCell ref="C542:D542"/>
    <mergeCell ref="Q542:R542"/>
    <mergeCell ref="C533:D533"/>
    <mergeCell ref="Q533:R533"/>
    <mergeCell ref="C534:D534"/>
    <mergeCell ref="Q534:R534"/>
    <mergeCell ref="C535:D535"/>
    <mergeCell ref="Q535:R535"/>
    <mergeCell ref="C536:D536"/>
    <mergeCell ref="Q536:R536"/>
    <mergeCell ref="C537:D537"/>
    <mergeCell ref="Q537:R537"/>
    <mergeCell ref="A548:L548"/>
    <mergeCell ref="A550:L550"/>
    <mergeCell ref="N550:P550"/>
    <mergeCell ref="A552:L552"/>
    <mergeCell ref="A554:L554"/>
    <mergeCell ref="A557:D557"/>
    <mergeCell ref="H557:L557"/>
    <mergeCell ref="H558:L558"/>
    <mergeCell ref="A560:L560"/>
    <mergeCell ref="C543:D543"/>
    <mergeCell ref="Q543:R543"/>
    <mergeCell ref="C544:D544"/>
    <mergeCell ref="Q544:R544"/>
    <mergeCell ref="C545:D545"/>
    <mergeCell ref="Q545:R545"/>
    <mergeCell ref="C546:D546"/>
    <mergeCell ref="Q546:R546"/>
    <mergeCell ref="C547:D547"/>
    <mergeCell ref="Q547:R547"/>
    <mergeCell ref="A566:L566"/>
    <mergeCell ref="A567:L567"/>
    <mergeCell ref="C568:L568"/>
    <mergeCell ref="C569:L569"/>
    <mergeCell ref="A570:L570"/>
    <mergeCell ref="A572:L572"/>
    <mergeCell ref="A574:B575"/>
    <mergeCell ref="C574:D575"/>
    <mergeCell ref="F574:F575"/>
    <mergeCell ref="G574:I574"/>
    <mergeCell ref="J574:L574"/>
    <mergeCell ref="A562:C562"/>
    <mergeCell ref="D562:F562"/>
    <mergeCell ref="A563:C563"/>
    <mergeCell ref="D563:H563"/>
    <mergeCell ref="I563:L563"/>
    <mergeCell ref="A564:C564"/>
    <mergeCell ref="D564:H564"/>
    <mergeCell ref="I564:L564"/>
    <mergeCell ref="A565:C565"/>
    <mergeCell ref="D565:H565"/>
    <mergeCell ref="I565:L565"/>
    <mergeCell ref="C579:D579"/>
    <mergeCell ref="Q579:R579"/>
    <mergeCell ref="C580:D580"/>
    <mergeCell ref="Q580:R580"/>
    <mergeCell ref="C581:D581"/>
    <mergeCell ref="Q581:R581"/>
    <mergeCell ref="C582:D582"/>
    <mergeCell ref="Q582:R582"/>
    <mergeCell ref="C583:D583"/>
    <mergeCell ref="Q583:R583"/>
    <mergeCell ref="O574:P575"/>
    <mergeCell ref="Q574:R575"/>
    <mergeCell ref="S574:AC574"/>
    <mergeCell ref="C576:L576"/>
    <mergeCell ref="Q576:AC576"/>
    <mergeCell ref="C577:D577"/>
    <mergeCell ref="Q577:R577"/>
    <mergeCell ref="C578:D578"/>
    <mergeCell ref="Q578:R578"/>
    <mergeCell ref="C589:D589"/>
    <mergeCell ref="Q589:R589"/>
    <mergeCell ref="C590:D590"/>
    <mergeCell ref="Q590:R590"/>
    <mergeCell ref="C591:D591"/>
    <mergeCell ref="Q591:R591"/>
    <mergeCell ref="C592:D592"/>
    <mergeCell ref="Q592:R592"/>
    <mergeCell ref="C593:D593"/>
    <mergeCell ref="Q593:R593"/>
    <mergeCell ref="C584:D584"/>
    <mergeCell ref="Q584:R584"/>
    <mergeCell ref="C585:D585"/>
    <mergeCell ref="Q585:R585"/>
    <mergeCell ref="C586:D586"/>
    <mergeCell ref="Q586:R586"/>
    <mergeCell ref="C587:D587"/>
    <mergeCell ref="Q587:R587"/>
    <mergeCell ref="C588:D588"/>
    <mergeCell ref="Q588:R588"/>
    <mergeCell ref="C599:D599"/>
    <mergeCell ref="Q599:R599"/>
    <mergeCell ref="C600:D600"/>
    <mergeCell ref="Q600:R600"/>
    <mergeCell ref="A601:B602"/>
    <mergeCell ref="C601:D602"/>
    <mergeCell ref="F601:F602"/>
    <mergeCell ref="G601:I601"/>
    <mergeCell ref="J601:L601"/>
    <mergeCell ref="O601:P602"/>
    <mergeCell ref="Q601:R602"/>
    <mergeCell ref="C594:D594"/>
    <mergeCell ref="Q594:R594"/>
    <mergeCell ref="C595:D595"/>
    <mergeCell ref="Q595:R595"/>
    <mergeCell ref="C596:D596"/>
    <mergeCell ref="Q596:R596"/>
    <mergeCell ref="C597:L597"/>
    <mergeCell ref="Q597:AC597"/>
    <mergeCell ref="C598:D598"/>
    <mergeCell ref="Q598:R598"/>
    <mergeCell ref="C607:D607"/>
    <mergeCell ref="Q607:R607"/>
    <mergeCell ref="C608:D608"/>
    <mergeCell ref="Q608:R608"/>
    <mergeCell ref="C609:D609"/>
    <mergeCell ref="Q609:R609"/>
    <mergeCell ref="C610:D610"/>
    <mergeCell ref="Q610:R610"/>
    <mergeCell ref="C611:D611"/>
    <mergeCell ref="Q611:R611"/>
    <mergeCell ref="S601:AC601"/>
    <mergeCell ref="C603:D603"/>
    <mergeCell ref="Q603:R603"/>
    <mergeCell ref="C604:D604"/>
    <mergeCell ref="Q604:R604"/>
    <mergeCell ref="C605:D605"/>
    <mergeCell ref="Q605:R605"/>
    <mergeCell ref="C606:D606"/>
    <mergeCell ref="Q606:R606"/>
    <mergeCell ref="C617:D617"/>
    <mergeCell ref="Q617:R617"/>
    <mergeCell ref="A618:L618"/>
    <mergeCell ref="A620:L620"/>
    <mergeCell ref="N620:P620"/>
    <mergeCell ref="A622:L622"/>
    <mergeCell ref="A624:L624"/>
    <mergeCell ref="A627:D627"/>
    <mergeCell ref="H627:L627"/>
    <mergeCell ref="C612:D612"/>
    <mergeCell ref="Q612:R612"/>
    <mergeCell ref="C613:D613"/>
    <mergeCell ref="Q613:R613"/>
    <mergeCell ref="C614:D614"/>
    <mergeCell ref="Q614:R614"/>
    <mergeCell ref="C615:D615"/>
    <mergeCell ref="Q615:R615"/>
    <mergeCell ref="C616:D616"/>
    <mergeCell ref="Q616:R616"/>
    <mergeCell ref="S644:AC644"/>
    <mergeCell ref="C646:L646"/>
    <mergeCell ref="Q646:AC646"/>
    <mergeCell ref="A635:C635"/>
    <mergeCell ref="D635:H635"/>
    <mergeCell ref="I635:L635"/>
    <mergeCell ref="A636:L636"/>
    <mergeCell ref="A637:L637"/>
    <mergeCell ref="C638:L638"/>
    <mergeCell ref="C639:L639"/>
    <mergeCell ref="A640:L640"/>
    <mergeCell ref="A642:L642"/>
    <mergeCell ref="H628:L628"/>
    <mergeCell ref="A630:L630"/>
    <mergeCell ref="A632:C632"/>
    <mergeCell ref="D632:F632"/>
    <mergeCell ref="A633:C633"/>
    <mergeCell ref="D633:H633"/>
    <mergeCell ref="I633:L633"/>
    <mergeCell ref="A634:C634"/>
    <mergeCell ref="D634:H634"/>
    <mergeCell ref="I634:L634"/>
    <mergeCell ref="C647:D647"/>
    <mergeCell ref="Q647:R647"/>
    <mergeCell ref="C648:D648"/>
    <mergeCell ref="Q648:R648"/>
    <mergeCell ref="C649:D649"/>
    <mergeCell ref="Q649:R649"/>
    <mergeCell ref="C650:D650"/>
    <mergeCell ref="Q650:R650"/>
    <mergeCell ref="C651:D651"/>
    <mergeCell ref="Q651:R651"/>
    <mergeCell ref="A644:B645"/>
    <mergeCell ref="C644:D645"/>
    <mergeCell ref="F644:F645"/>
    <mergeCell ref="G644:I644"/>
    <mergeCell ref="J644:L644"/>
    <mergeCell ref="O644:P645"/>
    <mergeCell ref="Q644:R645"/>
    <mergeCell ref="C657:D657"/>
    <mergeCell ref="Q657:R657"/>
    <mergeCell ref="C658:D658"/>
    <mergeCell ref="Q658:R658"/>
    <mergeCell ref="C659:D659"/>
    <mergeCell ref="Q659:R659"/>
    <mergeCell ref="C660:D660"/>
    <mergeCell ref="Q660:R660"/>
    <mergeCell ref="C661:D661"/>
    <mergeCell ref="Q661:R661"/>
    <mergeCell ref="C652:D652"/>
    <mergeCell ref="Q652:R652"/>
    <mergeCell ref="C653:D653"/>
    <mergeCell ref="Q653:R653"/>
    <mergeCell ref="C654:D654"/>
    <mergeCell ref="Q654:R654"/>
    <mergeCell ref="C655:D655"/>
    <mergeCell ref="Q655:R655"/>
    <mergeCell ref="C656:D656"/>
    <mergeCell ref="Q656:R656"/>
    <mergeCell ref="C667:L667"/>
    <mergeCell ref="Q667:AC667"/>
    <mergeCell ref="C668:D668"/>
    <mergeCell ref="Q668:R668"/>
    <mergeCell ref="C669:D669"/>
    <mergeCell ref="Q669:R669"/>
    <mergeCell ref="C670:D670"/>
    <mergeCell ref="Q670:R670"/>
    <mergeCell ref="A671:B672"/>
    <mergeCell ref="C671:D672"/>
    <mergeCell ref="F671:F672"/>
    <mergeCell ref="G671:I671"/>
    <mergeCell ref="J671:L671"/>
    <mergeCell ref="O671:P672"/>
    <mergeCell ref="Q671:R672"/>
    <mergeCell ref="S671:AC671"/>
    <mergeCell ref="C662:D662"/>
    <mergeCell ref="Q662:R662"/>
    <mergeCell ref="C663:D663"/>
    <mergeCell ref="Q663:R663"/>
    <mergeCell ref="C664:D664"/>
    <mergeCell ref="Q664:R664"/>
    <mergeCell ref="C665:D665"/>
    <mergeCell ref="Q665:R665"/>
    <mergeCell ref="C666:D666"/>
    <mergeCell ref="Q666:R666"/>
    <mergeCell ref="C678:D678"/>
    <mergeCell ref="Q678:R678"/>
    <mergeCell ref="C679:D679"/>
    <mergeCell ref="Q679:R679"/>
    <mergeCell ref="C680:D680"/>
    <mergeCell ref="Q680:R680"/>
    <mergeCell ref="C681:D681"/>
    <mergeCell ref="Q681:R681"/>
    <mergeCell ref="C682:D682"/>
    <mergeCell ref="Q682:R682"/>
    <mergeCell ref="C673:D673"/>
    <mergeCell ref="Q673:R673"/>
    <mergeCell ref="C674:D674"/>
    <mergeCell ref="Q674:R674"/>
    <mergeCell ref="C675:D675"/>
    <mergeCell ref="Q675:R675"/>
    <mergeCell ref="C676:D676"/>
    <mergeCell ref="Q676:R676"/>
    <mergeCell ref="C677:D677"/>
    <mergeCell ref="Q677:R677"/>
    <mergeCell ref="A688:L688"/>
    <mergeCell ref="A690:L690"/>
    <mergeCell ref="N690:P690"/>
    <mergeCell ref="A692:L692"/>
    <mergeCell ref="A694:L694"/>
    <mergeCell ref="A697:D697"/>
    <mergeCell ref="H697:L697"/>
    <mergeCell ref="H698:L698"/>
    <mergeCell ref="A700:L700"/>
    <mergeCell ref="C683:D683"/>
    <mergeCell ref="Q683:R683"/>
    <mergeCell ref="C684:D684"/>
    <mergeCell ref="Q684:R684"/>
    <mergeCell ref="C685:D685"/>
    <mergeCell ref="Q685:R685"/>
    <mergeCell ref="C686:D686"/>
    <mergeCell ref="Q686:R686"/>
    <mergeCell ref="C687:D687"/>
    <mergeCell ref="Q687:R687"/>
    <mergeCell ref="A706:L706"/>
    <mergeCell ref="A707:L707"/>
    <mergeCell ref="C708:L708"/>
    <mergeCell ref="C709:L709"/>
    <mergeCell ref="A710:L710"/>
    <mergeCell ref="A712:L712"/>
    <mergeCell ref="A714:B715"/>
    <mergeCell ref="C714:D715"/>
    <mergeCell ref="F714:F715"/>
    <mergeCell ref="G714:I714"/>
    <mergeCell ref="J714:L714"/>
    <mergeCell ref="A702:C702"/>
    <mergeCell ref="D702:F702"/>
    <mergeCell ref="A703:C703"/>
    <mergeCell ref="D703:H703"/>
    <mergeCell ref="I703:L703"/>
    <mergeCell ref="A704:C704"/>
    <mergeCell ref="D704:H704"/>
    <mergeCell ref="I704:L704"/>
    <mergeCell ref="A705:C705"/>
    <mergeCell ref="D705:H705"/>
    <mergeCell ref="I705:L705"/>
    <mergeCell ref="C719:D719"/>
    <mergeCell ref="Q719:R719"/>
    <mergeCell ref="C720:D720"/>
    <mergeCell ref="Q720:R720"/>
    <mergeCell ref="C721:D721"/>
    <mergeCell ref="Q721:R721"/>
    <mergeCell ref="C722:D722"/>
    <mergeCell ref="Q722:R722"/>
    <mergeCell ref="C723:D723"/>
    <mergeCell ref="Q723:R723"/>
    <mergeCell ref="O714:P715"/>
    <mergeCell ref="Q714:R715"/>
    <mergeCell ref="S714:AC714"/>
    <mergeCell ref="C716:L716"/>
    <mergeCell ref="Q716:AC716"/>
    <mergeCell ref="C717:D717"/>
    <mergeCell ref="Q717:R717"/>
    <mergeCell ref="C718:D718"/>
    <mergeCell ref="Q718:R718"/>
    <mergeCell ref="C729:D729"/>
    <mergeCell ref="Q729:R729"/>
    <mergeCell ref="C730:D730"/>
    <mergeCell ref="Q730:R730"/>
    <mergeCell ref="C731:D731"/>
    <mergeCell ref="Q731:R731"/>
    <mergeCell ref="C732:D732"/>
    <mergeCell ref="Q732:R732"/>
    <mergeCell ref="C733:D733"/>
    <mergeCell ref="Q733:R733"/>
    <mergeCell ref="C724:D724"/>
    <mergeCell ref="Q724:R724"/>
    <mergeCell ref="C725:D725"/>
    <mergeCell ref="Q725:R725"/>
    <mergeCell ref="C726:D726"/>
    <mergeCell ref="Q726:R726"/>
    <mergeCell ref="C727:D727"/>
    <mergeCell ref="Q727:R727"/>
    <mergeCell ref="C728:D728"/>
    <mergeCell ref="Q728:R728"/>
    <mergeCell ref="C739:D739"/>
    <mergeCell ref="Q739:R739"/>
    <mergeCell ref="C740:D740"/>
    <mergeCell ref="Q740:R740"/>
    <mergeCell ref="A741:B742"/>
    <mergeCell ref="C741:D742"/>
    <mergeCell ref="F741:F742"/>
    <mergeCell ref="G741:I741"/>
    <mergeCell ref="J741:L741"/>
    <mergeCell ref="O741:P742"/>
    <mergeCell ref="Q741:R742"/>
    <mergeCell ref="C734:D734"/>
    <mergeCell ref="Q734:R734"/>
    <mergeCell ref="C735:D735"/>
    <mergeCell ref="Q735:R735"/>
    <mergeCell ref="C736:D736"/>
    <mergeCell ref="Q736:R736"/>
    <mergeCell ref="C737:L737"/>
    <mergeCell ref="Q737:AC737"/>
    <mergeCell ref="C738:D738"/>
    <mergeCell ref="Q738:R738"/>
    <mergeCell ref="C747:D747"/>
    <mergeCell ref="Q747:R747"/>
    <mergeCell ref="C748:D748"/>
    <mergeCell ref="Q748:R748"/>
    <mergeCell ref="C749:D749"/>
    <mergeCell ref="Q749:R749"/>
    <mergeCell ref="C750:D750"/>
    <mergeCell ref="Q750:R750"/>
    <mergeCell ref="C751:D751"/>
    <mergeCell ref="Q751:R751"/>
    <mergeCell ref="S741:AC741"/>
    <mergeCell ref="C743:D743"/>
    <mergeCell ref="Q743:R743"/>
    <mergeCell ref="C744:D744"/>
    <mergeCell ref="Q744:R744"/>
    <mergeCell ref="C745:D745"/>
    <mergeCell ref="Q745:R745"/>
    <mergeCell ref="C746:D746"/>
    <mergeCell ref="Q746:R746"/>
    <mergeCell ref="C757:D757"/>
    <mergeCell ref="Q757:R757"/>
    <mergeCell ref="A758:L758"/>
    <mergeCell ref="A760:L760"/>
    <mergeCell ref="N760:P760"/>
    <mergeCell ref="A762:L762"/>
    <mergeCell ref="A764:L764"/>
    <mergeCell ref="A767:D767"/>
    <mergeCell ref="H767:L767"/>
    <mergeCell ref="C752:D752"/>
    <mergeCell ref="Q752:R752"/>
    <mergeCell ref="C753:D753"/>
    <mergeCell ref="Q753:R753"/>
    <mergeCell ref="C754:D754"/>
    <mergeCell ref="Q754:R754"/>
    <mergeCell ref="C755:D755"/>
    <mergeCell ref="Q755:R755"/>
    <mergeCell ref="C756:D756"/>
    <mergeCell ref="Q756:R756"/>
    <mergeCell ref="S784:AC784"/>
    <mergeCell ref="C786:L786"/>
    <mergeCell ref="Q786:AC786"/>
    <mergeCell ref="A775:C775"/>
    <mergeCell ref="D775:H775"/>
    <mergeCell ref="I775:L775"/>
    <mergeCell ref="A776:L776"/>
    <mergeCell ref="A777:L777"/>
    <mergeCell ref="C778:L778"/>
    <mergeCell ref="C779:L779"/>
    <mergeCell ref="A780:L780"/>
    <mergeCell ref="A782:L782"/>
    <mergeCell ref="H768:L768"/>
    <mergeCell ref="A770:L770"/>
    <mergeCell ref="A772:C772"/>
    <mergeCell ref="D772:F772"/>
    <mergeCell ref="A773:C773"/>
    <mergeCell ref="D773:H773"/>
    <mergeCell ref="I773:L773"/>
    <mergeCell ref="A774:C774"/>
    <mergeCell ref="D774:H774"/>
    <mergeCell ref="I774:L774"/>
    <mergeCell ref="C787:D787"/>
    <mergeCell ref="Q787:R787"/>
    <mergeCell ref="C788:D788"/>
    <mergeCell ref="Q788:R788"/>
    <mergeCell ref="C789:D789"/>
    <mergeCell ref="Q789:R789"/>
    <mergeCell ref="C790:D790"/>
    <mergeCell ref="Q790:R790"/>
    <mergeCell ref="C791:D791"/>
    <mergeCell ref="Q791:R791"/>
    <mergeCell ref="A784:B785"/>
    <mergeCell ref="C784:D785"/>
    <mergeCell ref="F784:F785"/>
    <mergeCell ref="G784:I784"/>
    <mergeCell ref="J784:L784"/>
    <mergeCell ref="O784:P785"/>
    <mergeCell ref="Q784:R785"/>
    <mergeCell ref="C797:D797"/>
    <mergeCell ref="Q797:R797"/>
    <mergeCell ref="C798:D798"/>
    <mergeCell ref="Q798:R798"/>
    <mergeCell ref="C799:D799"/>
    <mergeCell ref="Q799:R799"/>
    <mergeCell ref="C800:D800"/>
    <mergeCell ref="Q800:R800"/>
    <mergeCell ref="C801:D801"/>
    <mergeCell ref="Q801:R801"/>
    <mergeCell ref="C792:D792"/>
    <mergeCell ref="Q792:R792"/>
    <mergeCell ref="C793:D793"/>
    <mergeCell ref="Q793:R793"/>
    <mergeCell ref="C794:D794"/>
    <mergeCell ref="Q794:R794"/>
    <mergeCell ref="C795:D795"/>
    <mergeCell ref="Q795:R795"/>
    <mergeCell ref="C796:D796"/>
    <mergeCell ref="Q796:R796"/>
    <mergeCell ref="C807:L807"/>
    <mergeCell ref="Q807:AC807"/>
    <mergeCell ref="C808:D808"/>
    <mergeCell ref="Q808:R808"/>
    <mergeCell ref="C809:D809"/>
    <mergeCell ref="Q809:R809"/>
    <mergeCell ref="C810:D810"/>
    <mergeCell ref="Q810:R810"/>
    <mergeCell ref="A811:B812"/>
    <mergeCell ref="C811:D812"/>
    <mergeCell ref="F811:F812"/>
    <mergeCell ref="G811:I811"/>
    <mergeCell ref="J811:L811"/>
    <mergeCell ref="O811:P812"/>
    <mergeCell ref="Q811:R812"/>
    <mergeCell ref="S811:AC811"/>
    <mergeCell ref="C802:D802"/>
    <mergeCell ref="Q802:R802"/>
    <mergeCell ref="C803:D803"/>
    <mergeCell ref="Q803:R803"/>
    <mergeCell ref="C804:D804"/>
    <mergeCell ref="Q804:R804"/>
    <mergeCell ref="C805:D805"/>
    <mergeCell ref="Q805:R805"/>
    <mergeCell ref="C806:D806"/>
    <mergeCell ref="Q806:R806"/>
    <mergeCell ref="C818:D818"/>
    <mergeCell ref="Q818:R818"/>
    <mergeCell ref="C819:D819"/>
    <mergeCell ref="Q819:R819"/>
    <mergeCell ref="C820:D820"/>
    <mergeCell ref="Q820:R820"/>
    <mergeCell ref="C821:D821"/>
    <mergeCell ref="Q821:R821"/>
    <mergeCell ref="C822:D822"/>
    <mergeCell ref="Q822:R822"/>
    <mergeCell ref="C813:D813"/>
    <mergeCell ref="Q813:R813"/>
    <mergeCell ref="C814:D814"/>
    <mergeCell ref="Q814:R814"/>
    <mergeCell ref="C815:D815"/>
    <mergeCell ref="Q815:R815"/>
    <mergeCell ref="C816:D816"/>
    <mergeCell ref="Q816:R816"/>
    <mergeCell ref="C817:D817"/>
    <mergeCell ref="Q817:R817"/>
    <mergeCell ref="A828:L828"/>
    <mergeCell ref="A830:L830"/>
    <mergeCell ref="N830:P830"/>
    <mergeCell ref="A832:L832"/>
    <mergeCell ref="A834:L834"/>
    <mergeCell ref="A837:D837"/>
    <mergeCell ref="H837:L837"/>
    <mergeCell ref="H838:L838"/>
    <mergeCell ref="A840:L840"/>
    <mergeCell ref="C823:D823"/>
    <mergeCell ref="Q823:R823"/>
    <mergeCell ref="C824:D824"/>
    <mergeCell ref="Q824:R824"/>
    <mergeCell ref="C825:D825"/>
    <mergeCell ref="Q825:R825"/>
    <mergeCell ref="C826:D826"/>
    <mergeCell ref="Q826:R826"/>
    <mergeCell ref="C827:D827"/>
    <mergeCell ref="Q827:R827"/>
    <mergeCell ref="A846:L846"/>
    <mergeCell ref="A847:L847"/>
    <mergeCell ref="C848:L848"/>
    <mergeCell ref="C849:L849"/>
    <mergeCell ref="A850:L850"/>
    <mergeCell ref="A852:L852"/>
    <mergeCell ref="A854:B855"/>
    <mergeCell ref="C854:D855"/>
    <mergeCell ref="F854:F855"/>
    <mergeCell ref="G854:I854"/>
    <mergeCell ref="J854:L854"/>
    <mergeCell ref="A842:C842"/>
    <mergeCell ref="D842:F842"/>
    <mergeCell ref="A843:C843"/>
    <mergeCell ref="D843:H843"/>
    <mergeCell ref="I843:L843"/>
    <mergeCell ref="A844:C844"/>
    <mergeCell ref="D844:H844"/>
    <mergeCell ref="I844:L844"/>
    <mergeCell ref="A845:C845"/>
    <mergeCell ref="D845:H845"/>
    <mergeCell ref="I845:L845"/>
    <mergeCell ref="C859:D859"/>
    <mergeCell ref="Q859:R859"/>
    <mergeCell ref="C860:D860"/>
    <mergeCell ref="Q860:R860"/>
    <mergeCell ref="C861:D861"/>
    <mergeCell ref="Q861:R861"/>
    <mergeCell ref="C862:D862"/>
    <mergeCell ref="Q862:R862"/>
    <mergeCell ref="C863:D863"/>
    <mergeCell ref="Q863:R863"/>
    <mergeCell ref="O854:P855"/>
    <mergeCell ref="Q854:R855"/>
    <mergeCell ref="S854:AC854"/>
    <mergeCell ref="C856:L856"/>
    <mergeCell ref="Q856:AC856"/>
    <mergeCell ref="C857:D857"/>
    <mergeCell ref="Q857:R857"/>
    <mergeCell ref="C858:D858"/>
    <mergeCell ref="Q858:R858"/>
    <mergeCell ref="C869:D869"/>
    <mergeCell ref="Q869:R869"/>
    <mergeCell ref="C870:D870"/>
    <mergeCell ref="Q870:R870"/>
    <mergeCell ref="C871:D871"/>
    <mergeCell ref="Q871:R871"/>
    <mergeCell ref="C872:D872"/>
    <mergeCell ref="Q872:R872"/>
    <mergeCell ref="C873:D873"/>
    <mergeCell ref="Q873:R873"/>
    <mergeCell ref="C864:D864"/>
    <mergeCell ref="Q864:R864"/>
    <mergeCell ref="C865:D865"/>
    <mergeCell ref="Q865:R865"/>
    <mergeCell ref="C866:D866"/>
    <mergeCell ref="Q866:R866"/>
    <mergeCell ref="C867:D867"/>
    <mergeCell ref="Q867:R867"/>
    <mergeCell ref="C868:D868"/>
    <mergeCell ref="Q868:R868"/>
    <mergeCell ref="C879:D879"/>
    <mergeCell ref="Q879:R879"/>
    <mergeCell ref="C880:D880"/>
    <mergeCell ref="Q880:R880"/>
    <mergeCell ref="A881:B882"/>
    <mergeCell ref="C881:D882"/>
    <mergeCell ref="F881:F882"/>
    <mergeCell ref="G881:I881"/>
    <mergeCell ref="J881:L881"/>
    <mergeCell ref="O881:P882"/>
    <mergeCell ref="Q881:R882"/>
    <mergeCell ref="C874:D874"/>
    <mergeCell ref="Q874:R874"/>
    <mergeCell ref="C875:D875"/>
    <mergeCell ref="Q875:R875"/>
    <mergeCell ref="C876:D876"/>
    <mergeCell ref="Q876:R876"/>
    <mergeCell ref="C877:L877"/>
    <mergeCell ref="Q877:AC877"/>
    <mergeCell ref="C878:D878"/>
    <mergeCell ref="Q878:R878"/>
    <mergeCell ref="C887:D887"/>
    <mergeCell ref="Q887:R887"/>
    <mergeCell ref="C888:D888"/>
    <mergeCell ref="Q888:R888"/>
    <mergeCell ref="C889:D889"/>
    <mergeCell ref="Q889:R889"/>
    <mergeCell ref="C890:D890"/>
    <mergeCell ref="Q890:R890"/>
    <mergeCell ref="C891:D891"/>
    <mergeCell ref="Q891:R891"/>
    <mergeCell ref="S881:AC881"/>
    <mergeCell ref="C883:D883"/>
    <mergeCell ref="Q883:R883"/>
    <mergeCell ref="C884:D884"/>
    <mergeCell ref="Q884:R884"/>
    <mergeCell ref="C885:D885"/>
    <mergeCell ref="Q885:R885"/>
    <mergeCell ref="C886:D886"/>
    <mergeCell ref="Q886:R886"/>
    <mergeCell ref="C897:D897"/>
    <mergeCell ref="Q897:R897"/>
    <mergeCell ref="A898:L898"/>
    <mergeCell ref="A900:L900"/>
    <mergeCell ref="N900:P900"/>
    <mergeCell ref="A902:L902"/>
    <mergeCell ref="A904:L904"/>
    <mergeCell ref="A907:D907"/>
    <mergeCell ref="H907:L907"/>
    <mergeCell ref="C892:D892"/>
    <mergeCell ref="Q892:R892"/>
    <mergeCell ref="C893:D893"/>
    <mergeCell ref="Q893:R893"/>
    <mergeCell ref="C894:D894"/>
    <mergeCell ref="Q894:R894"/>
    <mergeCell ref="C895:D895"/>
    <mergeCell ref="Q895:R895"/>
    <mergeCell ref="C896:D896"/>
    <mergeCell ref="Q896:R896"/>
    <mergeCell ref="S924:AC924"/>
    <mergeCell ref="C926:L926"/>
    <mergeCell ref="Q926:AC926"/>
    <mergeCell ref="A915:C915"/>
    <mergeCell ref="D915:H915"/>
    <mergeCell ref="I915:L915"/>
    <mergeCell ref="A916:L916"/>
    <mergeCell ref="A917:L917"/>
    <mergeCell ref="C918:L918"/>
    <mergeCell ref="C919:L919"/>
    <mergeCell ref="A920:L920"/>
    <mergeCell ref="A922:L922"/>
    <mergeCell ref="H908:L908"/>
    <mergeCell ref="A910:L910"/>
    <mergeCell ref="A912:C912"/>
    <mergeCell ref="D912:F912"/>
    <mergeCell ref="A913:C913"/>
    <mergeCell ref="D913:H913"/>
    <mergeCell ref="I913:L913"/>
    <mergeCell ref="A914:C914"/>
    <mergeCell ref="D914:H914"/>
    <mergeCell ref="I914:L914"/>
    <mergeCell ref="C927:D927"/>
    <mergeCell ref="Q927:R927"/>
    <mergeCell ref="C928:D928"/>
    <mergeCell ref="Q928:R928"/>
    <mergeCell ref="C929:D929"/>
    <mergeCell ref="Q929:R929"/>
    <mergeCell ref="C930:D930"/>
    <mergeCell ref="Q930:R930"/>
    <mergeCell ref="C931:D931"/>
    <mergeCell ref="Q931:R931"/>
    <mergeCell ref="A924:B925"/>
    <mergeCell ref="C924:D925"/>
    <mergeCell ref="F924:F925"/>
    <mergeCell ref="G924:I924"/>
    <mergeCell ref="J924:L924"/>
    <mergeCell ref="O924:P925"/>
    <mergeCell ref="Q924:R925"/>
    <mergeCell ref="C937:D937"/>
    <mergeCell ref="Q937:R937"/>
    <mergeCell ref="C938:D938"/>
    <mergeCell ref="Q938:R938"/>
    <mergeCell ref="C939:D939"/>
    <mergeCell ref="Q939:R939"/>
    <mergeCell ref="C940:D940"/>
    <mergeCell ref="Q940:R940"/>
    <mergeCell ref="C941:D941"/>
    <mergeCell ref="Q941:R941"/>
    <mergeCell ref="C932:D932"/>
    <mergeCell ref="Q932:R932"/>
    <mergeCell ref="C933:D933"/>
    <mergeCell ref="Q933:R933"/>
    <mergeCell ref="C934:D934"/>
    <mergeCell ref="Q934:R934"/>
    <mergeCell ref="C935:D935"/>
    <mergeCell ref="Q935:R935"/>
    <mergeCell ref="C936:D936"/>
    <mergeCell ref="Q936:R936"/>
    <mergeCell ref="C947:L947"/>
    <mergeCell ref="Q947:AC947"/>
    <mergeCell ref="C948:D948"/>
    <mergeCell ref="Q948:R948"/>
    <mergeCell ref="C949:D949"/>
    <mergeCell ref="Q949:R949"/>
    <mergeCell ref="C950:D950"/>
    <mergeCell ref="Q950:R950"/>
    <mergeCell ref="A951:B952"/>
    <mergeCell ref="C951:D952"/>
    <mergeCell ref="F951:F952"/>
    <mergeCell ref="G951:I951"/>
    <mergeCell ref="J951:L951"/>
    <mergeCell ref="O951:P952"/>
    <mergeCell ref="Q951:R952"/>
    <mergeCell ref="S951:AC951"/>
    <mergeCell ref="C942:D942"/>
    <mergeCell ref="Q942:R942"/>
    <mergeCell ref="C943:D943"/>
    <mergeCell ref="Q943:R943"/>
    <mergeCell ref="C944:D944"/>
    <mergeCell ref="Q944:R944"/>
    <mergeCell ref="C945:D945"/>
    <mergeCell ref="Q945:R945"/>
    <mergeCell ref="C946:D946"/>
    <mergeCell ref="Q946:R946"/>
    <mergeCell ref="C958:D958"/>
    <mergeCell ref="Q958:R958"/>
    <mergeCell ref="C959:D959"/>
    <mergeCell ref="Q959:R959"/>
    <mergeCell ref="C960:D960"/>
    <mergeCell ref="Q960:R960"/>
    <mergeCell ref="C961:D961"/>
    <mergeCell ref="Q961:R961"/>
    <mergeCell ref="C962:D962"/>
    <mergeCell ref="Q962:R962"/>
    <mergeCell ref="C953:D953"/>
    <mergeCell ref="Q953:R953"/>
    <mergeCell ref="C954:D954"/>
    <mergeCell ref="Q954:R954"/>
    <mergeCell ref="C955:D955"/>
    <mergeCell ref="Q955:R955"/>
    <mergeCell ref="C956:D956"/>
    <mergeCell ref="Q956:R956"/>
    <mergeCell ref="C957:D957"/>
    <mergeCell ref="Q957:R957"/>
    <mergeCell ref="A968:L968"/>
    <mergeCell ref="A970:L970"/>
    <mergeCell ref="N970:P970"/>
    <mergeCell ref="A972:L972"/>
    <mergeCell ref="A974:L974"/>
    <mergeCell ref="A977:D977"/>
    <mergeCell ref="H977:L977"/>
    <mergeCell ref="H978:L978"/>
    <mergeCell ref="A980:L980"/>
    <mergeCell ref="C963:D963"/>
    <mergeCell ref="Q963:R963"/>
    <mergeCell ref="C964:D964"/>
    <mergeCell ref="Q964:R964"/>
    <mergeCell ref="C965:D965"/>
    <mergeCell ref="Q965:R965"/>
    <mergeCell ref="C966:D966"/>
    <mergeCell ref="Q966:R966"/>
    <mergeCell ref="C967:D967"/>
    <mergeCell ref="Q967:R967"/>
    <mergeCell ref="A986:L986"/>
    <mergeCell ref="A987:L987"/>
    <mergeCell ref="C988:L988"/>
    <mergeCell ref="C989:L989"/>
    <mergeCell ref="A990:L990"/>
    <mergeCell ref="A992:L992"/>
    <mergeCell ref="A994:B995"/>
    <mergeCell ref="C994:D995"/>
    <mergeCell ref="F994:F995"/>
    <mergeCell ref="G994:I994"/>
    <mergeCell ref="J994:L994"/>
    <mergeCell ref="A982:C982"/>
    <mergeCell ref="D982:F982"/>
    <mergeCell ref="A983:C983"/>
    <mergeCell ref="D983:H983"/>
    <mergeCell ref="I983:L983"/>
    <mergeCell ref="A984:C984"/>
    <mergeCell ref="D984:H984"/>
    <mergeCell ref="I984:L984"/>
    <mergeCell ref="A985:C985"/>
    <mergeCell ref="D985:H985"/>
    <mergeCell ref="I985:L985"/>
    <mergeCell ref="C999:D999"/>
    <mergeCell ref="Q999:R999"/>
    <mergeCell ref="C1000:D1000"/>
    <mergeCell ref="Q1000:R1000"/>
    <mergeCell ref="C1001:D1001"/>
    <mergeCell ref="Q1001:R1001"/>
    <mergeCell ref="C1002:D1002"/>
    <mergeCell ref="Q1002:R1002"/>
    <mergeCell ref="C1003:D1003"/>
    <mergeCell ref="Q1003:R1003"/>
    <mergeCell ref="O994:P995"/>
    <mergeCell ref="Q994:R995"/>
    <mergeCell ref="S994:AC994"/>
    <mergeCell ref="C996:L996"/>
    <mergeCell ref="Q996:AC996"/>
    <mergeCell ref="C997:D997"/>
    <mergeCell ref="Q997:R997"/>
    <mergeCell ref="C998:D998"/>
    <mergeCell ref="Q998:R998"/>
    <mergeCell ref="C1009:D1009"/>
    <mergeCell ref="Q1009:R1009"/>
    <mergeCell ref="C1010:D1010"/>
    <mergeCell ref="Q1010:R1010"/>
    <mergeCell ref="C1011:D1011"/>
    <mergeCell ref="Q1011:R1011"/>
    <mergeCell ref="C1012:D1012"/>
    <mergeCell ref="Q1012:R1012"/>
    <mergeCell ref="C1013:D1013"/>
    <mergeCell ref="Q1013:R1013"/>
    <mergeCell ref="C1004:D1004"/>
    <mergeCell ref="Q1004:R1004"/>
    <mergeCell ref="C1005:D1005"/>
    <mergeCell ref="Q1005:R1005"/>
    <mergeCell ref="C1006:D1006"/>
    <mergeCell ref="Q1006:R1006"/>
    <mergeCell ref="C1007:D1007"/>
    <mergeCell ref="Q1007:R1007"/>
    <mergeCell ref="C1008:D1008"/>
    <mergeCell ref="Q1008:R1008"/>
    <mergeCell ref="C1019:D1019"/>
    <mergeCell ref="Q1019:R1019"/>
    <mergeCell ref="C1020:D1020"/>
    <mergeCell ref="Q1020:R1020"/>
    <mergeCell ref="A1021:B1022"/>
    <mergeCell ref="C1021:D1022"/>
    <mergeCell ref="F1021:F1022"/>
    <mergeCell ref="G1021:I1021"/>
    <mergeCell ref="J1021:L1021"/>
    <mergeCell ref="O1021:P1022"/>
    <mergeCell ref="Q1021:R1022"/>
    <mergeCell ref="C1014:D1014"/>
    <mergeCell ref="Q1014:R1014"/>
    <mergeCell ref="C1015:D1015"/>
    <mergeCell ref="Q1015:R1015"/>
    <mergeCell ref="C1016:D1016"/>
    <mergeCell ref="Q1016:R1016"/>
    <mergeCell ref="C1017:L1017"/>
    <mergeCell ref="Q1017:AC1017"/>
    <mergeCell ref="C1018:D1018"/>
    <mergeCell ref="Q1018:R1018"/>
    <mergeCell ref="C1027:D1027"/>
    <mergeCell ref="Q1027:R1027"/>
    <mergeCell ref="C1028:D1028"/>
    <mergeCell ref="Q1028:R1028"/>
    <mergeCell ref="C1029:D1029"/>
    <mergeCell ref="Q1029:R1029"/>
    <mergeCell ref="C1030:D1030"/>
    <mergeCell ref="Q1030:R1030"/>
    <mergeCell ref="C1031:D1031"/>
    <mergeCell ref="Q1031:R1031"/>
    <mergeCell ref="S1021:AC1021"/>
    <mergeCell ref="C1023:D1023"/>
    <mergeCell ref="Q1023:R1023"/>
    <mergeCell ref="C1024:D1024"/>
    <mergeCell ref="Q1024:R1024"/>
    <mergeCell ref="C1025:D1025"/>
    <mergeCell ref="Q1025:R1025"/>
    <mergeCell ref="C1026:D1026"/>
    <mergeCell ref="Q1026:R1026"/>
    <mergeCell ref="C1037:D1037"/>
    <mergeCell ref="Q1037:R1037"/>
    <mergeCell ref="A1038:L1038"/>
    <mergeCell ref="A1040:L1040"/>
    <mergeCell ref="N1040:P1040"/>
    <mergeCell ref="A1042:L1042"/>
    <mergeCell ref="A1044:L1044"/>
    <mergeCell ref="A1047:D1047"/>
    <mergeCell ref="H1047:L1047"/>
    <mergeCell ref="C1032:D1032"/>
    <mergeCell ref="Q1032:R1032"/>
    <mergeCell ref="C1033:D1033"/>
    <mergeCell ref="Q1033:R1033"/>
    <mergeCell ref="C1034:D1034"/>
    <mergeCell ref="Q1034:R1034"/>
    <mergeCell ref="C1035:D1035"/>
    <mergeCell ref="Q1035:R1035"/>
    <mergeCell ref="C1036:D1036"/>
    <mergeCell ref="Q1036:R1036"/>
    <mergeCell ref="S1064:AC1064"/>
    <mergeCell ref="C1066:L1066"/>
    <mergeCell ref="Q1066:AC1066"/>
    <mergeCell ref="A1055:C1055"/>
    <mergeCell ref="D1055:H1055"/>
    <mergeCell ref="I1055:L1055"/>
    <mergeCell ref="A1056:L1056"/>
    <mergeCell ref="A1057:L1057"/>
    <mergeCell ref="C1058:L1058"/>
    <mergeCell ref="C1059:L1059"/>
    <mergeCell ref="A1060:L1060"/>
    <mergeCell ref="A1062:L1062"/>
    <mergeCell ref="H1048:L1048"/>
    <mergeCell ref="A1050:L1050"/>
    <mergeCell ref="A1052:C1052"/>
    <mergeCell ref="D1052:F1052"/>
    <mergeCell ref="A1053:C1053"/>
    <mergeCell ref="D1053:H1053"/>
    <mergeCell ref="I1053:L1053"/>
    <mergeCell ref="A1054:C1054"/>
    <mergeCell ref="D1054:H1054"/>
    <mergeCell ref="I1054:L1054"/>
    <mergeCell ref="C1067:D1067"/>
    <mergeCell ref="Q1067:R1067"/>
    <mergeCell ref="C1068:D1068"/>
    <mergeCell ref="Q1068:R1068"/>
    <mergeCell ref="C1069:D1069"/>
    <mergeCell ref="Q1069:R1069"/>
    <mergeCell ref="C1070:D1070"/>
    <mergeCell ref="Q1070:R1070"/>
    <mergeCell ref="C1071:D1071"/>
    <mergeCell ref="Q1071:R1071"/>
    <mergeCell ref="A1064:B1065"/>
    <mergeCell ref="C1064:D1065"/>
    <mergeCell ref="F1064:F1065"/>
    <mergeCell ref="G1064:I1064"/>
    <mergeCell ref="J1064:L1064"/>
    <mergeCell ref="O1064:P1065"/>
    <mergeCell ref="Q1064:R1065"/>
    <mergeCell ref="C1077:D1077"/>
    <mergeCell ref="Q1077:R1077"/>
    <mergeCell ref="C1078:D1078"/>
    <mergeCell ref="Q1078:R1078"/>
    <mergeCell ref="C1079:D1079"/>
    <mergeCell ref="Q1079:R1079"/>
    <mergeCell ref="C1080:D1080"/>
    <mergeCell ref="Q1080:R1080"/>
    <mergeCell ref="C1081:D1081"/>
    <mergeCell ref="Q1081:R1081"/>
    <mergeCell ref="C1072:D1072"/>
    <mergeCell ref="Q1072:R1072"/>
    <mergeCell ref="C1073:D1073"/>
    <mergeCell ref="Q1073:R1073"/>
    <mergeCell ref="C1074:D1074"/>
    <mergeCell ref="Q1074:R1074"/>
    <mergeCell ref="C1075:D1075"/>
    <mergeCell ref="Q1075:R1075"/>
    <mergeCell ref="C1076:D1076"/>
    <mergeCell ref="Q1076:R1076"/>
    <mergeCell ref="C1087:L1087"/>
    <mergeCell ref="Q1087:AC1087"/>
    <mergeCell ref="C1088:D1088"/>
    <mergeCell ref="Q1088:R1088"/>
    <mergeCell ref="C1089:D1089"/>
    <mergeCell ref="Q1089:R1089"/>
    <mergeCell ref="C1090:D1090"/>
    <mergeCell ref="Q1090:R1090"/>
    <mergeCell ref="A1091:B1092"/>
    <mergeCell ref="C1091:D1092"/>
    <mergeCell ref="F1091:F1092"/>
    <mergeCell ref="G1091:I1091"/>
    <mergeCell ref="J1091:L1091"/>
    <mergeCell ref="O1091:P1092"/>
    <mergeCell ref="Q1091:R1092"/>
    <mergeCell ref="S1091:AC1091"/>
    <mergeCell ref="C1082:D1082"/>
    <mergeCell ref="Q1082:R1082"/>
    <mergeCell ref="C1083:D1083"/>
    <mergeCell ref="Q1083:R1083"/>
    <mergeCell ref="C1084:D1084"/>
    <mergeCell ref="Q1084:R1084"/>
    <mergeCell ref="C1085:D1085"/>
    <mergeCell ref="Q1085:R1085"/>
    <mergeCell ref="C1086:D1086"/>
    <mergeCell ref="Q1086:R1086"/>
    <mergeCell ref="C1098:D1098"/>
    <mergeCell ref="Q1098:R1098"/>
    <mergeCell ref="C1099:D1099"/>
    <mergeCell ref="Q1099:R1099"/>
    <mergeCell ref="C1100:D1100"/>
    <mergeCell ref="Q1100:R1100"/>
    <mergeCell ref="C1101:D1101"/>
    <mergeCell ref="Q1101:R1101"/>
    <mergeCell ref="C1102:D1102"/>
    <mergeCell ref="Q1102:R1102"/>
    <mergeCell ref="C1093:D1093"/>
    <mergeCell ref="Q1093:R1093"/>
    <mergeCell ref="C1094:D1094"/>
    <mergeCell ref="Q1094:R1094"/>
    <mergeCell ref="C1095:D1095"/>
    <mergeCell ref="Q1095:R1095"/>
    <mergeCell ref="C1096:D1096"/>
    <mergeCell ref="Q1096:R1096"/>
    <mergeCell ref="C1097:D1097"/>
    <mergeCell ref="Q1097:R1097"/>
    <mergeCell ref="A1108:L1108"/>
    <mergeCell ref="A1110:L1110"/>
    <mergeCell ref="N1110:P1110"/>
    <mergeCell ref="A1112:L1112"/>
    <mergeCell ref="A1114:L1114"/>
    <mergeCell ref="A1117:D1117"/>
    <mergeCell ref="H1117:L1117"/>
    <mergeCell ref="H1118:L1118"/>
    <mergeCell ref="A1120:L1120"/>
    <mergeCell ref="C1103:D1103"/>
    <mergeCell ref="Q1103:R1103"/>
    <mergeCell ref="C1104:D1104"/>
    <mergeCell ref="Q1104:R1104"/>
    <mergeCell ref="C1105:D1105"/>
    <mergeCell ref="Q1105:R1105"/>
    <mergeCell ref="C1106:D1106"/>
    <mergeCell ref="Q1106:R1106"/>
    <mergeCell ref="C1107:D1107"/>
    <mergeCell ref="Q1107:R1107"/>
    <mergeCell ref="A1126:L1126"/>
    <mergeCell ref="A1127:L1127"/>
    <mergeCell ref="C1128:L1128"/>
    <mergeCell ref="C1129:L1129"/>
    <mergeCell ref="A1130:L1130"/>
    <mergeCell ref="A1132:L1132"/>
    <mergeCell ref="A1134:B1135"/>
    <mergeCell ref="C1134:D1135"/>
    <mergeCell ref="F1134:F1135"/>
    <mergeCell ref="G1134:I1134"/>
    <mergeCell ref="J1134:L1134"/>
    <mergeCell ref="A1122:C1122"/>
    <mergeCell ref="D1122:F1122"/>
    <mergeCell ref="A1123:C1123"/>
    <mergeCell ref="D1123:H1123"/>
    <mergeCell ref="I1123:L1123"/>
    <mergeCell ref="A1124:C1124"/>
    <mergeCell ref="D1124:H1124"/>
    <mergeCell ref="I1124:L1124"/>
    <mergeCell ref="A1125:C1125"/>
    <mergeCell ref="D1125:H1125"/>
    <mergeCell ref="I1125:L1125"/>
    <mergeCell ref="C1139:D1139"/>
    <mergeCell ref="Q1139:R1139"/>
    <mergeCell ref="C1140:D1140"/>
    <mergeCell ref="Q1140:R1140"/>
    <mergeCell ref="C1141:D1141"/>
    <mergeCell ref="Q1141:R1141"/>
    <mergeCell ref="C1142:D1142"/>
    <mergeCell ref="Q1142:R1142"/>
    <mergeCell ref="C1143:D1143"/>
    <mergeCell ref="Q1143:R1143"/>
    <mergeCell ref="O1134:P1135"/>
    <mergeCell ref="Q1134:R1135"/>
    <mergeCell ref="S1134:AC1134"/>
    <mergeCell ref="C1136:L1136"/>
    <mergeCell ref="Q1136:AC1136"/>
    <mergeCell ref="C1137:D1137"/>
    <mergeCell ref="Q1137:R1137"/>
    <mergeCell ref="C1138:D1138"/>
    <mergeCell ref="Q1138:R1138"/>
    <mergeCell ref="C1149:D1149"/>
    <mergeCell ref="Q1149:R1149"/>
    <mergeCell ref="C1150:D1150"/>
    <mergeCell ref="Q1150:R1150"/>
    <mergeCell ref="C1151:D1151"/>
    <mergeCell ref="Q1151:R1151"/>
    <mergeCell ref="C1152:D1152"/>
    <mergeCell ref="Q1152:R1152"/>
    <mergeCell ref="C1153:D1153"/>
    <mergeCell ref="Q1153:R1153"/>
    <mergeCell ref="C1144:D1144"/>
    <mergeCell ref="Q1144:R1144"/>
    <mergeCell ref="C1145:D1145"/>
    <mergeCell ref="Q1145:R1145"/>
    <mergeCell ref="C1146:D1146"/>
    <mergeCell ref="Q1146:R1146"/>
    <mergeCell ref="C1147:D1147"/>
    <mergeCell ref="Q1147:R1147"/>
    <mergeCell ref="C1148:D1148"/>
    <mergeCell ref="Q1148:R1148"/>
    <mergeCell ref="C1159:D1159"/>
    <mergeCell ref="Q1159:R1159"/>
    <mergeCell ref="C1160:D1160"/>
    <mergeCell ref="Q1160:R1160"/>
    <mergeCell ref="A1161:B1162"/>
    <mergeCell ref="C1161:D1162"/>
    <mergeCell ref="F1161:F1162"/>
    <mergeCell ref="G1161:I1161"/>
    <mergeCell ref="J1161:L1161"/>
    <mergeCell ref="O1161:P1162"/>
    <mergeCell ref="Q1161:R1162"/>
    <mergeCell ref="C1154:D1154"/>
    <mergeCell ref="Q1154:R1154"/>
    <mergeCell ref="C1155:D1155"/>
    <mergeCell ref="Q1155:R1155"/>
    <mergeCell ref="C1156:D1156"/>
    <mergeCell ref="Q1156:R1156"/>
    <mergeCell ref="C1157:L1157"/>
    <mergeCell ref="Q1157:AC1157"/>
    <mergeCell ref="C1158:D1158"/>
    <mergeCell ref="Q1158:R1158"/>
    <mergeCell ref="C1167:D1167"/>
    <mergeCell ref="Q1167:R1167"/>
    <mergeCell ref="C1168:D1168"/>
    <mergeCell ref="Q1168:R1168"/>
    <mergeCell ref="C1169:D1169"/>
    <mergeCell ref="Q1169:R1169"/>
    <mergeCell ref="C1170:D1170"/>
    <mergeCell ref="Q1170:R1170"/>
    <mergeCell ref="C1171:D1171"/>
    <mergeCell ref="Q1171:R1171"/>
    <mergeCell ref="S1161:AC1161"/>
    <mergeCell ref="C1163:D1163"/>
    <mergeCell ref="Q1163:R1163"/>
    <mergeCell ref="C1164:D1164"/>
    <mergeCell ref="Q1164:R1164"/>
    <mergeCell ref="C1165:D1165"/>
    <mergeCell ref="Q1165:R1165"/>
    <mergeCell ref="C1166:D1166"/>
    <mergeCell ref="Q1166:R1166"/>
    <mergeCell ref="C1177:D1177"/>
    <mergeCell ref="Q1177:R1177"/>
    <mergeCell ref="A1178:L1178"/>
    <mergeCell ref="A1180:L1180"/>
    <mergeCell ref="N1180:P1180"/>
    <mergeCell ref="A1182:L1182"/>
    <mergeCell ref="A1184:L1184"/>
    <mergeCell ref="A1187:D1187"/>
    <mergeCell ref="H1187:L1187"/>
    <mergeCell ref="C1172:D1172"/>
    <mergeCell ref="Q1172:R1172"/>
    <mergeCell ref="C1173:D1173"/>
    <mergeCell ref="Q1173:R1173"/>
    <mergeCell ref="C1174:D1174"/>
    <mergeCell ref="Q1174:R1174"/>
    <mergeCell ref="C1175:D1175"/>
    <mergeCell ref="Q1175:R1175"/>
    <mergeCell ref="C1176:D1176"/>
    <mergeCell ref="Q1176:R1176"/>
    <mergeCell ref="S1204:AC1204"/>
    <mergeCell ref="C1206:L1206"/>
    <mergeCell ref="Q1206:AC1206"/>
    <mergeCell ref="A1195:C1195"/>
    <mergeCell ref="D1195:H1195"/>
    <mergeCell ref="I1195:L1195"/>
    <mergeCell ref="A1196:L1196"/>
    <mergeCell ref="A1197:L1197"/>
    <mergeCell ref="C1198:L1198"/>
    <mergeCell ref="C1199:L1199"/>
    <mergeCell ref="A1200:L1200"/>
    <mergeCell ref="A1202:L1202"/>
    <mergeCell ref="H1188:L1188"/>
    <mergeCell ref="A1190:L1190"/>
    <mergeCell ref="A1192:C1192"/>
    <mergeCell ref="D1192:F1192"/>
    <mergeCell ref="A1193:C1193"/>
    <mergeCell ref="D1193:H1193"/>
    <mergeCell ref="I1193:L1193"/>
    <mergeCell ref="A1194:C1194"/>
    <mergeCell ref="D1194:H1194"/>
    <mergeCell ref="I1194:L1194"/>
    <mergeCell ref="C1207:D1207"/>
    <mergeCell ref="Q1207:R1207"/>
    <mergeCell ref="C1208:D1208"/>
    <mergeCell ref="Q1208:R1208"/>
    <mergeCell ref="C1209:D1209"/>
    <mergeCell ref="Q1209:R1209"/>
    <mergeCell ref="C1210:D1210"/>
    <mergeCell ref="Q1210:R1210"/>
    <mergeCell ref="C1211:D1211"/>
    <mergeCell ref="Q1211:R1211"/>
    <mergeCell ref="A1204:B1205"/>
    <mergeCell ref="C1204:D1205"/>
    <mergeCell ref="F1204:F1205"/>
    <mergeCell ref="G1204:I1204"/>
    <mergeCell ref="J1204:L1204"/>
    <mergeCell ref="O1204:P1205"/>
    <mergeCell ref="Q1204:R1205"/>
    <mergeCell ref="C1217:D1217"/>
    <mergeCell ref="Q1217:R1217"/>
    <mergeCell ref="C1218:D1218"/>
    <mergeCell ref="Q1218:R1218"/>
    <mergeCell ref="C1219:D1219"/>
    <mergeCell ref="Q1219:R1219"/>
    <mergeCell ref="C1220:D1220"/>
    <mergeCell ref="Q1220:R1220"/>
    <mergeCell ref="C1221:D1221"/>
    <mergeCell ref="Q1221:R1221"/>
    <mergeCell ref="C1212:D1212"/>
    <mergeCell ref="Q1212:R1212"/>
    <mergeCell ref="C1213:D1213"/>
    <mergeCell ref="Q1213:R1213"/>
    <mergeCell ref="C1214:D1214"/>
    <mergeCell ref="Q1214:R1214"/>
    <mergeCell ref="C1215:D1215"/>
    <mergeCell ref="Q1215:R1215"/>
    <mergeCell ref="C1216:D1216"/>
    <mergeCell ref="Q1216:R1216"/>
    <mergeCell ref="C1227:L1227"/>
    <mergeCell ref="Q1227:AC1227"/>
    <mergeCell ref="C1228:D1228"/>
    <mergeCell ref="Q1228:R1228"/>
    <mergeCell ref="C1229:D1229"/>
    <mergeCell ref="Q1229:R1229"/>
    <mergeCell ref="C1230:D1230"/>
    <mergeCell ref="Q1230:R1230"/>
    <mergeCell ref="A1231:B1232"/>
    <mergeCell ref="C1231:D1232"/>
    <mergeCell ref="F1231:F1232"/>
    <mergeCell ref="G1231:I1231"/>
    <mergeCell ref="J1231:L1231"/>
    <mergeCell ref="O1231:P1232"/>
    <mergeCell ref="Q1231:R1232"/>
    <mergeCell ref="S1231:AC1231"/>
    <mergeCell ref="C1222:D1222"/>
    <mergeCell ref="Q1222:R1222"/>
    <mergeCell ref="C1223:D1223"/>
    <mergeCell ref="Q1223:R1223"/>
    <mergeCell ref="C1224:D1224"/>
    <mergeCell ref="Q1224:R1224"/>
    <mergeCell ref="C1225:D1225"/>
    <mergeCell ref="Q1225:R1225"/>
    <mergeCell ref="C1226:D1226"/>
    <mergeCell ref="Q1226:R1226"/>
    <mergeCell ref="C1238:D1238"/>
    <mergeCell ref="Q1238:R1238"/>
    <mergeCell ref="C1239:D1239"/>
    <mergeCell ref="Q1239:R1239"/>
    <mergeCell ref="C1240:D1240"/>
    <mergeCell ref="Q1240:R1240"/>
    <mergeCell ref="C1241:D1241"/>
    <mergeCell ref="Q1241:R1241"/>
    <mergeCell ref="C1242:D1242"/>
    <mergeCell ref="Q1242:R1242"/>
    <mergeCell ref="C1233:D1233"/>
    <mergeCell ref="Q1233:R1233"/>
    <mergeCell ref="C1234:D1234"/>
    <mergeCell ref="Q1234:R1234"/>
    <mergeCell ref="C1235:D1235"/>
    <mergeCell ref="Q1235:R1235"/>
    <mergeCell ref="C1236:D1236"/>
    <mergeCell ref="Q1236:R1236"/>
    <mergeCell ref="C1237:D1237"/>
    <mergeCell ref="Q1237:R1237"/>
    <mergeCell ref="A1248:L1248"/>
    <mergeCell ref="A1250:L1250"/>
    <mergeCell ref="N1250:P1250"/>
    <mergeCell ref="A1252:L1252"/>
    <mergeCell ref="A1254:L1254"/>
    <mergeCell ref="A1257:D1257"/>
    <mergeCell ref="H1257:L1257"/>
    <mergeCell ref="H1258:L1258"/>
    <mergeCell ref="A1260:L1260"/>
    <mergeCell ref="C1243:D1243"/>
    <mergeCell ref="Q1243:R1243"/>
    <mergeCell ref="C1244:D1244"/>
    <mergeCell ref="Q1244:R1244"/>
    <mergeCell ref="C1245:D1245"/>
    <mergeCell ref="Q1245:R1245"/>
    <mergeCell ref="C1246:D1246"/>
    <mergeCell ref="Q1246:R1246"/>
    <mergeCell ref="C1247:D1247"/>
    <mergeCell ref="Q1247:R1247"/>
    <mergeCell ref="A1266:L1266"/>
    <mergeCell ref="A1267:L1267"/>
    <mergeCell ref="C1268:L1268"/>
    <mergeCell ref="C1269:L1269"/>
    <mergeCell ref="A1270:L1270"/>
    <mergeCell ref="A1272:L1272"/>
    <mergeCell ref="A1274:B1275"/>
    <mergeCell ref="C1274:D1275"/>
    <mergeCell ref="F1274:F1275"/>
    <mergeCell ref="G1274:I1274"/>
    <mergeCell ref="J1274:L1274"/>
    <mergeCell ref="A1262:C1262"/>
    <mergeCell ref="D1262:F1262"/>
    <mergeCell ref="A1263:C1263"/>
    <mergeCell ref="D1263:H1263"/>
    <mergeCell ref="I1263:L1263"/>
    <mergeCell ref="A1264:C1264"/>
    <mergeCell ref="D1264:H1264"/>
    <mergeCell ref="I1264:L1264"/>
    <mergeCell ref="A1265:C1265"/>
    <mergeCell ref="D1265:H1265"/>
    <mergeCell ref="I1265:L1265"/>
    <mergeCell ref="C1279:D1279"/>
    <mergeCell ref="Q1279:R1279"/>
    <mergeCell ref="C1280:D1280"/>
    <mergeCell ref="Q1280:R1280"/>
    <mergeCell ref="C1281:D1281"/>
    <mergeCell ref="Q1281:R1281"/>
    <mergeCell ref="C1282:D1282"/>
    <mergeCell ref="Q1282:R1282"/>
    <mergeCell ref="C1283:D1283"/>
    <mergeCell ref="Q1283:R1283"/>
    <mergeCell ref="O1274:P1275"/>
    <mergeCell ref="Q1274:R1275"/>
    <mergeCell ref="S1274:AC1274"/>
    <mergeCell ref="C1276:L1276"/>
    <mergeCell ref="Q1276:AC1276"/>
    <mergeCell ref="C1277:D1277"/>
    <mergeCell ref="Q1277:R1277"/>
    <mergeCell ref="C1278:D1278"/>
    <mergeCell ref="Q1278:R1278"/>
    <mergeCell ref="C1289:D1289"/>
    <mergeCell ref="Q1289:R1289"/>
    <mergeCell ref="C1290:D1290"/>
    <mergeCell ref="Q1290:R1290"/>
    <mergeCell ref="C1291:D1291"/>
    <mergeCell ref="Q1291:R1291"/>
    <mergeCell ref="C1292:D1292"/>
    <mergeCell ref="Q1292:R1292"/>
    <mergeCell ref="C1293:D1293"/>
    <mergeCell ref="Q1293:R1293"/>
    <mergeCell ref="C1284:D1284"/>
    <mergeCell ref="Q1284:R1284"/>
    <mergeCell ref="C1285:D1285"/>
    <mergeCell ref="Q1285:R1285"/>
    <mergeCell ref="C1286:D1286"/>
    <mergeCell ref="Q1286:R1286"/>
    <mergeCell ref="C1287:D1287"/>
    <mergeCell ref="Q1287:R1287"/>
    <mergeCell ref="C1288:D1288"/>
    <mergeCell ref="Q1288:R1288"/>
    <mergeCell ref="C1299:D1299"/>
    <mergeCell ref="Q1299:R1299"/>
    <mergeCell ref="C1300:D1300"/>
    <mergeCell ref="Q1300:R1300"/>
    <mergeCell ref="A1301:B1302"/>
    <mergeCell ref="C1301:D1302"/>
    <mergeCell ref="F1301:F1302"/>
    <mergeCell ref="G1301:I1301"/>
    <mergeCell ref="J1301:L1301"/>
    <mergeCell ref="O1301:P1302"/>
    <mergeCell ref="Q1301:R1302"/>
    <mergeCell ref="C1294:D1294"/>
    <mergeCell ref="Q1294:R1294"/>
    <mergeCell ref="C1295:D1295"/>
    <mergeCell ref="Q1295:R1295"/>
    <mergeCell ref="C1296:D1296"/>
    <mergeCell ref="Q1296:R1296"/>
    <mergeCell ref="C1297:L1297"/>
    <mergeCell ref="Q1297:AC1297"/>
    <mergeCell ref="C1298:D1298"/>
    <mergeCell ref="Q1298:R1298"/>
    <mergeCell ref="C1307:D1307"/>
    <mergeCell ref="Q1307:R1307"/>
    <mergeCell ref="C1308:D1308"/>
    <mergeCell ref="Q1308:R1308"/>
    <mergeCell ref="C1309:D1309"/>
    <mergeCell ref="Q1309:R1309"/>
    <mergeCell ref="C1310:D1310"/>
    <mergeCell ref="Q1310:R1310"/>
    <mergeCell ref="C1311:D1311"/>
    <mergeCell ref="Q1311:R1311"/>
    <mergeCell ref="S1301:AC1301"/>
    <mergeCell ref="C1303:D1303"/>
    <mergeCell ref="Q1303:R1303"/>
    <mergeCell ref="C1304:D1304"/>
    <mergeCell ref="Q1304:R1304"/>
    <mergeCell ref="C1305:D1305"/>
    <mergeCell ref="Q1305:R1305"/>
    <mergeCell ref="C1306:D1306"/>
    <mergeCell ref="Q1306:R1306"/>
    <mergeCell ref="C1317:D1317"/>
    <mergeCell ref="Q1317:R1317"/>
    <mergeCell ref="A1318:L1318"/>
    <mergeCell ref="A1320:L1320"/>
    <mergeCell ref="N1320:P1320"/>
    <mergeCell ref="A1322:L1322"/>
    <mergeCell ref="A1324:L1324"/>
    <mergeCell ref="A1327:D1327"/>
    <mergeCell ref="H1327:L1327"/>
    <mergeCell ref="C1312:D1312"/>
    <mergeCell ref="Q1312:R1312"/>
    <mergeCell ref="C1313:D1313"/>
    <mergeCell ref="Q1313:R1313"/>
    <mergeCell ref="C1314:D1314"/>
    <mergeCell ref="Q1314:R1314"/>
    <mergeCell ref="C1315:D1315"/>
    <mergeCell ref="Q1315:R1315"/>
    <mergeCell ref="C1316:D1316"/>
    <mergeCell ref="Q1316:R1316"/>
    <mergeCell ref="S1344:AC1344"/>
    <mergeCell ref="C1346:L1346"/>
    <mergeCell ref="Q1346:AC1346"/>
    <mergeCell ref="A1335:C1335"/>
    <mergeCell ref="D1335:H1335"/>
    <mergeCell ref="I1335:L1335"/>
    <mergeCell ref="A1336:L1336"/>
    <mergeCell ref="A1337:L1337"/>
    <mergeCell ref="C1338:L1338"/>
    <mergeCell ref="C1339:L1339"/>
    <mergeCell ref="A1340:L1340"/>
    <mergeCell ref="A1342:L1342"/>
    <mergeCell ref="H1328:L1328"/>
    <mergeCell ref="A1330:L1330"/>
    <mergeCell ref="A1332:C1332"/>
    <mergeCell ref="D1332:F1332"/>
    <mergeCell ref="A1333:C1333"/>
    <mergeCell ref="D1333:H1333"/>
    <mergeCell ref="I1333:L1333"/>
    <mergeCell ref="A1334:C1334"/>
    <mergeCell ref="D1334:H1334"/>
    <mergeCell ref="I1334:L1334"/>
    <mergeCell ref="C1347:D1347"/>
    <mergeCell ref="Q1347:R1347"/>
    <mergeCell ref="C1348:D1348"/>
    <mergeCell ref="Q1348:R1348"/>
    <mergeCell ref="C1349:D1349"/>
    <mergeCell ref="Q1349:R1349"/>
    <mergeCell ref="C1350:D1350"/>
    <mergeCell ref="Q1350:R1350"/>
    <mergeCell ref="C1351:D1351"/>
    <mergeCell ref="Q1351:R1351"/>
    <mergeCell ref="A1344:B1345"/>
    <mergeCell ref="C1344:D1345"/>
    <mergeCell ref="F1344:F1345"/>
    <mergeCell ref="G1344:I1344"/>
    <mergeCell ref="J1344:L1344"/>
    <mergeCell ref="O1344:P1345"/>
    <mergeCell ref="Q1344:R1345"/>
    <mergeCell ref="C1357:D1357"/>
    <mergeCell ref="Q1357:R1357"/>
    <mergeCell ref="C1358:D1358"/>
    <mergeCell ref="Q1358:R1358"/>
    <mergeCell ref="C1359:D1359"/>
    <mergeCell ref="Q1359:R1359"/>
    <mergeCell ref="C1360:D1360"/>
    <mergeCell ref="Q1360:R1360"/>
    <mergeCell ref="C1361:D1361"/>
    <mergeCell ref="Q1361:R1361"/>
    <mergeCell ref="C1352:D1352"/>
    <mergeCell ref="Q1352:R1352"/>
    <mergeCell ref="C1353:D1353"/>
    <mergeCell ref="Q1353:R1353"/>
    <mergeCell ref="C1354:D1354"/>
    <mergeCell ref="Q1354:R1354"/>
    <mergeCell ref="C1355:D1355"/>
    <mergeCell ref="Q1355:R1355"/>
    <mergeCell ref="C1356:D1356"/>
    <mergeCell ref="Q1356:R1356"/>
    <mergeCell ref="C1367:L1367"/>
    <mergeCell ref="Q1367:AC1367"/>
    <mergeCell ref="C1368:D1368"/>
    <mergeCell ref="Q1368:R1368"/>
    <mergeCell ref="C1369:D1369"/>
    <mergeCell ref="Q1369:R1369"/>
    <mergeCell ref="C1370:D1370"/>
    <mergeCell ref="Q1370:R1370"/>
    <mergeCell ref="A1371:B1372"/>
    <mergeCell ref="C1371:D1372"/>
    <mergeCell ref="F1371:F1372"/>
    <mergeCell ref="G1371:I1371"/>
    <mergeCell ref="J1371:L1371"/>
    <mergeCell ref="O1371:P1372"/>
    <mergeCell ref="Q1371:R1372"/>
    <mergeCell ref="S1371:AC1371"/>
    <mergeCell ref="C1362:D1362"/>
    <mergeCell ref="Q1362:R1362"/>
    <mergeCell ref="C1363:D1363"/>
    <mergeCell ref="Q1363:R1363"/>
    <mergeCell ref="C1364:D1364"/>
    <mergeCell ref="Q1364:R1364"/>
    <mergeCell ref="C1365:D1365"/>
    <mergeCell ref="Q1365:R1365"/>
    <mergeCell ref="C1366:D1366"/>
    <mergeCell ref="Q1366:R1366"/>
    <mergeCell ref="C1378:D1378"/>
    <mergeCell ref="Q1378:R1378"/>
    <mergeCell ref="C1379:D1379"/>
    <mergeCell ref="Q1379:R1379"/>
    <mergeCell ref="C1380:D1380"/>
    <mergeCell ref="Q1380:R1380"/>
    <mergeCell ref="C1381:D1381"/>
    <mergeCell ref="Q1381:R1381"/>
    <mergeCell ref="C1382:D1382"/>
    <mergeCell ref="Q1382:R1382"/>
    <mergeCell ref="C1373:D1373"/>
    <mergeCell ref="Q1373:R1373"/>
    <mergeCell ref="C1374:D1374"/>
    <mergeCell ref="Q1374:R1374"/>
    <mergeCell ref="C1375:D1375"/>
    <mergeCell ref="Q1375:R1375"/>
    <mergeCell ref="C1376:D1376"/>
    <mergeCell ref="Q1376:R1376"/>
    <mergeCell ref="C1377:D1377"/>
    <mergeCell ref="Q1377:R1377"/>
    <mergeCell ref="A1388:L1388"/>
    <mergeCell ref="A1390:L1390"/>
    <mergeCell ref="N1390:P1390"/>
    <mergeCell ref="A1392:L1392"/>
    <mergeCell ref="A1394:L1394"/>
    <mergeCell ref="A1397:D1397"/>
    <mergeCell ref="H1397:L1397"/>
    <mergeCell ref="H1398:L1398"/>
    <mergeCell ref="A1400:L1400"/>
    <mergeCell ref="C1383:D1383"/>
    <mergeCell ref="Q1383:R1383"/>
    <mergeCell ref="C1384:D1384"/>
    <mergeCell ref="Q1384:R1384"/>
    <mergeCell ref="C1385:D1385"/>
    <mergeCell ref="Q1385:R1385"/>
    <mergeCell ref="C1386:D1386"/>
    <mergeCell ref="Q1386:R1386"/>
    <mergeCell ref="C1387:D1387"/>
    <mergeCell ref="Q1387:R1387"/>
    <mergeCell ref="A1406:L1406"/>
    <mergeCell ref="A1407:L1407"/>
    <mergeCell ref="C1408:L1408"/>
    <mergeCell ref="C1409:L1409"/>
    <mergeCell ref="A1410:L1410"/>
    <mergeCell ref="A1412:L1412"/>
    <mergeCell ref="A1414:B1415"/>
    <mergeCell ref="C1414:D1415"/>
    <mergeCell ref="F1414:F1415"/>
    <mergeCell ref="G1414:I1414"/>
    <mergeCell ref="J1414:L1414"/>
    <mergeCell ref="A1402:C1402"/>
    <mergeCell ref="D1402:F1402"/>
    <mergeCell ref="A1403:C1403"/>
    <mergeCell ref="D1403:H1403"/>
    <mergeCell ref="I1403:L1403"/>
    <mergeCell ref="A1404:C1404"/>
    <mergeCell ref="D1404:H1404"/>
    <mergeCell ref="I1404:L1404"/>
    <mergeCell ref="A1405:C1405"/>
    <mergeCell ref="D1405:H1405"/>
    <mergeCell ref="I1405:L1405"/>
    <mergeCell ref="C1419:D1419"/>
    <mergeCell ref="Q1419:R1419"/>
    <mergeCell ref="C1420:D1420"/>
    <mergeCell ref="Q1420:R1420"/>
    <mergeCell ref="C1421:D1421"/>
    <mergeCell ref="Q1421:R1421"/>
    <mergeCell ref="C1422:D1422"/>
    <mergeCell ref="Q1422:R1422"/>
    <mergeCell ref="C1423:D1423"/>
    <mergeCell ref="Q1423:R1423"/>
    <mergeCell ref="O1414:P1415"/>
    <mergeCell ref="Q1414:R1415"/>
    <mergeCell ref="S1414:AC1414"/>
    <mergeCell ref="C1416:L1416"/>
    <mergeCell ref="Q1416:AC1416"/>
    <mergeCell ref="C1417:D1417"/>
    <mergeCell ref="Q1417:R1417"/>
    <mergeCell ref="C1418:D1418"/>
    <mergeCell ref="Q1418:R1418"/>
    <mergeCell ref="C1429:D1429"/>
    <mergeCell ref="Q1429:R1429"/>
    <mergeCell ref="C1430:D1430"/>
    <mergeCell ref="Q1430:R1430"/>
    <mergeCell ref="C1431:D1431"/>
    <mergeCell ref="Q1431:R1431"/>
    <mergeCell ref="C1432:D1432"/>
    <mergeCell ref="Q1432:R1432"/>
    <mergeCell ref="C1433:D1433"/>
    <mergeCell ref="Q1433:R1433"/>
    <mergeCell ref="C1424:D1424"/>
    <mergeCell ref="Q1424:R1424"/>
    <mergeCell ref="C1425:D1425"/>
    <mergeCell ref="Q1425:R1425"/>
    <mergeCell ref="C1426:D1426"/>
    <mergeCell ref="Q1426:R1426"/>
    <mergeCell ref="C1427:D1427"/>
    <mergeCell ref="Q1427:R1427"/>
    <mergeCell ref="C1428:D1428"/>
    <mergeCell ref="Q1428:R1428"/>
    <mergeCell ref="C1439:D1439"/>
    <mergeCell ref="Q1439:R1439"/>
    <mergeCell ref="C1440:D1440"/>
    <mergeCell ref="Q1440:R1440"/>
    <mergeCell ref="A1441:B1442"/>
    <mergeCell ref="C1441:D1442"/>
    <mergeCell ref="F1441:F1442"/>
    <mergeCell ref="G1441:I1441"/>
    <mergeCell ref="J1441:L1441"/>
    <mergeCell ref="O1441:P1442"/>
    <mergeCell ref="Q1441:R1442"/>
    <mergeCell ref="C1434:D1434"/>
    <mergeCell ref="Q1434:R1434"/>
    <mergeCell ref="C1435:D1435"/>
    <mergeCell ref="Q1435:R1435"/>
    <mergeCell ref="C1436:D1436"/>
    <mergeCell ref="Q1436:R1436"/>
    <mergeCell ref="C1437:L1437"/>
    <mergeCell ref="Q1437:AC1437"/>
    <mergeCell ref="C1438:D1438"/>
    <mergeCell ref="Q1438:R1438"/>
    <mergeCell ref="C1447:D1447"/>
    <mergeCell ref="Q1447:R1447"/>
    <mergeCell ref="C1448:D1448"/>
    <mergeCell ref="Q1448:R1448"/>
    <mergeCell ref="C1449:D1449"/>
    <mergeCell ref="Q1449:R1449"/>
    <mergeCell ref="C1450:D1450"/>
    <mergeCell ref="Q1450:R1450"/>
    <mergeCell ref="C1451:D1451"/>
    <mergeCell ref="Q1451:R1451"/>
    <mergeCell ref="S1441:AC1441"/>
    <mergeCell ref="C1443:D1443"/>
    <mergeCell ref="Q1443:R1443"/>
    <mergeCell ref="C1444:D1444"/>
    <mergeCell ref="Q1444:R1444"/>
    <mergeCell ref="C1445:D1445"/>
    <mergeCell ref="Q1445:R1445"/>
    <mergeCell ref="C1446:D1446"/>
    <mergeCell ref="Q1446:R1446"/>
    <mergeCell ref="C1457:D1457"/>
    <mergeCell ref="Q1457:R1457"/>
    <mergeCell ref="A1458:L1458"/>
    <mergeCell ref="A1460:L1460"/>
    <mergeCell ref="N1460:P1460"/>
    <mergeCell ref="A1462:L1462"/>
    <mergeCell ref="A1464:L1464"/>
    <mergeCell ref="A1467:D1467"/>
    <mergeCell ref="H1467:L1467"/>
    <mergeCell ref="C1452:D1452"/>
    <mergeCell ref="Q1452:R1452"/>
    <mergeCell ref="C1453:D1453"/>
    <mergeCell ref="Q1453:R1453"/>
    <mergeCell ref="C1454:D1454"/>
    <mergeCell ref="Q1454:R1454"/>
    <mergeCell ref="C1455:D1455"/>
    <mergeCell ref="Q1455:R1455"/>
    <mergeCell ref="C1456:D1456"/>
    <mergeCell ref="Q1456:R1456"/>
    <mergeCell ref="S1484:AC1484"/>
    <mergeCell ref="C1486:L1486"/>
    <mergeCell ref="Q1486:AC1486"/>
    <mergeCell ref="A1475:C1475"/>
    <mergeCell ref="D1475:H1475"/>
    <mergeCell ref="I1475:L1475"/>
    <mergeCell ref="A1476:L1476"/>
    <mergeCell ref="A1477:L1477"/>
    <mergeCell ref="C1478:L1478"/>
    <mergeCell ref="C1479:L1479"/>
    <mergeCell ref="A1480:L1480"/>
    <mergeCell ref="A1482:L1482"/>
    <mergeCell ref="H1468:L1468"/>
    <mergeCell ref="A1470:L1470"/>
    <mergeCell ref="A1472:C1472"/>
    <mergeCell ref="D1472:F1472"/>
    <mergeCell ref="A1473:C1473"/>
    <mergeCell ref="D1473:H1473"/>
    <mergeCell ref="I1473:L1473"/>
    <mergeCell ref="A1474:C1474"/>
    <mergeCell ref="D1474:H1474"/>
    <mergeCell ref="I1474:L1474"/>
    <mergeCell ref="C1487:D1487"/>
    <mergeCell ref="Q1487:R1487"/>
    <mergeCell ref="C1488:D1488"/>
    <mergeCell ref="Q1488:R1488"/>
    <mergeCell ref="C1489:D1489"/>
    <mergeCell ref="Q1489:R1489"/>
    <mergeCell ref="C1490:D1490"/>
    <mergeCell ref="Q1490:R1490"/>
    <mergeCell ref="C1491:D1491"/>
    <mergeCell ref="Q1491:R1491"/>
    <mergeCell ref="A1484:B1485"/>
    <mergeCell ref="C1484:D1485"/>
    <mergeCell ref="F1484:F1485"/>
    <mergeCell ref="G1484:I1484"/>
    <mergeCell ref="J1484:L1484"/>
    <mergeCell ref="O1484:P1485"/>
    <mergeCell ref="Q1484:R1485"/>
    <mergeCell ref="C1497:D1497"/>
    <mergeCell ref="Q1497:R1497"/>
    <mergeCell ref="C1498:D1498"/>
    <mergeCell ref="Q1498:R1498"/>
    <mergeCell ref="C1499:D1499"/>
    <mergeCell ref="Q1499:R1499"/>
    <mergeCell ref="C1500:D1500"/>
    <mergeCell ref="Q1500:R1500"/>
    <mergeCell ref="C1501:D1501"/>
    <mergeCell ref="Q1501:R1501"/>
    <mergeCell ref="C1492:D1492"/>
    <mergeCell ref="Q1492:R1492"/>
    <mergeCell ref="C1493:D1493"/>
    <mergeCell ref="Q1493:R1493"/>
    <mergeCell ref="C1494:D1494"/>
    <mergeCell ref="Q1494:R1494"/>
    <mergeCell ref="C1495:D1495"/>
    <mergeCell ref="Q1495:R1495"/>
    <mergeCell ref="C1496:D1496"/>
    <mergeCell ref="Q1496:R1496"/>
    <mergeCell ref="C1507:L1507"/>
    <mergeCell ref="Q1507:AC1507"/>
    <mergeCell ref="C1508:D1508"/>
    <mergeCell ref="Q1508:R1508"/>
    <mergeCell ref="C1509:D1509"/>
    <mergeCell ref="Q1509:R1509"/>
    <mergeCell ref="C1510:D1510"/>
    <mergeCell ref="Q1510:R1510"/>
    <mergeCell ref="A1511:B1512"/>
    <mergeCell ref="C1511:D1512"/>
    <mergeCell ref="F1511:F1512"/>
    <mergeCell ref="G1511:I1511"/>
    <mergeCell ref="J1511:L1511"/>
    <mergeCell ref="O1511:P1512"/>
    <mergeCell ref="Q1511:R1512"/>
    <mergeCell ref="S1511:AC1511"/>
    <mergeCell ref="C1502:D1502"/>
    <mergeCell ref="Q1502:R1502"/>
    <mergeCell ref="C1503:D1503"/>
    <mergeCell ref="Q1503:R1503"/>
    <mergeCell ref="C1504:D1504"/>
    <mergeCell ref="Q1504:R1504"/>
    <mergeCell ref="C1505:D1505"/>
    <mergeCell ref="Q1505:R1505"/>
    <mergeCell ref="C1506:D1506"/>
    <mergeCell ref="Q1506:R1506"/>
    <mergeCell ref="C1518:D1518"/>
    <mergeCell ref="Q1518:R1518"/>
    <mergeCell ref="C1519:D1519"/>
    <mergeCell ref="Q1519:R1519"/>
    <mergeCell ref="C1520:D1520"/>
    <mergeCell ref="Q1520:R1520"/>
    <mergeCell ref="C1521:D1521"/>
    <mergeCell ref="Q1521:R1521"/>
    <mergeCell ref="C1522:D1522"/>
    <mergeCell ref="Q1522:R1522"/>
    <mergeCell ref="C1513:D1513"/>
    <mergeCell ref="Q1513:R1513"/>
    <mergeCell ref="C1514:D1514"/>
    <mergeCell ref="Q1514:R1514"/>
    <mergeCell ref="C1515:D1515"/>
    <mergeCell ref="Q1515:R1515"/>
    <mergeCell ref="C1516:D1516"/>
    <mergeCell ref="Q1516:R1516"/>
    <mergeCell ref="C1517:D1517"/>
    <mergeCell ref="Q1517:R1517"/>
    <mergeCell ref="A1528:L1528"/>
    <mergeCell ref="A1530:L1530"/>
    <mergeCell ref="N1530:P1530"/>
    <mergeCell ref="A1532:L1532"/>
    <mergeCell ref="A1534:L1534"/>
    <mergeCell ref="A1537:D1537"/>
    <mergeCell ref="H1537:L1537"/>
    <mergeCell ref="H1538:L1538"/>
    <mergeCell ref="A1540:L1540"/>
    <mergeCell ref="C1523:D1523"/>
    <mergeCell ref="Q1523:R1523"/>
    <mergeCell ref="C1524:D1524"/>
    <mergeCell ref="Q1524:R1524"/>
    <mergeCell ref="C1525:D1525"/>
    <mergeCell ref="Q1525:R1525"/>
    <mergeCell ref="C1526:D1526"/>
    <mergeCell ref="Q1526:R1526"/>
    <mergeCell ref="C1527:D1527"/>
    <mergeCell ref="Q1527:R1527"/>
    <mergeCell ref="A1546:L1546"/>
    <mergeCell ref="A1547:L1547"/>
    <mergeCell ref="C1548:L1548"/>
    <mergeCell ref="C1549:L1549"/>
    <mergeCell ref="A1550:L1550"/>
    <mergeCell ref="A1552:L1552"/>
    <mergeCell ref="A1554:B1555"/>
    <mergeCell ref="C1554:D1555"/>
    <mergeCell ref="F1554:F1555"/>
    <mergeCell ref="G1554:I1554"/>
    <mergeCell ref="J1554:L1554"/>
    <mergeCell ref="A1542:C1542"/>
    <mergeCell ref="D1542:F1542"/>
    <mergeCell ref="A1543:C1543"/>
    <mergeCell ref="D1543:H1543"/>
    <mergeCell ref="I1543:L1543"/>
    <mergeCell ref="A1544:C1544"/>
    <mergeCell ref="D1544:H1544"/>
    <mergeCell ref="I1544:L1544"/>
    <mergeCell ref="A1545:C1545"/>
    <mergeCell ref="D1545:H1545"/>
    <mergeCell ref="I1545:L1545"/>
    <mergeCell ref="C1559:D1559"/>
    <mergeCell ref="Q1559:R1559"/>
    <mergeCell ref="C1560:D1560"/>
    <mergeCell ref="Q1560:R1560"/>
    <mergeCell ref="C1561:D1561"/>
    <mergeCell ref="Q1561:R1561"/>
    <mergeCell ref="C1562:D1562"/>
    <mergeCell ref="Q1562:R1562"/>
    <mergeCell ref="C1563:D1563"/>
    <mergeCell ref="Q1563:R1563"/>
    <mergeCell ref="O1554:P1555"/>
    <mergeCell ref="Q1554:R1555"/>
    <mergeCell ref="S1554:AC1554"/>
    <mergeCell ref="C1556:L1556"/>
    <mergeCell ref="Q1556:AC1556"/>
    <mergeCell ref="C1557:D1557"/>
    <mergeCell ref="Q1557:R1557"/>
    <mergeCell ref="C1558:D1558"/>
    <mergeCell ref="Q1558:R1558"/>
    <mergeCell ref="C1569:D1569"/>
    <mergeCell ref="Q1569:R1569"/>
    <mergeCell ref="C1570:D1570"/>
    <mergeCell ref="Q1570:R1570"/>
    <mergeCell ref="C1571:D1571"/>
    <mergeCell ref="Q1571:R1571"/>
    <mergeCell ref="C1572:D1572"/>
    <mergeCell ref="Q1572:R1572"/>
    <mergeCell ref="C1573:D1573"/>
    <mergeCell ref="Q1573:R1573"/>
    <mergeCell ref="C1564:D1564"/>
    <mergeCell ref="Q1564:R1564"/>
    <mergeCell ref="C1565:D1565"/>
    <mergeCell ref="Q1565:R1565"/>
    <mergeCell ref="C1566:D1566"/>
    <mergeCell ref="Q1566:R1566"/>
    <mergeCell ref="C1567:D1567"/>
    <mergeCell ref="Q1567:R1567"/>
    <mergeCell ref="C1568:D1568"/>
    <mergeCell ref="Q1568:R1568"/>
    <mergeCell ref="C1579:D1579"/>
    <mergeCell ref="Q1579:R1579"/>
    <mergeCell ref="C1580:D1580"/>
    <mergeCell ref="Q1580:R1580"/>
    <mergeCell ref="A1581:B1582"/>
    <mergeCell ref="C1581:D1582"/>
    <mergeCell ref="F1581:F1582"/>
    <mergeCell ref="G1581:I1581"/>
    <mergeCell ref="J1581:L1581"/>
    <mergeCell ref="O1581:P1582"/>
    <mergeCell ref="Q1581:R1582"/>
    <mergeCell ref="C1574:D1574"/>
    <mergeCell ref="Q1574:R1574"/>
    <mergeCell ref="C1575:D1575"/>
    <mergeCell ref="Q1575:R1575"/>
    <mergeCell ref="C1576:D1576"/>
    <mergeCell ref="Q1576:R1576"/>
    <mergeCell ref="C1577:L1577"/>
    <mergeCell ref="Q1577:AC1577"/>
    <mergeCell ref="C1578:D1578"/>
    <mergeCell ref="Q1578:R1578"/>
    <mergeCell ref="C1587:D1587"/>
    <mergeCell ref="Q1587:R1587"/>
    <mergeCell ref="C1588:D1588"/>
    <mergeCell ref="Q1588:R1588"/>
    <mergeCell ref="C1589:D1589"/>
    <mergeCell ref="Q1589:R1589"/>
    <mergeCell ref="C1590:D1590"/>
    <mergeCell ref="Q1590:R1590"/>
    <mergeCell ref="C1591:D1591"/>
    <mergeCell ref="Q1591:R1591"/>
    <mergeCell ref="S1581:AC1581"/>
    <mergeCell ref="C1583:D1583"/>
    <mergeCell ref="Q1583:R1583"/>
    <mergeCell ref="C1584:D1584"/>
    <mergeCell ref="Q1584:R1584"/>
    <mergeCell ref="C1585:D1585"/>
    <mergeCell ref="Q1585:R1585"/>
    <mergeCell ref="C1586:D1586"/>
    <mergeCell ref="Q1586:R1586"/>
    <mergeCell ref="C1597:D1597"/>
    <mergeCell ref="Q1597:R1597"/>
    <mergeCell ref="A1598:L1598"/>
    <mergeCell ref="A1600:L1600"/>
    <mergeCell ref="N1600:P1600"/>
    <mergeCell ref="A1602:L1602"/>
    <mergeCell ref="A1604:L1604"/>
    <mergeCell ref="A1607:D1607"/>
    <mergeCell ref="H1607:L1607"/>
    <mergeCell ref="C1592:D1592"/>
    <mergeCell ref="Q1592:R1592"/>
    <mergeCell ref="C1593:D1593"/>
    <mergeCell ref="Q1593:R1593"/>
    <mergeCell ref="C1594:D1594"/>
    <mergeCell ref="Q1594:R1594"/>
    <mergeCell ref="C1595:D1595"/>
    <mergeCell ref="Q1595:R1595"/>
    <mergeCell ref="C1596:D1596"/>
    <mergeCell ref="Q1596:R1596"/>
    <mergeCell ref="S1624:AC1624"/>
    <mergeCell ref="C1626:L1626"/>
    <mergeCell ref="Q1626:AC1626"/>
    <mergeCell ref="A1615:C1615"/>
    <mergeCell ref="D1615:H1615"/>
    <mergeCell ref="I1615:L1615"/>
    <mergeCell ref="A1616:L1616"/>
    <mergeCell ref="A1617:L1617"/>
    <mergeCell ref="C1618:L1618"/>
    <mergeCell ref="C1619:L1619"/>
    <mergeCell ref="A1620:L1620"/>
    <mergeCell ref="A1622:L1622"/>
    <mergeCell ref="H1608:L1608"/>
    <mergeCell ref="A1610:L1610"/>
    <mergeCell ref="A1612:C1612"/>
    <mergeCell ref="D1612:F1612"/>
    <mergeCell ref="A1613:C1613"/>
    <mergeCell ref="D1613:H1613"/>
    <mergeCell ref="I1613:L1613"/>
    <mergeCell ref="A1614:C1614"/>
    <mergeCell ref="D1614:H1614"/>
    <mergeCell ref="I1614:L1614"/>
    <mergeCell ref="C1627:D1627"/>
    <mergeCell ref="Q1627:R1627"/>
    <mergeCell ref="C1628:D1628"/>
    <mergeCell ref="Q1628:R1628"/>
    <mergeCell ref="C1629:D1629"/>
    <mergeCell ref="Q1629:R1629"/>
    <mergeCell ref="C1630:D1630"/>
    <mergeCell ref="Q1630:R1630"/>
    <mergeCell ref="C1631:D1631"/>
    <mergeCell ref="Q1631:R1631"/>
    <mergeCell ref="A1624:B1625"/>
    <mergeCell ref="C1624:D1625"/>
    <mergeCell ref="F1624:F1625"/>
    <mergeCell ref="G1624:I1624"/>
    <mergeCell ref="J1624:L1624"/>
    <mergeCell ref="O1624:P1625"/>
    <mergeCell ref="Q1624:R1625"/>
    <mergeCell ref="C1637:D1637"/>
    <mergeCell ref="Q1637:R1637"/>
    <mergeCell ref="C1638:D1638"/>
    <mergeCell ref="Q1638:R1638"/>
    <mergeCell ref="C1639:D1639"/>
    <mergeCell ref="Q1639:R1639"/>
    <mergeCell ref="C1640:D1640"/>
    <mergeCell ref="Q1640:R1640"/>
    <mergeCell ref="C1641:D1641"/>
    <mergeCell ref="Q1641:R1641"/>
    <mergeCell ref="C1632:D1632"/>
    <mergeCell ref="Q1632:R1632"/>
    <mergeCell ref="C1633:D1633"/>
    <mergeCell ref="Q1633:R1633"/>
    <mergeCell ref="C1634:D1634"/>
    <mergeCell ref="Q1634:R1634"/>
    <mergeCell ref="C1635:D1635"/>
    <mergeCell ref="Q1635:R1635"/>
    <mergeCell ref="C1636:D1636"/>
    <mergeCell ref="Q1636:R1636"/>
    <mergeCell ref="C1647:L1647"/>
    <mergeCell ref="Q1647:AC1647"/>
    <mergeCell ref="C1648:D1648"/>
    <mergeCell ref="Q1648:R1648"/>
    <mergeCell ref="C1649:D1649"/>
    <mergeCell ref="Q1649:R1649"/>
    <mergeCell ref="C1650:D1650"/>
    <mergeCell ref="Q1650:R1650"/>
    <mergeCell ref="A1651:B1652"/>
    <mergeCell ref="C1651:D1652"/>
    <mergeCell ref="F1651:F1652"/>
    <mergeCell ref="G1651:I1651"/>
    <mergeCell ref="J1651:L1651"/>
    <mergeCell ref="O1651:P1652"/>
    <mergeCell ref="Q1651:R1652"/>
    <mergeCell ref="S1651:AC1651"/>
    <mergeCell ref="C1642:D1642"/>
    <mergeCell ref="Q1642:R1642"/>
    <mergeCell ref="C1643:D1643"/>
    <mergeCell ref="Q1643:R1643"/>
    <mergeCell ref="C1644:D1644"/>
    <mergeCell ref="Q1644:R1644"/>
    <mergeCell ref="C1645:D1645"/>
    <mergeCell ref="Q1645:R1645"/>
    <mergeCell ref="C1646:D1646"/>
    <mergeCell ref="Q1646:R1646"/>
    <mergeCell ref="C1658:D1658"/>
    <mergeCell ref="Q1658:R1658"/>
    <mergeCell ref="C1659:D1659"/>
    <mergeCell ref="Q1659:R1659"/>
    <mergeCell ref="C1660:D1660"/>
    <mergeCell ref="Q1660:R1660"/>
    <mergeCell ref="C1661:D1661"/>
    <mergeCell ref="Q1661:R1661"/>
    <mergeCell ref="C1662:D1662"/>
    <mergeCell ref="Q1662:R1662"/>
    <mergeCell ref="C1653:D1653"/>
    <mergeCell ref="Q1653:R1653"/>
    <mergeCell ref="C1654:D1654"/>
    <mergeCell ref="Q1654:R1654"/>
    <mergeCell ref="C1655:D1655"/>
    <mergeCell ref="Q1655:R1655"/>
    <mergeCell ref="C1656:D1656"/>
    <mergeCell ref="Q1656:R1656"/>
    <mergeCell ref="C1657:D1657"/>
    <mergeCell ref="Q1657:R1657"/>
    <mergeCell ref="A1668:L1668"/>
    <mergeCell ref="A1670:L1670"/>
    <mergeCell ref="N1670:P1670"/>
    <mergeCell ref="A1672:L1672"/>
    <mergeCell ref="A1674:L1674"/>
    <mergeCell ref="A1677:D1677"/>
    <mergeCell ref="H1677:L1677"/>
    <mergeCell ref="H1678:L1678"/>
    <mergeCell ref="A1680:L1680"/>
    <mergeCell ref="C1663:D1663"/>
    <mergeCell ref="Q1663:R1663"/>
    <mergeCell ref="C1664:D1664"/>
    <mergeCell ref="Q1664:R1664"/>
    <mergeCell ref="C1665:D1665"/>
    <mergeCell ref="Q1665:R1665"/>
    <mergeCell ref="C1666:D1666"/>
    <mergeCell ref="Q1666:R1666"/>
    <mergeCell ref="C1667:D1667"/>
    <mergeCell ref="Q1667:R1667"/>
    <mergeCell ref="A1686:L1686"/>
    <mergeCell ref="A1687:L1687"/>
    <mergeCell ref="C1688:L1688"/>
    <mergeCell ref="C1689:L1689"/>
    <mergeCell ref="A1690:L1690"/>
    <mergeCell ref="A1692:L1692"/>
    <mergeCell ref="A1694:B1695"/>
    <mergeCell ref="C1694:D1695"/>
    <mergeCell ref="F1694:F1695"/>
    <mergeCell ref="G1694:I1694"/>
    <mergeCell ref="J1694:L1694"/>
    <mergeCell ref="A1682:C1682"/>
    <mergeCell ref="D1682:F1682"/>
    <mergeCell ref="A1683:C1683"/>
    <mergeCell ref="D1683:H1683"/>
    <mergeCell ref="I1683:L1683"/>
    <mergeCell ref="A1684:C1684"/>
    <mergeCell ref="D1684:H1684"/>
    <mergeCell ref="I1684:L1684"/>
    <mergeCell ref="A1685:C1685"/>
    <mergeCell ref="D1685:H1685"/>
    <mergeCell ref="I1685:L1685"/>
    <mergeCell ref="C1699:D1699"/>
    <mergeCell ref="Q1699:R1699"/>
    <mergeCell ref="C1700:D1700"/>
    <mergeCell ref="Q1700:R1700"/>
    <mergeCell ref="C1701:D1701"/>
    <mergeCell ref="Q1701:R1701"/>
    <mergeCell ref="C1702:D1702"/>
    <mergeCell ref="Q1702:R1702"/>
    <mergeCell ref="C1703:D1703"/>
    <mergeCell ref="Q1703:R1703"/>
    <mergeCell ref="O1694:P1695"/>
    <mergeCell ref="Q1694:R1695"/>
    <mergeCell ref="S1694:AC1694"/>
    <mergeCell ref="C1696:L1696"/>
    <mergeCell ref="Q1696:AC1696"/>
    <mergeCell ref="C1697:D1697"/>
    <mergeCell ref="Q1697:R1697"/>
    <mergeCell ref="C1698:D1698"/>
    <mergeCell ref="Q1698:R1698"/>
    <mergeCell ref="C1709:D1709"/>
    <mergeCell ref="Q1709:R1709"/>
    <mergeCell ref="C1710:D1710"/>
    <mergeCell ref="Q1710:R1710"/>
    <mergeCell ref="C1711:D1711"/>
    <mergeCell ref="Q1711:R1711"/>
    <mergeCell ref="C1712:D1712"/>
    <mergeCell ref="Q1712:R1712"/>
    <mergeCell ref="C1713:D1713"/>
    <mergeCell ref="Q1713:R1713"/>
    <mergeCell ref="C1704:D1704"/>
    <mergeCell ref="Q1704:R1704"/>
    <mergeCell ref="C1705:D1705"/>
    <mergeCell ref="Q1705:R1705"/>
    <mergeCell ref="C1706:D1706"/>
    <mergeCell ref="Q1706:R1706"/>
    <mergeCell ref="C1707:D1707"/>
    <mergeCell ref="Q1707:R1707"/>
    <mergeCell ref="C1708:D1708"/>
    <mergeCell ref="Q1708:R1708"/>
    <mergeCell ref="C1719:D1719"/>
    <mergeCell ref="Q1719:R1719"/>
    <mergeCell ref="C1720:D1720"/>
    <mergeCell ref="Q1720:R1720"/>
    <mergeCell ref="A1721:B1722"/>
    <mergeCell ref="C1721:D1722"/>
    <mergeCell ref="F1721:F1722"/>
    <mergeCell ref="G1721:I1721"/>
    <mergeCell ref="J1721:L1721"/>
    <mergeCell ref="O1721:P1722"/>
    <mergeCell ref="Q1721:R1722"/>
    <mergeCell ref="C1714:D1714"/>
    <mergeCell ref="Q1714:R1714"/>
    <mergeCell ref="C1715:D1715"/>
    <mergeCell ref="Q1715:R1715"/>
    <mergeCell ref="C1716:D1716"/>
    <mergeCell ref="Q1716:R1716"/>
    <mergeCell ref="C1717:L1717"/>
    <mergeCell ref="Q1717:AC1717"/>
    <mergeCell ref="C1718:D1718"/>
    <mergeCell ref="Q1718:R1718"/>
    <mergeCell ref="C1727:D1727"/>
    <mergeCell ref="Q1727:R1727"/>
    <mergeCell ref="C1728:D1728"/>
    <mergeCell ref="Q1728:R1728"/>
    <mergeCell ref="C1729:D1729"/>
    <mergeCell ref="Q1729:R1729"/>
    <mergeCell ref="C1730:D1730"/>
    <mergeCell ref="Q1730:R1730"/>
    <mergeCell ref="C1731:D1731"/>
    <mergeCell ref="Q1731:R1731"/>
    <mergeCell ref="S1721:AC1721"/>
    <mergeCell ref="C1723:D1723"/>
    <mergeCell ref="Q1723:R1723"/>
    <mergeCell ref="C1724:D1724"/>
    <mergeCell ref="Q1724:R1724"/>
    <mergeCell ref="C1725:D1725"/>
    <mergeCell ref="Q1725:R1725"/>
    <mergeCell ref="C1726:D1726"/>
    <mergeCell ref="Q1726:R1726"/>
    <mergeCell ref="C1737:D1737"/>
    <mergeCell ref="Q1737:R1737"/>
    <mergeCell ref="A1738:L1738"/>
    <mergeCell ref="A1740:L1740"/>
    <mergeCell ref="N1740:P1740"/>
    <mergeCell ref="A1742:L1742"/>
    <mergeCell ref="A1744:L1744"/>
    <mergeCell ref="A1747:D1747"/>
    <mergeCell ref="H1747:L1747"/>
    <mergeCell ref="C1732:D1732"/>
    <mergeCell ref="Q1732:R1732"/>
    <mergeCell ref="C1733:D1733"/>
    <mergeCell ref="Q1733:R1733"/>
    <mergeCell ref="C1734:D1734"/>
    <mergeCell ref="Q1734:R1734"/>
    <mergeCell ref="C1735:D1735"/>
    <mergeCell ref="Q1735:R1735"/>
    <mergeCell ref="C1736:D1736"/>
    <mergeCell ref="Q1736:R1736"/>
    <mergeCell ref="S1764:AC1764"/>
    <mergeCell ref="C1766:L1766"/>
    <mergeCell ref="Q1766:AC1766"/>
    <mergeCell ref="A1755:C1755"/>
    <mergeCell ref="D1755:H1755"/>
    <mergeCell ref="I1755:L1755"/>
    <mergeCell ref="A1756:L1756"/>
    <mergeCell ref="A1757:L1757"/>
    <mergeCell ref="C1758:L1758"/>
    <mergeCell ref="C1759:L1759"/>
    <mergeCell ref="A1760:L1760"/>
    <mergeCell ref="A1762:L1762"/>
    <mergeCell ref="H1748:L1748"/>
    <mergeCell ref="A1750:L1750"/>
    <mergeCell ref="A1752:C1752"/>
    <mergeCell ref="D1752:F1752"/>
    <mergeCell ref="A1753:C1753"/>
    <mergeCell ref="D1753:H1753"/>
    <mergeCell ref="I1753:L1753"/>
    <mergeCell ref="A1754:C1754"/>
    <mergeCell ref="D1754:H1754"/>
    <mergeCell ref="I1754:L1754"/>
    <mergeCell ref="C1767:D1767"/>
    <mergeCell ref="Q1767:R1767"/>
    <mergeCell ref="C1768:D1768"/>
    <mergeCell ref="Q1768:R1768"/>
    <mergeCell ref="C1769:D1769"/>
    <mergeCell ref="Q1769:R1769"/>
    <mergeCell ref="C1770:D1770"/>
    <mergeCell ref="Q1770:R1770"/>
    <mergeCell ref="C1771:D1771"/>
    <mergeCell ref="Q1771:R1771"/>
    <mergeCell ref="A1764:B1765"/>
    <mergeCell ref="C1764:D1765"/>
    <mergeCell ref="F1764:F1765"/>
    <mergeCell ref="G1764:I1764"/>
    <mergeCell ref="J1764:L1764"/>
    <mergeCell ref="O1764:P1765"/>
    <mergeCell ref="Q1764:R1765"/>
    <mergeCell ref="C1777:D1777"/>
    <mergeCell ref="Q1777:R1777"/>
    <mergeCell ref="C1778:D1778"/>
    <mergeCell ref="Q1778:R1778"/>
    <mergeCell ref="C1779:D1779"/>
    <mergeCell ref="Q1779:R1779"/>
    <mergeCell ref="C1780:D1780"/>
    <mergeCell ref="Q1780:R1780"/>
    <mergeCell ref="C1781:D1781"/>
    <mergeCell ref="Q1781:R1781"/>
    <mergeCell ref="C1772:D1772"/>
    <mergeCell ref="Q1772:R1772"/>
    <mergeCell ref="C1773:D1773"/>
    <mergeCell ref="Q1773:R1773"/>
    <mergeCell ref="C1774:D1774"/>
    <mergeCell ref="Q1774:R1774"/>
    <mergeCell ref="C1775:D1775"/>
    <mergeCell ref="Q1775:R1775"/>
    <mergeCell ref="C1776:D1776"/>
    <mergeCell ref="Q1776:R1776"/>
    <mergeCell ref="C1787:L1787"/>
    <mergeCell ref="Q1787:AC1787"/>
    <mergeCell ref="C1788:D1788"/>
    <mergeCell ref="Q1788:R1788"/>
    <mergeCell ref="C1789:D1789"/>
    <mergeCell ref="Q1789:R1789"/>
    <mergeCell ref="C1790:D1790"/>
    <mergeCell ref="Q1790:R1790"/>
    <mergeCell ref="A1791:B1792"/>
    <mergeCell ref="C1791:D1792"/>
    <mergeCell ref="F1791:F1792"/>
    <mergeCell ref="G1791:I1791"/>
    <mergeCell ref="J1791:L1791"/>
    <mergeCell ref="O1791:P1792"/>
    <mergeCell ref="Q1791:R1792"/>
    <mergeCell ref="S1791:AC1791"/>
    <mergeCell ref="C1782:D1782"/>
    <mergeCell ref="Q1782:R1782"/>
    <mergeCell ref="C1783:D1783"/>
    <mergeCell ref="Q1783:R1783"/>
    <mergeCell ref="C1784:D1784"/>
    <mergeCell ref="Q1784:R1784"/>
    <mergeCell ref="C1785:D1785"/>
    <mergeCell ref="Q1785:R1785"/>
    <mergeCell ref="C1786:D1786"/>
    <mergeCell ref="Q1786:R1786"/>
    <mergeCell ref="C1798:D1798"/>
    <mergeCell ref="Q1798:R1798"/>
    <mergeCell ref="C1799:D1799"/>
    <mergeCell ref="Q1799:R1799"/>
    <mergeCell ref="C1800:D1800"/>
    <mergeCell ref="Q1800:R1800"/>
    <mergeCell ref="C1801:D1801"/>
    <mergeCell ref="Q1801:R1801"/>
    <mergeCell ref="C1802:D1802"/>
    <mergeCell ref="Q1802:R1802"/>
    <mergeCell ref="C1793:D1793"/>
    <mergeCell ref="Q1793:R1793"/>
    <mergeCell ref="C1794:D1794"/>
    <mergeCell ref="Q1794:R1794"/>
    <mergeCell ref="C1795:D1795"/>
    <mergeCell ref="Q1795:R1795"/>
    <mergeCell ref="C1796:D1796"/>
    <mergeCell ref="Q1796:R1796"/>
    <mergeCell ref="C1797:D1797"/>
    <mergeCell ref="Q1797:R1797"/>
    <mergeCell ref="A1808:L1808"/>
    <mergeCell ref="A1810:L1810"/>
    <mergeCell ref="N1810:P1810"/>
    <mergeCell ref="A1812:L1812"/>
    <mergeCell ref="A1814:L1814"/>
    <mergeCell ref="A1817:D1817"/>
    <mergeCell ref="H1817:L1817"/>
    <mergeCell ref="H1818:L1818"/>
    <mergeCell ref="A1820:L1820"/>
    <mergeCell ref="C1803:D1803"/>
    <mergeCell ref="Q1803:R1803"/>
    <mergeCell ref="C1804:D1804"/>
    <mergeCell ref="Q1804:R1804"/>
    <mergeCell ref="C1805:D1805"/>
    <mergeCell ref="Q1805:R1805"/>
    <mergeCell ref="C1806:D1806"/>
    <mergeCell ref="Q1806:R1806"/>
    <mergeCell ref="C1807:D1807"/>
    <mergeCell ref="Q1807:R1807"/>
    <mergeCell ref="A1826:L1826"/>
    <mergeCell ref="A1827:L1827"/>
    <mergeCell ref="C1828:L1828"/>
    <mergeCell ref="C1829:L1829"/>
    <mergeCell ref="A1830:L1830"/>
    <mergeCell ref="A1832:L1832"/>
    <mergeCell ref="A1834:B1835"/>
    <mergeCell ref="C1834:D1835"/>
    <mergeCell ref="F1834:F1835"/>
    <mergeCell ref="G1834:I1834"/>
    <mergeCell ref="J1834:L1834"/>
    <mergeCell ref="A1822:C1822"/>
    <mergeCell ref="D1822:F1822"/>
    <mergeCell ref="A1823:C1823"/>
    <mergeCell ref="D1823:H1823"/>
    <mergeCell ref="I1823:L1823"/>
    <mergeCell ref="A1824:C1824"/>
    <mergeCell ref="D1824:H1824"/>
    <mergeCell ref="I1824:L1824"/>
    <mergeCell ref="A1825:C1825"/>
    <mergeCell ref="D1825:H1825"/>
    <mergeCell ref="I1825:L1825"/>
    <mergeCell ref="C1839:D1839"/>
    <mergeCell ref="Q1839:R1839"/>
    <mergeCell ref="C1840:D1840"/>
    <mergeCell ref="Q1840:R1840"/>
    <mergeCell ref="C1841:D1841"/>
    <mergeCell ref="Q1841:R1841"/>
    <mergeCell ref="C1842:D1842"/>
    <mergeCell ref="Q1842:R1842"/>
    <mergeCell ref="C1843:D1843"/>
    <mergeCell ref="Q1843:R1843"/>
    <mergeCell ref="O1834:P1835"/>
    <mergeCell ref="Q1834:R1835"/>
    <mergeCell ref="S1834:AC1834"/>
    <mergeCell ref="C1836:L1836"/>
    <mergeCell ref="Q1836:AC1836"/>
    <mergeCell ref="C1837:D1837"/>
    <mergeCell ref="Q1837:R1837"/>
    <mergeCell ref="C1838:D1838"/>
    <mergeCell ref="Q1838:R1838"/>
    <mergeCell ref="C1849:D1849"/>
    <mergeCell ref="Q1849:R1849"/>
    <mergeCell ref="C1850:D1850"/>
    <mergeCell ref="Q1850:R1850"/>
    <mergeCell ref="C1851:D1851"/>
    <mergeCell ref="Q1851:R1851"/>
    <mergeCell ref="C1852:D1852"/>
    <mergeCell ref="Q1852:R1852"/>
    <mergeCell ref="C1853:D1853"/>
    <mergeCell ref="Q1853:R1853"/>
    <mergeCell ref="C1844:D1844"/>
    <mergeCell ref="Q1844:R1844"/>
    <mergeCell ref="C1845:D1845"/>
    <mergeCell ref="Q1845:R1845"/>
    <mergeCell ref="C1846:D1846"/>
    <mergeCell ref="Q1846:R1846"/>
    <mergeCell ref="C1847:D1847"/>
    <mergeCell ref="Q1847:R1847"/>
    <mergeCell ref="C1848:D1848"/>
    <mergeCell ref="Q1848:R1848"/>
    <mergeCell ref="C1859:D1859"/>
    <mergeCell ref="Q1859:R1859"/>
    <mergeCell ref="C1860:D1860"/>
    <mergeCell ref="Q1860:R1860"/>
    <mergeCell ref="A1861:B1862"/>
    <mergeCell ref="C1861:D1862"/>
    <mergeCell ref="F1861:F1862"/>
    <mergeCell ref="G1861:I1861"/>
    <mergeCell ref="J1861:L1861"/>
    <mergeCell ref="O1861:P1862"/>
    <mergeCell ref="Q1861:R1862"/>
    <mergeCell ref="C1854:D1854"/>
    <mergeCell ref="Q1854:R1854"/>
    <mergeCell ref="C1855:D1855"/>
    <mergeCell ref="Q1855:R1855"/>
    <mergeCell ref="C1856:D1856"/>
    <mergeCell ref="Q1856:R1856"/>
    <mergeCell ref="C1857:L1857"/>
    <mergeCell ref="Q1857:AC1857"/>
    <mergeCell ref="C1858:D1858"/>
    <mergeCell ref="Q1858:R1858"/>
    <mergeCell ref="C1867:D1867"/>
    <mergeCell ref="Q1867:R1867"/>
    <mergeCell ref="C1868:D1868"/>
    <mergeCell ref="Q1868:R1868"/>
    <mergeCell ref="C1869:D1869"/>
    <mergeCell ref="Q1869:R1869"/>
    <mergeCell ref="C1870:D1870"/>
    <mergeCell ref="Q1870:R1870"/>
    <mergeCell ref="C1871:D1871"/>
    <mergeCell ref="Q1871:R1871"/>
    <mergeCell ref="S1861:AC1861"/>
    <mergeCell ref="C1863:D1863"/>
    <mergeCell ref="Q1863:R1863"/>
    <mergeCell ref="C1864:D1864"/>
    <mergeCell ref="Q1864:R1864"/>
    <mergeCell ref="C1865:D1865"/>
    <mergeCell ref="Q1865:R1865"/>
    <mergeCell ref="C1866:D1866"/>
    <mergeCell ref="Q1866:R1866"/>
    <mergeCell ref="C1877:D1877"/>
    <mergeCell ref="Q1877:R1877"/>
    <mergeCell ref="A1878:L1878"/>
    <mergeCell ref="A1880:L1880"/>
    <mergeCell ref="N1880:P1880"/>
    <mergeCell ref="A1882:L1882"/>
    <mergeCell ref="A1884:L1884"/>
    <mergeCell ref="A1887:D1887"/>
    <mergeCell ref="H1887:L1887"/>
    <mergeCell ref="C1872:D1872"/>
    <mergeCell ref="Q1872:R1872"/>
    <mergeCell ref="C1873:D1873"/>
    <mergeCell ref="Q1873:R1873"/>
    <mergeCell ref="C1874:D1874"/>
    <mergeCell ref="Q1874:R1874"/>
    <mergeCell ref="C1875:D1875"/>
    <mergeCell ref="Q1875:R1875"/>
    <mergeCell ref="C1876:D1876"/>
    <mergeCell ref="Q1876:R1876"/>
    <mergeCell ref="S1904:AC1904"/>
    <mergeCell ref="C1906:L1906"/>
    <mergeCell ref="Q1906:AC1906"/>
    <mergeCell ref="A1895:C1895"/>
    <mergeCell ref="D1895:H1895"/>
    <mergeCell ref="I1895:L1895"/>
    <mergeCell ref="A1896:L1896"/>
    <mergeCell ref="A1897:L1897"/>
    <mergeCell ref="C1898:L1898"/>
    <mergeCell ref="C1899:L1899"/>
    <mergeCell ref="A1900:L1900"/>
    <mergeCell ref="A1902:L1902"/>
    <mergeCell ref="H1888:L1888"/>
    <mergeCell ref="A1890:L1890"/>
    <mergeCell ref="A1892:C1892"/>
    <mergeCell ref="D1892:F1892"/>
    <mergeCell ref="A1893:C1893"/>
    <mergeCell ref="D1893:H1893"/>
    <mergeCell ref="I1893:L1893"/>
    <mergeCell ref="A1894:C1894"/>
    <mergeCell ref="D1894:H1894"/>
    <mergeCell ref="I1894:L1894"/>
    <mergeCell ref="C1907:D1907"/>
    <mergeCell ref="Q1907:R1907"/>
    <mergeCell ref="C1908:D1908"/>
    <mergeCell ref="Q1908:R1908"/>
    <mergeCell ref="C1909:D1909"/>
    <mergeCell ref="Q1909:R1909"/>
    <mergeCell ref="C1910:D1910"/>
    <mergeCell ref="Q1910:R1910"/>
    <mergeCell ref="C1911:D1911"/>
    <mergeCell ref="Q1911:R1911"/>
    <mergeCell ref="A1904:B1905"/>
    <mergeCell ref="C1904:D1905"/>
    <mergeCell ref="F1904:F1905"/>
    <mergeCell ref="G1904:I1904"/>
    <mergeCell ref="J1904:L1904"/>
    <mergeCell ref="O1904:P1905"/>
    <mergeCell ref="Q1904:R1905"/>
    <mergeCell ref="C1917:D1917"/>
    <mergeCell ref="Q1917:R1917"/>
    <mergeCell ref="C1918:D1918"/>
    <mergeCell ref="Q1918:R1918"/>
    <mergeCell ref="C1919:D1919"/>
    <mergeCell ref="Q1919:R1919"/>
    <mergeCell ref="C1920:D1920"/>
    <mergeCell ref="Q1920:R1920"/>
    <mergeCell ref="C1921:D1921"/>
    <mergeCell ref="Q1921:R1921"/>
    <mergeCell ref="C1912:D1912"/>
    <mergeCell ref="Q1912:R1912"/>
    <mergeCell ref="C1913:D1913"/>
    <mergeCell ref="Q1913:R1913"/>
    <mergeCell ref="C1914:D1914"/>
    <mergeCell ref="Q1914:R1914"/>
    <mergeCell ref="C1915:D1915"/>
    <mergeCell ref="Q1915:R1915"/>
    <mergeCell ref="C1916:D1916"/>
    <mergeCell ref="Q1916:R1916"/>
    <mergeCell ref="C1927:L1927"/>
    <mergeCell ref="Q1927:AC1927"/>
    <mergeCell ref="C1928:D1928"/>
    <mergeCell ref="Q1928:R1928"/>
    <mergeCell ref="C1929:D1929"/>
    <mergeCell ref="Q1929:R1929"/>
    <mergeCell ref="C1930:D1930"/>
    <mergeCell ref="Q1930:R1930"/>
    <mergeCell ref="A1931:B1932"/>
    <mergeCell ref="C1931:D1932"/>
    <mergeCell ref="F1931:F1932"/>
    <mergeCell ref="G1931:I1931"/>
    <mergeCell ref="J1931:L1931"/>
    <mergeCell ref="O1931:P1932"/>
    <mergeCell ref="Q1931:R1932"/>
    <mergeCell ref="S1931:AC1931"/>
    <mergeCell ref="C1922:D1922"/>
    <mergeCell ref="Q1922:R1922"/>
    <mergeCell ref="C1923:D1923"/>
    <mergeCell ref="Q1923:R1923"/>
    <mergeCell ref="C1924:D1924"/>
    <mergeCell ref="Q1924:R1924"/>
    <mergeCell ref="C1925:D1925"/>
    <mergeCell ref="Q1925:R1925"/>
    <mergeCell ref="C1926:D1926"/>
    <mergeCell ref="Q1926:R1926"/>
    <mergeCell ref="C1938:D1938"/>
    <mergeCell ref="Q1938:R1938"/>
    <mergeCell ref="C1939:D1939"/>
    <mergeCell ref="Q1939:R1939"/>
    <mergeCell ref="C1940:D1940"/>
    <mergeCell ref="Q1940:R1940"/>
    <mergeCell ref="C1941:D1941"/>
    <mergeCell ref="Q1941:R1941"/>
    <mergeCell ref="C1942:D1942"/>
    <mergeCell ref="Q1942:R1942"/>
    <mergeCell ref="C1933:D1933"/>
    <mergeCell ref="Q1933:R1933"/>
    <mergeCell ref="C1934:D1934"/>
    <mergeCell ref="Q1934:R1934"/>
    <mergeCell ref="C1935:D1935"/>
    <mergeCell ref="Q1935:R1935"/>
    <mergeCell ref="C1936:D1936"/>
    <mergeCell ref="Q1936:R1936"/>
    <mergeCell ref="C1937:D1937"/>
    <mergeCell ref="Q1937:R1937"/>
    <mergeCell ref="A1948:L1948"/>
    <mergeCell ref="A1950:L1950"/>
    <mergeCell ref="N1950:P1950"/>
    <mergeCell ref="A1952:L1952"/>
    <mergeCell ref="A1954:L1954"/>
    <mergeCell ref="A1957:D1957"/>
    <mergeCell ref="H1957:L1957"/>
    <mergeCell ref="H1958:L1958"/>
    <mergeCell ref="A1960:L1960"/>
    <mergeCell ref="C1943:D1943"/>
    <mergeCell ref="Q1943:R1943"/>
    <mergeCell ref="C1944:D1944"/>
    <mergeCell ref="Q1944:R1944"/>
    <mergeCell ref="C1945:D1945"/>
    <mergeCell ref="Q1945:R1945"/>
    <mergeCell ref="C1946:D1946"/>
    <mergeCell ref="Q1946:R1946"/>
    <mergeCell ref="C1947:D1947"/>
    <mergeCell ref="Q1947:R1947"/>
    <mergeCell ref="A1966:L1966"/>
    <mergeCell ref="A1967:L1967"/>
    <mergeCell ref="C1968:L1968"/>
    <mergeCell ref="C1969:L1969"/>
    <mergeCell ref="A1970:L1970"/>
    <mergeCell ref="A1972:L1972"/>
    <mergeCell ref="A1974:B1975"/>
    <mergeCell ref="C1974:D1975"/>
    <mergeCell ref="F1974:F1975"/>
    <mergeCell ref="G1974:I1974"/>
    <mergeCell ref="J1974:L1974"/>
    <mergeCell ref="A1962:C1962"/>
    <mergeCell ref="D1962:F1962"/>
    <mergeCell ref="A1963:C1963"/>
    <mergeCell ref="D1963:H1963"/>
    <mergeCell ref="I1963:L1963"/>
    <mergeCell ref="A1964:C1964"/>
    <mergeCell ref="D1964:H1964"/>
    <mergeCell ref="I1964:L1964"/>
    <mergeCell ref="A1965:C1965"/>
    <mergeCell ref="D1965:H1965"/>
    <mergeCell ref="I1965:L1965"/>
    <mergeCell ref="C1979:D1979"/>
    <mergeCell ref="Q1979:R1979"/>
    <mergeCell ref="C1980:D1980"/>
    <mergeCell ref="Q1980:R1980"/>
    <mergeCell ref="C1981:D1981"/>
    <mergeCell ref="Q1981:R1981"/>
    <mergeCell ref="C1982:D1982"/>
    <mergeCell ref="Q1982:R1982"/>
    <mergeCell ref="C1983:D1983"/>
    <mergeCell ref="Q1983:R1983"/>
    <mergeCell ref="O1974:P1975"/>
    <mergeCell ref="Q1974:R1975"/>
    <mergeCell ref="S1974:AC1974"/>
    <mergeCell ref="C1976:L1976"/>
    <mergeCell ref="Q1976:AC1976"/>
    <mergeCell ref="C1977:D1977"/>
    <mergeCell ref="Q1977:R1977"/>
    <mergeCell ref="C1978:D1978"/>
    <mergeCell ref="Q1978:R1978"/>
    <mergeCell ref="C1989:D1989"/>
    <mergeCell ref="Q1989:R1989"/>
    <mergeCell ref="C1990:D1990"/>
    <mergeCell ref="Q1990:R1990"/>
    <mergeCell ref="C1991:D1991"/>
    <mergeCell ref="Q1991:R1991"/>
    <mergeCell ref="C1992:D1992"/>
    <mergeCell ref="Q1992:R1992"/>
    <mergeCell ref="C1993:D1993"/>
    <mergeCell ref="Q1993:R1993"/>
    <mergeCell ref="C1984:D1984"/>
    <mergeCell ref="Q1984:R1984"/>
    <mergeCell ref="C1985:D1985"/>
    <mergeCell ref="Q1985:R1985"/>
    <mergeCell ref="C1986:D1986"/>
    <mergeCell ref="Q1986:R1986"/>
    <mergeCell ref="C1987:D1987"/>
    <mergeCell ref="Q1987:R1987"/>
    <mergeCell ref="C1988:D1988"/>
    <mergeCell ref="Q1988:R1988"/>
    <mergeCell ref="C1999:D1999"/>
    <mergeCell ref="Q1999:R1999"/>
    <mergeCell ref="C2000:D2000"/>
    <mergeCell ref="Q2000:R2000"/>
    <mergeCell ref="A2001:B2002"/>
    <mergeCell ref="C2001:D2002"/>
    <mergeCell ref="F2001:F2002"/>
    <mergeCell ref="G2001:I2001"/>
    <mergeCell ref="J2001:L2001"/>
    <mergeCell ref="O2001:P2002"/>
    <mergeCell ref="Q2001:R2002"/>
    <mergeCell ref="C1994:D1994"/>
    <mergeCell ref="Q1994:R1994"/>
    <mergeCell ref="C1995:D1995"/>
    <mergeCell ref="Q1995:R1995"/>
    <mergeCell ref="C1996:D1996"/>
    <mergeCell ref="Q1996:R1996"/>
    <mergeCell ref="C1997:L1997"/>
    <mergeCell ref="Q1997:AC1997"/>
    <mergeCell ref="C1998:D1998"/>
    <mergeCell ref="Q1998:R1998"/>
    <mergeCell ref="C2007:D2007"/>
    <mergeCell ref="Q2007:R2007"/>
    <mergeCell ref="C2008:D2008"/>
    <mergeCell ref="Q2008:R2008"/>
    <mergeCell ref="C2009:D2009"/>
    <mergeCell ref="Q2009:R2009"/>
    <mergeCell ref="C2010:D2010"/>
    <mergeCell ref="Q2010:R2010"/>
    <mergeCell ref="C2011:D2011"/>
    <mergeCell ref="Q2011:R2011"/>
    <mergeCell ref="S2001:AC2001"/>
    <mergeCell ref="C2003:D2003"/>
    <mergeCell ref="Q2003:R2003"/>
    <mergeCell ref="C2004:D2004"/>
    <mergeCell ref="Q2004:R2004"/>
    <mergeCell ref="C2005:D2005"/>
    <mergeCell ref="Q2005:R2005"/>
    <mergeCell ref="C2006:D2006"/>
    <mergeCell ref="Q2006:R2006"/>
    <mergeCell ref="C2017:D2017"/>
    <mergeCell ref="Q2017:R2017"/>
    <mergeCell ref="A2018:L2018"/>
    <mergeCell ref="A2020:L2020"/>
    <mergeCell ref="N2020:P2020"/>
    <mergeCell ref="A2022:L2022"/>
    <mergeCell ref="A2024:L2024"/>
    <mergeCell ref="A2027:D2027"/>
    <mergeCell ref="H2027:L2027"/>
    <mergeCell ref="C2012:D2012"/>
    <mergeCell ref="Q2012:R2012"/>
    <mergeCell ref="C2013:D2013"/>
    <mergeCell ref="Q2013:R2013"/>
    <mergeCell ref="C2014:D2014"/>
    <mergeCell ref="Q2014:R2014"/>
    <mergeCell ref="C2015:D2015"/>
    <mergeCell ref="Q2015:R2015"/>
    <mergeCell ref="C2016:D2016"/>
    <mergeCell ref="Q2016:R2016"/>
    <mergeCell ref="S2044:AC2044"/>
    <mergeCell ref="C2046:L2046"/>
    <mergeCell ref="Q2046:AC2046"/>
    <mergeCell ref="A2035:C2035"/>
    <mergeCell ref="D2035:H2035"/>
    <mergeCell ref="I2035:L2035"/>
    <mergeCell ref="A2036:L2036"/>
    <mergeCell ref="A2037:L2037"/>
    <mergeCell ref="C2038:L2038"/>
    <mergeCell ref="C2039:L2039"/>
    <mergeCell ref="A2040:L2040"/>
    <mergeCell ref="A2042:L2042"/>
    <mergeCell ref="H2028:L2028"/>
    <mergeCell ref="A2030:L2030"/>
    <mergeCell ref="A2032:C2032"/>
    <mergeCell ref="D2032:F2032"/>
    <mergeCell ref="A2033:C2033"/>
    <mergeCell ref="D2033:H2033"/>
    <mergeCell ref="I2033:L2033"/>
    <mergeCell ref="A2034:C2034"/>
    <mergeCell ref="D2034:H2034"/>
    <mergeCell ref="I2034:L2034"/>
    <mergeCell ref="C2047:D2047"/>
    <mergeCell ref="Q2047:R2047"/>
    <mergeCell ref="C2048:D2048"/>
    <mergeCell ref="Q2048:R2048"/>
    <mergeCell ref="C2049:D2049"/>
    <mergeCell ref="Q2049:R2049"/>
    <mergeCell ref="C2050:D2050"/>
    <mergeCell ref="Q2050:R2050"/>
    <mergeCell ref="C2051:D2051"/>
    <mergeCell ref="Q2051:R2051"/>
    <mergeCell ref="A2044:B2045"/>
    <mergeCell ref="C2044:D2045"/>
    <mergeCell ref="F2044:F2045"/>
    <mergeCell ref="G2044:I2044"/>
    <mergeCell ref="J2044:L2044"/>
    <mergeCell ref="O2044:P2045"/>
    <mergeCell ref="Q2044:R2045"/>
    <mergeCell ref="C2057:D2057"/>
    <mergeCell ref="Q2057:R2057"/>
    <mergeCell ref="C2058:D2058"/>
    <mergeCell ref="Q2058:R2058"/>
    <mergeCell ref="C2059:D2059"/>
    <mergeCell ref="Q2059:R2059"/>
    <mergeCell ref="C2060:D2060"/>
    <mergeCell ref="Q2060:R2060"/>
    <mergeCell ref="C2061:D2061"/>
    <mergeCell ref="Q2061:R2061"/>
    <mergeCell ref="C2052:D2052"/>
    <mergeCell ref="Q2052:R2052"/>
    <mergeCell ref="C2053:D2053"/>
    <mergeCell ref="Q2053:R2053"/>
    <mergeCell ref="C2054:D2054"/>
    <mergeCell ref="Q2054:R2054"/>
    <mergeCell ref="C2055:D2055"/>
    <mergeCell ref="Q2055:R2055"/>
    <mergeCell ref="C2056:D2056"/>
    <mergeCell ref="Q2056:R2056"/>
    <mergeCell ref="C2067:L2067"/>
    <mergeCell ref="Q2067:AC2067"/>
    <mergeCell ref="C2068:D2068"/>
    <mergeCell ref="Q2068:R2068"/>
    <mergeCell ref="C2069:D2069"/>
    <mergeCell ref="Q2069:R2069"/>
    <mergeCell ref="C2070:D2070"/>
    <mergeCell ref="Q2070:R2070"/>
    <mergeCell ref="A2071:B2072"/>
    <mergeCell ref="C2071:D2072"/>
    <mergeCell ref="F2071:F2072"/>
    <mergeCell ref="G2071:I2071"/>
    <mergeCell ref="J2071:L2071"/>
    <mergeCell ref="O2071:P2072"/>
    <mergeCell ref="Q2071:R2072"/>
    <mergeCell ref="S2071:AC2071"/>
    <mergeCell ref="C2062:D2062"/>
    <mergeCell ref="Q2062:R2062"/>
    <mergeCell ref="C2063:D2063"/>
    <mergeCell ref="Q2063:R2063"/>
    <mergeCell ref="C2064:D2064"/>
    <mergeCell ref="Q2064:R2064"/>
    <mergeCell ref="C2065:D2065"/>
    <mergeCell ref="Q2065:R2065"/>
    <mergeCell ref="C2066:D2066"/>
    <mergeCell ref="Q2066:R2066"/>
    <mergeCell ref="C2078:D2078"/>
    <mergeCell ref="Q2078:R2078"/>
    <mergeCell ref="C2079:D2079"/>
    <mergeCell ref="Q2079:R2079"/>
    <mergeCell ref="C2080:D2080"/>
    <mergeCell ref="Q2080:R2080"/>
    <mergeCell ref="C2081:D2081"/>
    <mergeCell ref="Q2081:R2081"/>
    <mergeCell ref="C2082:D2082"/>
    <mergeCell ref="Q2082:R2082"/>
    <mergeCell ref="C2073:D2073"/>
    <mergeCell ref="Q2073:R2073"/>
    <mergeCell ref="C2074:D2074"/>
    <mergeCell ref="Q2074:R2074"/>
    <mergeCell ref="C2075:D2075"/>
    <mergeCell ref="Q2075:R2075"/>
    <mergeCell ref="C2076:D2076"/>
    <mergeCell ref="Q2076:R2076"/>
    <mergeCell ref="C2077:D2077"/>
    <mergeCell ref="Q2077:R2077"/>
    <mergeCell ref="A2088:L2088"/>
    <mergeCell ref="A2090:L2090"/>
    <mergeCell ref="N2090:P2090"/>
    <mergeCell ref="A2092:L2092"/>
    <mergeCell ref="A2094:L2094"/>
    <mergeCell ref="A2097:D2097"/>
    <mergeCell ref="H2097:L2097"/>
    <mergeCell ref="H2098:L2098"/>
    <mergeCell ref="A2100:L2100"/>
    <mergeCell ref="C2083:D2083"/>
    <mergeCell ref="Q2083:R2083"/>
    <mergeCell ref="C2084:D2084"/>
    <mergeCell ref="Q2084:R2084"/>
    <mergeCell ref="C2085:D2085"/>
    <mergeCell ref="Q2085:R2085"/>
    <mergeCell ref="C2086:D2086"/>
    <mergeCell ref="Q2086:R2086"/>
    <mergeCell ref="C2087:D2087"/>
    <mergeCell ref="Q2087:R2087"/>
    <mergeCell ref="A2106:L2106"/>
    <mergeCell ref="A2107:L2107"/>
    <mergeCell ref="C2108:L2108"/>
    <mergeCell ref="C2109:L2109"/>
    <mergeCell ref="A2110:L2110"/>
    <mergeCell ref="A2112:L2112"/>
    <mergeCell ref="A2114:B2115"/>
    <mergeCell ref="C2114:D2115"/>
    <mergeCell ref="F2114:F2115"/>
    <mergeCell ref="G2114:I2114"/>
    <mergeCell ref="J2114:L2114"/>
    <mergeCell ref="A2102:C2102"/>
    <mergeCell ref="D2102:F2102"/>
    <mergeCell ref="A2103:C2103"/>
    <mergeCell ref="D2103:H2103"/>
    <mergeCell ref="I2103:L2103"/>
    <mergeCell ref="A2104:C2104"/>
    <mergeCell ref="D2104:H2104"/>
    <mergeCell ref="I2104:L2104"/>
    <mergeCell ref="A2105:C2105"/>
    <mergeCell ref="D2105:H2105"/>
    <mergeCell ref="I2105:L2105"/>
    <mergeCell ref="C2119:D2119"/>
    <mergeCell ref="Q2119:R2119"/>
    <mergeCell ref="C2120:D2120"/>
    <mergeCell ref="Q2120:R2120"/>
    <mergeCell ref="C2121:D2121"/>
    <mergeCell ref="Q2121:R2121"/>
    <mergeCell ref="C2122:D2122"/>
    <mergeCell ref="Q2122:R2122"/>
    <mergeCell ref="C2123:D2123"/>
    <mergeCell ref="Q2123:R2123"/>
    <mergeCell ref="O2114:P2115"/>
    <mergeCell ref="Q2114:R2115"/>
    <mergeCell ref="S2114:AC2114"/>
    <mergeCell ref="C2116:L2116"/>
    <mergeCell ref="Q2116:AC2116"/>
    <mergeCell ref="C2117:D2117"/>
    <mergeCell ref="Q2117:R2117"/>
    <mergeCell ref="C2118:D2118"/>
    <mergeCell ref="Q2118:R2118"/>
    <mergeCell ref="C2129:D2129"/>
    <mergeCell ref="Q2129:R2129"/>
    <mergeCell ref="C2130:D2130"/>
    <mergeCell ref="Q2130:R2130"/>
    <mergeCell ref="C2131:D2131"/>
    <mergeCell ref="Q2131:R2131"/>
    <mergeCell ref="C2132:D2132"/>
    <mergeCell ref="Q2132:R2132"/>
    <mergeCell ref="C2133:D2133"/>
    <mergeCell ref="Q2133:R2133"/>
    <mergeCell ref="C2124:D2124"/>
    <mergeCell ref="Q2124:R2124"/>
    <mergeCell ref="C2125:D2125"/>
    <mergeCell ref="Q2125:R2125"/>
    <mergeCell ref="C2126:D2126"/>
    <mergeCell ref="Q2126:R2126"/>
    <mergeCell ref="C2127:D2127"/>
    <mergeCell ref="Q2127:R2127"/>
    <mergeCell ref="C2128:D2128"/>
    <mergeCell ref="Q2128:R2128"/>
    <mergeCell ref="C2139:D2139"/>
    <mergeCell ref="Q2139:R2139"/>
    <mergeCell ref="C2140:D2140"/>
    <mergeCell ref="Q2140:R2140"/>
    <mergeCell ref="A2141:B2142"/>
    <mergeCell ref="C2141:D2142"/>
    <mergeCell ref="F2141:F2142"/>
    <mergeCell ref="G2141:I2141"/>
    <mergeCell ref="J2141:L2141"/>
    <mergeCell ref="O2141:P2142"/>
    <mergeCell ref="Q2141:R2142"/>
    <mergeCell ref="C2134:D2134"/>
    <mergeCell ref="Q2134:R2134"/>
    <mergeCell ref="C2135:D2135"/>
    <mergeCell ref="Q2135:R2135"/>
    <mergeCell ref="C2136:D2136"/>
    <mergeCell ref="Q2136:R2136"/>
    <mergeCell ref="C2137:L2137"/>
    <mergeCell ref="Q2137:AC2137"/>
    <mergeCell ref="C2138:D2138"/>
    <mergeCell ref="Q2138:R2138"/>
    <mergeCell ref="C2147:D2147"/>
    <mergeCell ref="Q2147:R2147"/>
    <mergeCell ref="C2148:D2148"/>
    <mergeCell ref="Q2148:R2148"/>
    <mergeCell ref="C2149:D2149"/>
    <mergeCell ref="Q2149:R2149"/>
    <mergeCell ref="C2150:D2150"/>
    <mergeCell ref="Q2150:R2150"/>
    <mergeCell ref="C2151:D2151"/>
    <mergeCell ref="Q2151:R2151"/>
    <mergeCell ref="S2141:AC2141"/>
    <mergeCell ref="C2143:D2143"/>
    <mergeCell ref="Q2143:R2143"/>
    <mergeCell ref="C2144:D2144"/>
    <mergeCell ref="Q2144:R2144"/>
    <mergeCell ref="C2145:D2145"/>
    <mergeCell ref="Q2145:R2145"/>
    <mergeCell ref="C2146:D2146"/>
    <mergeCell ref="Q2146:R2146"/>
    <mergeCell ref="C2157:D2157"/>
    <mergeCell ref="Q2157:R2157"/>
    <mergeCell ref="A2158:L2158"/>
    <mergeCell ref="A2160:L2160"/>
    <mergeCell ref="N2160:P2160"/>
    <mergeCell ref="A2162:L2162"/>
    <mergeCell ref="A2164:L2164"/>
    <mergeCell ref="A2167:D2167"/>
    <mergeCell ref="H2167:L2167"/>
    <mergeCell ref="C2152:D2152"/>
    <mergeCell ref="Q2152:R2152"/>
    <mergeCell ref="C2153:D2153"/>
    <mergeCell ref="Q2153:R2153"/>
    <mergeCell ref="C2154:D2154"/>
    <mergeCell ref="Q2154:R2154"/>
    <mergeCell ref="C2155:D2155"/>
    <mergeCell ref="Q2155:R2155"/>
    <mergeCell ref="C2156:D2156"/>
    <mergeCell ref="Q2156:R2156"/>
    <mergeCell ref="S2184:AC2184"/>
    <mergeCell ref="C2186:L2186"/>
    <mergeCell ref="Q2186:AC2186"/>
    <mergeCell ref="A2175:C2175"/>
    <mergeCell ref="D2175:H2175"/>
    <mergeCell ref="I2175:L2175"/>
    <mergeCell ref="A2176:L2176"/>
    <mergeCell ref="A2177:L2177"/>
    <mergeCell ref="C2178:L2178"/>
    <mergeCell ref="C2179:L2179"/>
    <mergeCell ref="A2180:L2180"/>
    <mergeCell ref="A2182:L2182"/>
    <mergeCell ref="H2168:L2168"/>
    <mergeCell ref="A2170:L2170"/>
    <mergeCell ref="A2172:C2172"/>
    <mergeCell ref="D2172:F2172"/>
    <mergeCell ref="A2173:C2173"/>
    <mergeCell ref="D2173:H2173"/>
    <mergeCell ref="I2173:L2173"/>
    <mergeCell ref="A2174:C2174"/>
    <mergeCell ref="D2174:H2174"/>
    <mergeCell ref="I2174:L2174"/>
    <mergeCell ref="C2187:D2187"/>
    <mergeCell ref="Q2187:R2187"/>
    <mergeCell ref="C2188:D2188"/>
    <mergeCell ref="Q2188:R2188"/>
    <mergeCell ref="C2189:D2189"/>
    <mergeCell ref="Q2189:R2189"/>
    <mergeCell ref="C2190:D2190"/>
    <mergeCell ref="Q2190:R2190"/>
    <mergeCell ref="C2191:D2191"/>
    <mergeCell ref="Q2191:R2191"/>
    <mergeCell ref="A2184:B2185"/>
    <mergeCell ref="C2184:D2185"/>
    <mergeCell ref="F2184:F2185"/>
    <mergeCell ref="G2184:I2184"/>
    <mergeCell ref="J2184:L2184"/>
    <mergeCell ref="O2184:P2185"/>
    <mergeCell ref="Q2184:R2185"/>
    <mergeCell ref="C2197:D2197"/>
    <mergeCell ref="Q2197:R2197"/>
    <mergeCell ref="C2198:D2198"/>
    <mergeCell ref="Q2198:R2198"/>
    <mergeCell ref="C2199:D2199"/>
    <mergeCell ref="Q2199:R2199"/>
    <mergeCell ref="C2200:D2200"/>
    <mergeCell ref="Q2200:R2200"/>
    <mergeCell ref="C2201:D2201"/>
    <mergeCell ref="Q2201:R2201"/>
    <mergeCell ref="C2192:D2192"/>
    <mergeCell ref="Q2192:R2192"/>
    <mergeCell ref="C2193:D2193"/>
    <mergeCell ref="Q2193:R2193"/>
    <mergeCell ref="C2194:D2194"/>
    <mergeCell ref="Q2194:R2194"/>
    <mergeCell ref="C2195:D2195"/>
    <mergeCell ref="Q2195:R2195"/>
    <mergeCell ref="C2196:D2196"/>
    <mergeCell ref="Q2196:R2196"/>
    <mergeCell ref="C2207:L2207"/>
    <mergeCell ref="Q2207:AC2207"/>
    <mergeCell ref="C2208:D2208"/>
    <mergeCell ref="Q2208:R2208"/>
    <mergeCell ref="C2209:D2209"/>
    <mergeCell ref="Q2209:R2209"/>
    <mergeCell ref="C2210:D2210"/>
    <mergeCell ref="Q2210:R2210"/>
    <mergeCell ref="A2211:B2212"/>
    <mergeCell ref="C2211:D2212"/>
    <mergeCell ref="F2211:F2212"/>
    <mergeCell ref="G2211:I2211"/>
    <mergeCell ref="J2211:L2211"/>
    <mergeCell ref="O2211:P2212"/>
    <mergeCell ref="Q2211:R2212"/>
    <mergeCell ref="S2211:AC2211"/>
    <mergeCell ref="C2202:D2202"/>
    <mergeCell ref="Q2202:R2202"/>
    <mergeCell ref="C2203:D2203"/>
    <mergeCell ref="Q2203:R2203"/>
    <mergeCell ref="C2204:D2204"/>
    <mergeCell ref="Q2204:R2204"/>
    <mergeCell ref="C2205:D2205"/>
    <mergeCell ref="Q2205:R2205"/>
    <mergeCell ref="C2206:D2206"/>
    <mergeCell ref="Q2206:R2206"/>
    <mergeCell ref="C2218:D2218"/>
    <mergeCell ref="Q2218:R2218"/>
    <mergeCell ref="C2219:D2219"/>
    <mergeCell ref="Q2219:R2219"/>
    <mergeCell ref="C2220:D2220"/>
    <mergeCell ref="Q2220:R2220"/>
    <mergeCell ref="C2221:D2221"/>
    <mergeCell ref="Q2221:R2221"/>
    <mergeCell ref="C2222:D2222"/>
    <mergeCell ref="Q2222:R2222"/>
    <mergeCell ref="C2213:D2213"/>
    <mergeCell ref="Q2213:R2213"/>
    <mergeCell ref="C2214:D2214"/>
    <mergeCell ref="Q2214:R2214"/>
    <mergeCell ref="C2215:D2215"/>
    <mergeCell ref="Q2215:R2215"/>
    <mergeCell ref="C2216:D2216"/>
    <mergeCell ref="Q2216:R2216"/>
    <mergeCell ref="C2217:D2217"/>
    <mergeCell ref="Q2217:R2217"/>
    <mergeCell ref="A2228:L2228"/>
    <mergeCell ref="A2230:L2230"/>
    <mergeCell ref="N2230:P2230"/>
    <mergeCell ref="A2232:L2232"/>
    <mergeCell ref="A2234:L2234"/>
    <mergeCell ref="A2237:D2237"/>
    <mergeCell ref="H2237:L2237"/>
    <mergeCell ref="H2238:L2238"/>
    <mergeCell ref="A2240:L2240"/>
    <mergeCell ref="C2223:D2223"/>
    <mergeCell ref="Q2223:R2223"/>
    <mergeCell ref="C2224:D2224"/>
    <mergeCell ref="Q2224:R2224"/>
    <mergeCell ref="C2225:D2225"/>
    <mergeCell ref="Q2225:R2225"/>
    <mergeCell ref="C2226:D2226"/>
    <mergeCell ref="Q2226:R2226"/>
    <mergeCell ref="C2227:D2227"/>
    <mergeCell ref="Q2227:R2227"/>
    <mergeCell ref="A2246:L2246"/>
    <mergeCell ref="A2247:L2247"/>
    <mergeCell ref="C2248:L2248"/>
    <mergeCell ref="C2249:L2249"/>
    <mergeCell ref="A2250:L2250"/>
    <mergeCell ref="A2252:L2252"/>
    <mergeCell ref="A2254:B2255"/>
    <mergeCell ref="C2254:D2255"/>
    <mergeCell ref="F2254:F2255"/>
    <mergeCell ref="G2254:I2254"/>
    <mergeCell ref="J2254:L2254"/>
    <mergeCell ref="A2242:C2242"/>
    <mergeCell ref="D2242:F2242"/>
    <mergeCell ref="A2243:C2243"/>
    <mergeCell ref="D2243:H2243"/>
    <mergeCell ref="I2243:L2243"/>
    <mergeCell ref="A2244:C2244"/>
    <mergeCell ref="D2244:H2244"/>
    <mergeCell ref="I2244:L2244"/>
    <mergeCell ref="A2245:C2245"/>
    <mergeCell ref="D2245:H2245"/>
    <mergeCell ref="I2245:L2245"/>
    <mergeCell ref="C2259:D2259"/>
    <mergeCell ref="Q2259:R2259"/>
    <mergeCell ref="C2260:D2260"/>
    <mergeCell ref="Q2260:R2260"/>
    <mergeCell ref="C2261:D2261"/>
    <mergeCell ref="Q2261:R2261"/>
    <mergeCell ref="C2262:D2262"/>
    <mergeCell ref="Q2262:R2262"/>
    <mergeCell ref="C2263:D2263"/>
    <mergeCell ref="Q2263:R2263"/>
    <mergeCell ref="O2254:P2255"/>
    <mergeCell ref="Q2254:R2255"/>
    <mergeCell ref="S2254:AC2254"/>
    <mergeCell ref="C2256:L2256"/>
    <mergeCell ref="Q2256:AC2256"/>
    <mergeCell ref="C2257:D2257"/>
    <mergeCell ref="Q2257:R2257"/>
    <mergeCell ref="C2258:D2258"/>
    <mergeCell ref="Q2258:R2258"/>
    <mergeCell ref="C2269:D2269"/>
    <mergeCell ref="Q2269:R2269"/>
    <mergeCell ref="C2270:D2270"/>
    <mergeCell ref="Q2270:R2270"/>
    <mergeCell ref="C2271:D2271"/>
    <mergeCell ref="Q2271:R2271"/>
    <mergeCell ref="C2272:D2272"/>
    <mergeCell ref="Q2272:R2272"/>
    <mergeCell ref="C2273:D2273"/>
    <mergeCell ref="Q2273:R2273"/>
    <mergeCell ref="C2264:D2264"/>
    <mergeCell ref="Q2264:R2264"/>
    <mergeCell ref="C2265:D2265"/>
    <mergeCell ref="Q2265:R2265"/>
    <mergeCell ref="C2266:D2266"/>
    <mergeCell ref="Q2266:R2266"/>
    <mergeCell ref="C2267:D2267"/>
    <mergeCell ref="Q2267:R2267"/>
    <mergeCell ref="C2268:D2268"/>
    <mergeCell ref="Q2268:R2268"/>
    <mergeCell ref="C2279:D2279"/>
    <mergeCell ref="Q2279:R2279"/>
    <mergeCell ref="C2280:D2280"/>
    <mergeCell ref="Q2280:R2280"/>
    <mergeCell ref="A2281:B2282"/>
    <mergeCell ref="C2281:D2282"/>
    <mergeCell ref="F2281:F2282"/>
    <mergeCell ref="G2281:I2281"/>
    <mergeCell ref="J2281:L2281"/>
    <mergeCell ref="O2281:P2282"/>
    <mergeCell ref="Q2281:R2282"/>
    <mergeCell ref="C2274:D2274"/>
    <mergeCell ref="Q2274:R2274"/>
    <mergeCell ref="C2275:D2275"/>
    <mergeCell ref="Q2275:R2275"/>
    <mergeCell ref="C2276:D2276"/>
    <mergeCell ref="Q2276:R2276"/>
    <mergeCell ref="C2277:L2277"/>
    <mergeCell ref="Q2277:AC2277"/>
    <mergeCell ref="C2278:D2278"/>
    <mergeCell ref="Q2278:R2278"/>
    <mergeCell ref="C2287:D2287"/>
    <mergeCell ref="Q2287:R2287"/>
    <mergeCell ref="C2288:D2288"/>
    <mergeCell ref="Q2288:R2288"/>
    <mergeCell ref="C2289:D2289"/>
    <mergeCell ref="Q2289:R2289"/>
    <mergeCell ref="C2290:D2290"/>
    <mergeCell ref="Q2290:R2290"/>
    <mergeCell ref="C2291:D2291"/>
    <mergeCell ref="Q2291:R2291"/>
    <mergeCell ref="S2281:AC2281"/>
    <mergeCell ref="C2283:D2283"/>
    <mergeCell ref="Q2283:R2283"/>
    <mergeCell ref="C2284:D2284"/>
    <mergeCell ref="Q2284:R2284"/>
    <mergeCell ref="C2285:D2285"/>
    <mergeCell ref="Q2285:R2285"/>
    <mergeCell ref="C2286:D2286"/>
    <mergeCell ref="Q2286:R2286"/>
    <mergeCell ref="H2308:L2308"/>
    <mergeCell ref="C2297:D2297"/>
    <mergeCell ref="Q2297:R2297"/>
    <mergeCell ref="A2298:L2298"/>
    <mergeCell ref="A2300:L2300"/>
    <mergeCell ref="N2300:P2300"/>
    <mergeCell ref="A2302:L2302"/>
    <mergeCell ref="A2304:L2304"/>
    <mergeCell ref="A2307:D2307"/>
    <mergeCell ref="H2307:L2307"/>
    <mergeCell ref="C2292:D2292"/>
    <mergeCell ref="Q2292:R2292"/>
    <mergeCell ref="C2293:D2293"/>
    <mergeCell ref="Q2293:R2293"/>
    <mergeCell ref="C2294:D2294"/>
    <mergeCell ref="Q2294:R2294"/>
    <mergeCell ref="C2295:D2295"/>
    <mergeCell ref="Q2295:R2295"/>
    <mergeCell ref="C2296:D2296"/>
    <mergeCell ref="Q2296:R2296"/>
  </mergeCells>
  <printOptions horizontalCentered="1"/>
  <pageMargins left="0.51181102362204722" right="0.31496062992125984" top="0.27559055118110237" bottom="0" header="0.31496062992125984" footer="0.19685039370078741"/>
  <pageSetup paperSize="9" scale="88" fitToHeight="0" orientation="portrait" r:id="rId1"/>
  <headerFooter>
    <oddFooter>&amp;C&amp;"Times New Roman,Regular"      trang &amp;P</oddFooter>
  </headerFooter>
  <rowBreaks count="1" manualBreakCount="1">
    <brk id="2098" max="1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pageSetUpPr fitToPage="1"/>
  </sheetPr>
  <dimension ref="A1:U98"/>
  <sheetViews>
    <sheetView view="pageBreakPreview" topLeftCell="A7" zoomScaleSheetLayoutView="100" workbookViewId="0">
      <selection activeCell="D26" sqref="D26"/>
    </sheetView>
  </sheetViews>
  <sheetFormatPr defaultColWidth="10.75" defaultRowHeight="14.25"/>
  <cols>
    <col min="1" max="1" width="4.75" style="83" customWidth="1"/>
    <col min="2" max="2" width="1.375" style="83" customWidth="1"/>
    <col min="3" max="3" width="13.75" style="149" customWidth="1"/>
    <col min="4" max="4" width="24.375" style="83" customWidth="1"/>
    <col min="5" max="5" width="7.625" style="83" hidden="1" customWidth="1"/>
    <col min="6" max="6" width="7.25" style="83" customWidth="1"/>
    <col min="7" max="17" width="6.75" style="83" customWidth="1"/>
    <col min="18" max="18" width="0.875" style="83" customWidth="1"/>
    <col min="19" max="19" width="9.125" style="83" customWidth="1"/>
    <col min="20" max="20" width="10.75" style="83"/>
    <col min="21" max="21" width="2" style="83" customWidth="1"/>
    <col min="22" max="22" width="10.75" style="83"/>
    <col min="23" max="23" width="22.625" style="83" customWidth="1"/>
    <col min="24" max="34" width="4.75" style="83" customWidth="1"/>
    <col min="35" max="264" width="10.75" style="83"/>
    <col min="265" max="265" width="3.125" style="83" customWidth="1"/>
    <col min="266" max="266" width="1" style="83" customWidth="1"/>
    <col min="267" max="267" width="20.75" style="83" customWidth="1"/>
    <col min="268" max="268" width="28.25" style="83" customWidth="1"/>
    <col min="269" max="269" width="23.25" style="83" customWidth="1"/>
    <col min="270" max="270" width="7.25" style="83" customWidth="1"/>
    <col min="271" max="271" width="14.375" style="83" customWidth="1"/>
    <col min="272" max="272" width="0.875" style="83" customWidth="1"/>
    <col min="273" max="520" width="10.75" style="83"/>
    <col min="521" max="521" width="3.125" style="83" customWidth="1"/>
    <col min="522" max="522" width="1" style="83" customWidth="1"/>
    <col min="523" max="523" width="20.75" style="83" customWidth="1"/>
    <col min="524" max="524" width="28.25" style="83" customWidth="1"/>
    <col min="525" max="525" width="23.25" style="83" customWidth="1"/>
    <col min="526" max="526" width="7.25" style="83" customWidth="1"/>
    <col min="527" max="527" width="14.375" style="83" customWidth="1"/>
    <col min="528" max="528" width="0.875" style="83" customWidth="1"/>
    <col min="529" max="776" width="10.75" style="83"/>
    <col min="777" max="777" width="3.125" style="83" customWidth="1"/>
    <col min="778" max="778" width="1" style="83" customWidth="1"/>
    <col min="779" max="779" width="20.75" style="83" customWidth="1"/>
    <col min="780" max="780" width="28.25" style="83" customWidth="1"/>
    <col min="781" max="781" width="23.25" style="83" customWidth="1"/>
    <col min="782" max="782" width="7.25" style="83" customWidth="1"/>
    <col min="783" max="783" width="14.375" style="83" customWidth="1"/>
    <col min="784" max="784" width="0.875" style="83" customWidth="1"/>
    <col min="785" max="1032" width="10.75" style="83"/>
    <col min="1033" max="1033" width="3.125" style="83" customWidth="1"/>
    <col min="1034" max="1034" width="1" style="83" customWidth="1"/>
    <col min="1035" max="1035" width="20.75" style="83" customWidth="1"/>
    <col min="1036" max="1036" width="28.25" style="83" customWidth="1"/>
    <col min="1037" max="1037" width="23.25" style="83" customWidth="1"/>
    <col min="1038" max="1038" width="7.25" style="83" customWidth="1"/>
    <col min="1039" max="1039" width="14.375" style="83" customWidth="1"/>
    <col min="1040" max="1040" width="0.875" style="83" customWidth="1"/>
    <col min="1041" max="1288" width="10.75" style="83"/>
    <col min="1289" max="1289" width="3.125" style="83" customWidth="1"/>
    <col min="1290" max="1290" width="1" style="83" customWidth="1"/>
    <col min="1291" max="1291" width="20.75" style="83" customWidth="1"/>
    <col min="1292" max="1292" width="28.25" style="83" customWidth="1"/>
    <col min="1293" max="1293" width="23.25" style="83" customWidth="1"/>
    <col min="1294" max="1294" width="7.25" style="83" customWidth="1"/>
    <col min="1295" max="1295" width="14.375" style="83" customWidth="1"/>
    <col min="1296" max="1296" width="0.875" style="83" customWidth="1"/>
    <col min="1297" max="1544" width="10.75" style="83"/>
    <col min="1545" max="1545" width="3.125" style="83" customWidth="1"/>
    <col min="1546" max="1546" width="1" style="83" customWidth="1"/>
    <col min="1547" max="1547" width="20.75" style="83" customWidth="1"/>
    <col min="1548" max="1548" width="28.25" style="83" customWidth="1"/>
    <col min="1549" max="1549" width="23.25" style="83" customWidth="1"/>
    <col min="1550" max="1550" width="7.25" style="83" customWidth="1"/>
    <col min="1551" max="1551" width="14.375" style="83" customWidth="1"/>
    <col min="1552" max="1552" width="0.875" style="83" customWidth="1"/>
    <col min="1553" max="1800" width="10.75" style="83"/>
    <col min="1801" max="1801" width="3.125" style="83" customWidth="1"/>
    <col min="1802" max="1802" width="1" style="83" customWidth="1"/>
    <col min="1803" max="1803" width="20.75" style="83" customWidth="1"/>
    <col min="1804" max="1804" width="28.25" style="83" customWidth="1"/>
    <col min="1805" max="1805" width="23.25" style="83" customWidth="1"/>
    <col min="1806" max="1806" width="7.25" style="83" customWidth="1"/>
    <col min="1807" max="1807" width="14.375" style="83" customWidth="1"/>
    <col min="1808" max="1808" width="0.875" style="83" customWidth="1"/>
    <col min="1809" max="2056" width="10.75" style="83"/>
    <col min="2057" max="2057" width="3.125" style="83" customWidth="1"/>
    <col min="2058" max="2058" width="1" style="83" customWidth="1"/>
    <col min="2059" max="2059" width="20.75" style="83" customWidth="1"/>
    <col min="2060" max="2060" width="28.25" style="83" customWidth="1"/>
    <col min="2061" max="2061" width="23.25" style="83" customWidth="1"/>
    <col min="2062" max="2062" width="7.25" style="83" customWidth="1"/>
    <col min="2063" max="2063" width="14.375" style="83" customWidth="1"/>
    <col min="2064" max="2064" width="0.875" style="83" customWidth="1"/>
    <col min="2065" max="2312" width="10.75" style="83"/>
    <col min="2313" max="2313" width="3.125" style="83" customWidth="1"/>
    <col min="2314" max="2314" width="1" style="83" customWidth="1"/>
    <col min="2315" max="2315" width="20.75" style="83" customWidth="1"/>
    <col min="2316" max="2316" width="28.25" style="83" customWidth="1"/>
    <col min="2317" max="2317" width="23.25" style="83" customWidth="1"/>
    <col min="2318" max="2318" width="7.25" style="83" customWidth="1"/>
    <col min="2319" max="2319" width="14.375" style="83" customWidth="1"/>
    <col min="2320" max="2320" width="0.875" style="83" customWidth="1"/>
    <col min="2321" max="2568" width="10.75" style="83"/>
    <col min="2569" max="2569" width="3.125" style="83" customWidth="1"/>
    <col min="2570" max="2570" width="1" style="83" customWidth="1"/>
    <col min="2571" max="2571" width="20.75" style="83" customWidth="1"/>
    <col min="2572" max="2572" width="28.25" style="83" customWidth="1"/>
    <col min="2573" max="2573" width="23.25" style="83" customWidth="1"/>
    <col min="2574" max="2574" width="7.25" style="83" customWidth="1"/>
    <col min="2575" max="2575" width="14.375" style="83" customWidth="1"/>
    <col min="2576" max="2576" width="0.875" style="83" customWidth="1"/>
    <col min="2577" max="2824" width="10.75" style="83"/>
    <col min="2825" max="2825" width="3.125" style="83" customWidth="1"/>
    <col min="2826" max="2826" width="1" style="83" customWidth="1"/>
    <col min="2827" max="2827" width="20.75" style="83" customWidth="1"/>
    <col min="2828" max="2828" width="28.25" style="83" customWidth="1"/>
    <col min="2829" max="2829" width="23.25" style="83" customWidth="1"/>
    <col min="2830" max="2830" width="7.25" style="83" customWidth="1"/>
    <col min="2831" max="2831" width="14.375" style="83" customWidth="1"/>
    <col min="2832" max="2832" width="0.875" style="83" customWidth="1"/>
    <col min="2833" max="3080" width="10.75" style="83"/>
    <col min="3081" max="3081" width="3.125" style="83" customWidth="1"/>
    <col min="3082" max="3082" width="1" style="83" customWidth="1"/>
    <col min="3083" max="3083" width="20.75" style="83" customWidth="1"/>
    <col min="3084" max="3084" width="28.25" style="83" customWidth="1"/>
    <col min="3085" max="3085" width="23.25" style="83" customWidth="1"/>
    <col min="3086" max="3086" width="7.25" style="83" customWidth="1"/>
    <col min="3087" max="3087" width="14.375" style="83" customWidth="1"/>
    <col min="3088" max="3088" width="0.875" style="83" customWidth="1"/>
    <col min="3089" max="3336" width="10.75" style="83"/>
    <col min="3337" max="3337" width="3.125" style="83" customWidth="1"/>
    <col min="3338" max="3338" width="1" style="83" customWidth="1"/>
    <col min="3339" max="3339" width="20.75" style="83" customWidth="1"/>
    <col min="3340" max="3340" width="28.25" style="83" customWidth="1"/>
    <col min="3341" max="3341" width="23.25" style="83" customWidth="1"/>
    <col min="3342" max="3342" width="7.25" style="83" customWidth="1"/>
    <col min="3343" max="3343" width="14.375" style="83" customWidth="1"/>
    <col min="3344" max="3344" width="0.875" style="83" customWidth="1"/>
    <col min="3345" max="3592" width="10.75" style="83"/>
    <col min="3593" max="3593" width="3.125" style="83" customWidth="1"/>
    <col min="3594" max="3594" width="1" style="83" customWidth="1"/>
    <col min="3595" max="3595" width="20.75" style="83" customWidth="1"/>
    <col min="3596" max="3596" width="28.25" style="83" customWidth="1"/>
    <col min="3597" max="3597" width="23.25" style="83" customWidth="1"/>
    <col min="3598" max="3598" width="7.25" style="83" customWidth="1"/>
    <col min="3599" max="3599" width="14.375" style="83" customWidth="1"/>
    <col min="3600" max="3600" width="0.875" style="83" customWidth="1"/>
    <col min="3601" max="3848" width="10.75" style="83"/>
    <col min="3849" max="3849" width="3.125" style="83" customWidth="1"/>
    <col min="3850" max="3850" width="1" style="83" customWidth="1"/>
    <col min="3851" max="3851" width="20.75" style="83" customWidth="1"/>
    <col min="3852" max="3852" width="28.25" style="83" customWidth="1"/>
    <col min="3853" max="3853" width="23.25" style="83" customWidth="1"/>
    <col min="3854" max="3854" width="7.25" style="83" customWidth="1"/>
    <col min="3855" max="3855" width="14.375" style="83" customWidth="1"/>
    <col min="3856" max="3856" width="0.875" style="83" customWidth="1"/>
    <col min="3857" max="4104" width="10.75" style="83"/>
    <col min="4105" max="4105" width="3.125" style="83" customWidth="1"/>
    <col min="4106" max="4106" width="1" style="83" customWidth="1"/>
    <col min="4107" max="4107" width="20.75" style="83" customWidth="1"/>
    <col min="4108" max="4108" width="28.25" style="83" customWidth="1"/>
    <col min="4109" max="4109" width="23.25" style="83" customWidth="1"/>
    <col min="4110" max="4110" width="7.25" style="83" customWidth="1"/>
    <col min="4111" max="4111" width="14.375" style="83" customWidth="1"/>
    <col min="4112" max="4112" width="0.875" style="83" customWidth="1"/>
    <col min="4113" max="4360" width="10.75" style="83"/>
    <col min="4361" max="4361" width="3.125" style="83" customWidth="1"/>
    <col min="4362" max="4362" width="1" style="83" customWidth="1"/>
    <col min="4363" max="4363" width="20.75" style="83" customWidth="1"/>
    <col min="4364" max="4364" width="28.25" style="83" customWidth="1"/>
    <col min="4365" max="4365" width="23.25" style="83" customWidth="1"/>
    <col min="4366" max="4366" width="7.25" style="83" customWidth="1"/>
    <col min="4367" max="4367" width="14.375" style="83" customWidth="1"/>
    <col min="4368" max="4368" width="0.875" style="83" customWidth="1"/>
    <col min="4369" max="4616" width="10.75" style="83"/>
    <col min="4617" max="4617" width="3.125" style="83" customWidth="1"/>
    <col min="4618" max="4618" width="1" style="83" customWidth="1"/>
    <col min="4619" max="4619" width="20.75" style="83" customWidth="1"/>
    <col min="4620" max="4620" width="28.25" style="83" customWidth="1"/>
    <col min="4621" max="4621" width="23.25" style="83" customWidth="1"/>
    <col min="4622" max="4622" width="7.25" style="83" customWidth="1"/>
    <col min="4623" max="4623" width="14.375" style="83" customWidth="1"/>
    <col min="4624" max="4624" width="0.875" style="83" customWidth="1"/>
    <col min="4625" max="4872" width="10.75" style="83"/>
    <col min="4873" max="4873" width="3.125" style="83" customWidth="1"/>
    <col min="4874" max="4874" width="1" style="83" customWidth="1"/>
    <col min="4875" max="4875" width="20.75" style="83" customWidth="1"/>
    <col min="4876" max="4876" width="28.25" style="83" customWidth="1"/>
    <col min="4877" max="4877" width="23.25" style="83" customWidth="1"/>
    <col min="4878" max="4878" width="7.25" style="83" customWidth="1"/>
    <col min="4879" max="4879" width="14.375" style="83" customWidth="1"/>
    <col min="4880" max="4880" width="0.875" style="83" customWidth="1"/>
    <col min="4881" max="5128" width="10.75" style="83"/>
    <col min="5129" max="5129" width="3.125" style="83" customWidth="1"/>
    <col min="5130" max="5130" width="1" style="83" customWidth="1"/>
    <col min="5131" max="5131" width="20.75" style="83" customWidth="1"/>
    <col min="5132" max="5132" width="28.25" style="83" customWidth="1"/>
    <col min="5133" max="5133" width="23.25" style="83" customWidth="1"/>
    <col min="5134" max="5134" width="7.25" style="83" customWidth="1"/>
    <col min="5135" max="5135" width="14.375" style="83" customWidth="1"/>
    <col min="5136" max="5136" width="0.875" style="83" customWidth="1"/>
    <col min="5137" max="5384" width="10.75" style="83"/>
    <col min="5385" max="5385" width="3.125" style="83" customWidth="1"/>
    <col min="5386" max="5386" width="1" style="83" customWidth="1"/>
    <col min="5387" max="5387" width="20.75" style="83" customWidth="1"/>
    <col min="5388" max="5388" width="28.25" style="83" customWidth="1"/>
    <col min="5389" max="5389" width="23.25" style="83" customWidth="1"/>
    <col min="5390" max="5390" width="7.25" style="83" customWidth="1"/>
    <col min="5391" max="5391" width="14.375" style="83" customWidth="1"/>
    <col min="5392" max="5392" width="0.875" style="83" customWidth="1"/>
    <col min="5393" max="5640" width="10.75" style="83"/>
    <col min="5641" max="5641" width="3.125" style="83" customWidth="1"/>
    <col min="5642" max="5642" width="1" style="83" customWidth="1"/>
    <col min="5643" max="5643" width="20.75" style="83" customWidth="1"/>
    <col min="5644" max="5644" width="28.25" style="83" customWidth="1"/>
    <col min="5645" max="5645" width="23.25" style="83" customWidth="1"/>
    <col min="5646" max="5646" width="7.25" style="83" customWidth="1"/>
    <col min="5647" max="5647" width="14.375" style="83" customWidth="1"/>
    <col min="5648" max="5648" width="0.875" style="83" customWidth="1"/>
    <col min="5649" max="5896" width="10.75" style="83"/>
    <col min="5897" max="5897" width="3.125" style="83" customWidth="1"/>
    <col min="5898" max="5898" width="1" style="83" customWidth="1"/>
    <col min="5899" max="5899" width="20.75" style="83" customWidth="1"/>
    <col min="5900" max="5900" width="28.25" style="83" customWidth="1"/>
    <col min="5901" max="5901" width="23.25" style="83" customWidth="1"/>
    <col min="5902" max="5902" width="7.25" style="83" customWidth="1"/>
    <col min="5903" max="5903" width="14.375" style="83" customWidth="1"/>
    <col min="5904" max="5904" width="0.875" style="83" customWidth="1"/>
    <col min="5905" max="6152" width="10.75" style="83"/>
    <col min="6153" max="6153" width="3.125" style="83" customWidth="1"/>
    <col min="6154" max="6154" width="1" style="83" customWidth="1"/>
    <col min="6155" max="6155" width="20.75" style="83" customWidth="1"/>
    <col min="6156" max="6156" width="28.25" style="83" customWidth="1"/>
    <col min="6157" max="6157" width="23.25" style="83" customWidth="1"/>
    <col min="6158" max="6158" width="7.25" style="83" customWidth="1"/>
    <col min="6159" max="6159" width="14.375" style="83" customWidth="1"/>
    <col min="6160" max="6160" width="0.875" style="83" customWidth="1"/>
    <col min="6161" max="6408" width="10.75" style="83"/>
    <col min="6409" max="6409" width="3.125" style="83" customWidth="1"/>
    <col min="6410" max="6410" width="1" style="83" customWidth="1"/>
    <col min="6411" max="6411" width="20.75" style="83" customWidth="1"/>
    <col min="6412" max="6412" width="28.25" style="83" customWidth="1"/>
    <col min="6413" max="6413" width="23.25" style="83" customWidth="1"/>
    <col min="6414" max="6414" width="7.25" style="83" customWidth="1"/>
    <col min="6415" max="6415" width="14.375" style="83" customWidth="1"/>
    <col min="6416" max="6416" width="0.875" style="83" customWidth="1"/>
    <col min="6417" max="6664" width="10.75" style="83"/>
    <col min="6665" max="6665" width="3.125" style="83" customWidth="1"/>
    <col min="6666" max="6666" width="1" style="83" customWidth="1"/>
    <col min="6667" max="6667" width="20.75" style="83" customWidth="1"/>
    <col min="6668" max="6668" width="28.25" style="83" customWidth="1"/>
    <col min="6669" max="6669" width="23.25" style="83" customWidth="1"/>
    <col min="6670" max="6670" width="7.25" style="83" customWidth="1"/>
    <col min="6671" max="6671" width="14.375" style="83" customWidth="1"/>
    <col min="6672" max="6672" width="0.875" style="83" customWidth="1"/>
    <col min="6673" max="6920" width="10.75" style="83"/>
    <col min="6921" max="6921" width="3.125" style="83" customWidth="1"/>
    <col min="6922" max="6922" width="1" style="83" customWidth="1"/>
    <col min="6923" max="6923" width="20.75" style="83" customWidth="1"/>
    <col min="6924" max="6924" width="28.25" style="83" customWidth="1"/>
    <col min="6925" max="6925" width="23.25" style="83" customWidth="1"/>
    <col min="6926" max="6926" width="7.25" style="83" customWidth="1"/>
    <col min="6927" max="6927" width="14.375" style="83" customWidth="1"/>
    <col min="6928" max="6928" width="0.875" style="83" customWidth="1"/>
    <col min="6929" max="7176" width="10.75" style="83"/>
    <col min="7177" max="7177" width="3.125" style="83" customWidth="1"/>
    <col min="7178" max="7178" width="1" style="83" customWidth="1"/>
    <col min="7179" max="7179" width="20.75" style="83" customWidth="1"/>
    <col min="7180" max="7180" width="28.25" style="83" customWidth="1"/>
    <col min="7181" max="7181" width="23.25" style="83" customWidth="1"/>
    <col min="7182" max="7182" width="7.25" style="83" customWidth="1"/>
    <col min="7183" max="7183" width="14.375" style="83" customWidth="1"/>
    <col min="7184" max="7184" width="0.875" style="83" customWidth="1"/>
    <col min="7185" max="7432" width="10.75" style="83"/>
    <col min="7433" max="7433" width="3.125" style="83" customWidth="1"/>
    <col min="7434" max="7434" width="1" style="83" customWidth="1"/>
    <col min="7435" max="7435" width="20.75" style="83" customWidth="1"/>
    <col min="7436" max="7436" width="28.25" style="83" customWidth="1"/>
    <col min="7437" max="7437" width="23.25" style="83" customWidth="1"/>
    <col min="7438" max="7438" width="7.25" style="83" customWidth="1"/>
    <col min="7439" max="7439" width="14.375" style="83" customWidth="1"/>
    <col min="7440" max="7440" width="0.875" style="83" customWidth="1"/>
    <col min="7441" max="7688" width="10.75" style="83"/>
    <col min="7689" max="7689" width="3.125" style="83" customWidth="1"/>
    <col min="7690" max="7690" width="1" style="83" customWidth="1"/>
    <col min="7691" max="7691" width="20.75" style="83" customWidth="1"/>
    <col min="7692" max="7692" width="28.25" style="83" customWidth="1"/>
    <col min="7693" max="7693" width="23.25" style="83" customWidth="1"/>
    <col min="7694" max="7694" width="7.25" style="83" customWidth="1"/>
    <col min="7695" max="7695" width="14.375" style="83" customWidth="1"/>
    <col min="7696" max="7696" width="0.875" style="83" customWidth="1"/>
    <col min="7697" max="7944" width="10.75" style="83"/>
    <col min="7945" max="7945" width="3.125" style="83" customWidth="1"/>
    <col min="7946" max="7946" width="1" style="83" customWidth="1"/>
    <col min="7947" max="7947" width="20.75" style="83" customWidth="1"/>
    <col min="7948" max="7948" width="28.25" style="83" customWidth="1"/>
    <col min="7949" max="7949" width="23.25" style="83" customWidth="1"/>
    <col min="7950" max="7950" width="7.25" style="83" customWidth="1"/>
    <col min="7951" max="7951" width="14.375" style="83" customWidth="1"/>
    <col min="7952" max="7952" width="0.875" style="83" customWidth="1"/>
    <col min="7953" max="8200" width="10.75" style="83"/>
    <col min="8201" max="8201" width="3.125" style="83" customWidth="1"/>
    <col min="8202" max="8202" width="1" style="83" customWidth="1"/>
    <col min="8203" max="8203" width="20.75" style="83" customWidth="1"/>
    <col min="8204" max="8204" width="28.25" style="83" customWidth="1"/>
    <col min="8205" max="8205" width="23.25" style="83" customWidth="1"/>
    <col min="8206" max="8206" width="7.25" style="83" customWidth="1"/>
    <col min="8207" max="8207" width="14.375" style="83" customWidth="1"/>
    <col min="8208" max="8208" width="0.875" style="83" customWidth="1"/>
    <col min="8209" max="8456" width="10.75" style="83"/>
    <col min="8457" max="8457" width="3.125" style="83" customWidth="1"/>
    <col min="8458" max="8458" width="1" style="83" customWidth="1"/>
    <col min="8459" max="8459" width="20.75" style="83" customWidth="1"/>
    <col min="8460" max="8460" width="28.25" style="83" customWidth="1"/>
    <col min="8461" max="8461" width="23.25" style="83" customWidth="1"/>
    <col min="8462" max="8462" width="7.25" style="83" customWidth="1"/>
    <col min="8463" max="8463" width="14.375" style="83" customWidth="1"/>
    <col min="8464" max="8464" width="0.875" style="83" customWidth="1"/>
    <col min="8465" max="8712" width="10.75" style="83"/>
    <col min="8713" max="8713" width="3.125" style="83" customWidth="1"/>
    <col min="8714" max="8714" width="1" style="83" customWidth="1"/>
    <col min="8715" max="8715" width="20.75" style="83" customWidth="1"/>
    <col min="8716" max="8716" width="28.25" style="83" customWidth="1"/>
    <col min="8717" max="8717" width="23.25" style="83" customWidth="1"/>
    <col min="8718" max="8718" width="7.25" style="83" customWidth="1"/>
    <col min="8719" max="8719" width="14.375" style="83" customWidth="1"/>
    <col min="8720" max="8720" width="0.875" style="83" customWidth="1"/>
    <col min="8721" max="8968" width="10.75" style="83"/>
    <col min="8969" max="8969" width="3.125" style="83" customWidth="1"/>
    <col min="8970" max="8970" width="1" style="83" customWidth="1"/>
    <col min="8971" max="8971" width="20.75" style="83" customWidth="1"/>
    <col min="8972" max="8972" width="28.25" style="83" customWidth="1"/>
    <col min="8973" max="8973" width="23.25" style="83" customWidth="1"/>
    <col min="8974" max="8974" width="7.25" style="83" customWidth="1"/>
    <col min="8975" max="8975" width="14.375" style="83" customWidth="1"/>
    <col min="8976" max="8976" width="0.875" style="83" customWidth="1"/>
    <col min="8977" max="9224" width="10.75" style="83"/>
    <col min="9225" max="9225" width="3.125" style="83" customWidth="1"/>
    <col min="9226" max="9226" width="1" style="83" customWidth="1"/>
    <col min="9227" max="9227" width="20.75" style="83" customWidth="1"/>
    <col min="9228" max="9228" width="28.25" style="83" customWidth="1"/>
    <col min="9229" max="9229" width="23.25" style="83" customWidth="1"/>
    <col min="9230" max="9230" width="7.25" style="83" customWidth="1"/>
    <col min="9231" max="9231" width="14.375" style="83" customWidth="1"/>
    <col min="9232" max="9232" width="0.875" style="83" customWidth="1"/>
    <col min="9233" max="9480" width="10.75" style="83"/>
    <col min="9481" max="9481" width="3.125" style="83" customWidth="1"/>
    <col min="9482" max="9482" width="1" style="83" customWidth="1"/>
    <col min="9483" max="9483" width="20.75" style="83" customWidth="1"/>
    <col min="9484" max="9484" width="28.25" style="83" customWidth="1"/>
    <col min="9485" max="9485" width="23.25" style="83" customWidth="1"/>
    <col min="9486" max="9486" width="7.25" style="83" customWidth="1"/>
    <col min="9487" max="9487" width="14.375" style="83" customWidth="1"/>
    <col min="9488" max="9488" width="0.875" style="83" customWidth="1"/>
    <col min="9489" max="9736" width="10.75" style="83"/>
    <col min="9737" max="9737" width="3.125" style="83" customWidth="1"/>
    <col min="9738" max="9738" width="1" style="83" customWidth="1"/>
    <col min="9739" max="9739" width="20.75" style="83" customWidth="1"/>
    <col min="9740" max="9740" width="28.25" style="83" customWidth="1"/>
    <col min="9741" max="9741" width="23.25" style="83" customWidth="1"/>
    <col min="9742" max="9742" width="7.25" style="83" customWidth="1"/>
    <col min="9743" max="9743" width="14.375" style="83" customWidth="1"/>
    <col min="9744" max="9744" width="0.875" style="83" customWidth="1"/>
    <col min="9745" max="9992" width="10.75" style="83"/>
    <col min="9993" max="9993" width="3.125" style="83" customWidth="1"/>
    <col min="9994" max="9994" width="1" style="83" customWidth="1"/>
    <col min="9995" max="9995" width="20.75" style="83" customWidth="1"/>
    <col min="9996" max="9996" width="28.25" style="83" customWidth="1"/>
    <col min="9997" max="9997" width="23.25" style="83" customWidth="1"/>
    <col min="9998" max="9998" width="7.25" style="83" customWidth="1"/>
    <col min="9999" max="9999" width="14.375" style="83" customWidth="1"/>
    <col min="10000" max="10000" width="0.875" style="83" customWidth="1"/>
    <col min="10001" max="10248" width="10.75" style="83"/>
    <col min="10249" max="10249" width="3.125" style="83" customWidth="1"/>
    <col min="10250" max="10250" width="1" style="83" customWidth="1"/>
    <col min="10251" max="10251" width="20.75" style="83" customWidth="1"/>
    <col min="10252" max="10252" width="28.25" style="83" customWidth="1"/>
    <col min="10253" max="10253" width="23.25" style="83" customWidth="1"/>
    <col min="10254" max="10254" width="7.25" style="83" customWidth="1"/>
    <col min="10255" max="10255" width="14.375" style="83" customWidth="1"/>
    <col min="10256" max="10256" width="0.875" style="83" customWidth="1"/>
    <col min="10257" max="10504" width="10.75" style="83"/>
    <col min="10505" max="10505" width="3.125" style="83" customWidth="1"/>
    <col min="10506" max="10506" width="1" style="83" customWidth="1"/>
    <col min="10507" max="10507" width="20.75" style="83" customWidth="1"/>
    <col min="10508" max="10508" width="28.25" style="83" customWidth="1"/>
    <col min="10509" max="10509" width="23.25" style="83" customWidth="1"/>
    <col min="10510" max="10510" width="7.25" style="83" customWidth="1"/>
    <col min="10511" max="10511" width="14.375" style="83" customWidth="1"/>
    <col min="10512" max="10512" width="0.875" style="83" customWidth="1"/>
    <col min="10513" max="10760" width="10.75" style="83"/>
    <col min="10761" max="10761" width="3.125" style="83" customWidth="1"/>
    <col min="10762" max="10762" width="1" style="83" customWidth="1"/>
    <col min="10763" max="10763" width="20.75" style="83" customWidth="1"/>
    <col min="10764" max="10764" width="28.25" style="83" customWidth="1"/>
    <col min="10765" max="10765" width="23.25" style="83" customWidth="1"/>
    <col min="10766" max="10766" width="7.25" style="83" customWidth="1"/>
    <col min="10767" max="10767" width="14.375" style="83" customWidth="1"/>
    <col min="10768" max="10768" width="0.875" style="83" customWidth="1"/>
    <col min="10769" max="11016" width="10.75" style="83"/>
    <col min="11017" max="11017" width="3.125" style="83" customWidth="1"/>
    <col min="11018" max="11018" width="1" style="83" customWidth="1"/>
    <col min="11019" max="11019" width="20.75" style="83" customWidth="1"/>
    <col min="11020" max="11020" width="28.25" style="83" customWidth="1"/>
    <col min="11021" max="11021" width="23.25" style="83" customWidth="1"/>
    <col min="11022" max="11022" width="7.25" style="83" customWidth="1"/>
    <col min="11023" max="11023" width="14.375" style="83" customWidth="1"/>
    <col min="11024" max="11024" width="0.875" style="83" customWidth="1"/>
    <col min="11025" max="11272" width="10.75" style="83"/>
    <col min="11273" max="11273" width="3.125" style="83" customWidth="1"/>
    <col min="11274" max="11274" width="1" style="83" customWidth="1"/>
    <col min="11275" max="11275" width="20.75" style="83" customWidth="1"/>
    <col min="11276" max="11276" width="28.25" style="83" customWidth="1"/>
    <col min="11277" max="11277" width="23.25" style="83" customWidth="1"/>
    <col min="11278" max="11278" width="7.25" style="83" customWidth="1"/>
    <col min="11279" max="11279" width="14.375" style="83" customWidth="1"/>
    <col min="11280" max="11280" width="0.875" style="83" customWidth="1"/>
    <col min="11281" max="11528" width="10.75" style="83"/>
    <col min="11529" max="11529" width="3.125" style="83" customWidth="1"/>
    <col min="11530" max="11530" width="1" style="83" customWidth="1"/>
    <col min="11531" max="11531" width="20.75" style="83" customWidth="1"/>
    <col min="11532" max="11532" width="28.25" style="83" customWidth="1"/>
    <col min="11533" max="11533" width="23.25" style="83" customWidth="1"/>
    <col min="11534" max="11534" width="7.25" style="83" customWidth="1"/>
    <col min="11535" max="11535" width="14.375" style="83" customWidth="1"/>
    <col min="11536" max="11536" width="0.875" style="83" customWidth="1"/>
    <col min="11537" max="11784" width="10.75" style="83"/>
    <col min="11785" max="11785" width="3.125" style="83" customWidth="1"/>
    <col min="11786" max="11786" width="1" style="83" customWidth="1"/>
    <col min="11787" max="11787" width="20.75" style="83" customWidth="1"/>
    <col min="11788" max="11788" width="28.25" style="83" customWidth="1"/>
    <col min="11789" max="11789" width="23.25" style="83" customWidth="1"/>
    <col min="11790" max="11790" width="7.25" style="83" customWidth="1"/>
    <col min="11791" max="11791" width="14.375" style="83" customWidth="1"/>
    <col min="11792" max="11792" width="0.875" style="83" customWidth="1"/>
    <col min="11793" max="12040" width="10.75" style="83"/>
    <col min="12041" max="12041" width="3.125" style="83" customWidth="1"/>
    <col min="12042" max="12042" width="1" style="83" customWidth="1"/>
    <col min="12043" max="12043" width="20.75" style="83" customWidth="1"/>
    <col min="12044" max="12044" width="28.25" style="83" customWidth="1"/>
    <col min="12045" max="12045" width="23.25" style="83" customWidth="1"/>
    <col min="12046" max="12046" width="7.25" style="83" customWidth="1"/>
    <col min="12047" max="12047" width="14.375" style="83" customWidth="1"/>
    <col min="12048" max="12048" width="0.875" style="83" customWidth="1"/>
    <col min="12049" max="12296" width="10.75" style="83"/>
    <col min="12297" max="12297" width="3.125" style="83" customWidth="1"/>
    <col min="12298" max="12298" width="1" style="83" customWidth="1"/>
    <col min="12299" max="12299" width="20.75" style="83" customWidth="1"/>
    <col min="12300" max="12300" width="28.25" style="83" customWidth="1"/>
    <col min="12301" max="12301" width="23.25" style="83" customWidth="1"/>
    <col min="12302" max="12302" width="7.25" style="83" customWidth="1"/>
    <col min="12303" max="12303" width="14.375" style="83" customWidth="1"/>
    <col min="12304" max="12304" width="0.875" style="83" customWidth="1"/>
    <col min="12305" max="12552" width="10.75" style="83"/>
    <col min="12553" max="12553" width="3.125" style="83" customWidth="1"/>
    <col min="12554" max="12554" width="1" style="83" customWidth="1"/>
    <col min="12555" max="12555" width="20.75" style="83" customWidth="1"/>
    <col min="12556" max="12556" width="28.25" style="83" customWidth="1"/>
    <col min="12557" max="12557" width="23.25" style="83" customWidth="1"/>
    <col min="12558" max="12558" width="7.25" style="83" customWidth="1"/>
    <col min="12559" max="12559" width="14.375" style="83" customWidth="1"/>
    <col min="12560" max="12560" width="0.875" style="83" customWidth="1"/>
    <col min="12561" max="12808" width="10.75" style="83"/>
    <col min="12809" max="12809" width="3.125" style="83" customWidth="1"/>
    <col min="12810" max="12810" width="1" style="83" customWidth="1"/>
    <col min="12811" max="12811" width="20.75" style="83" customWidth="1"/>
    <col min="12812" max="12812" width="28.25" style="83" customWidth="1"/>
    <col min="12813" max="12813" width="23.25" style="83" customWidth="1"/>
    <col min="12814" max="12814" width="7.25" style="83" customWidth="1"/>
    <col min="12815" max="12815" width="14.375" style="83" customWidth="1"/>
    <col min="12816" max="12816" width="0.875" style="83" customWidth="1"/>
    <col min="12817" max="13064" width="10.75" style="83"/>
    <col min="13065" max="13065" width="3.125" style="83" customWidth="1"/>
    <col min="13066" max="13066" width="1" style="83" customWidth="1"/>
    <col min="13067" max="13067" width="20.75" style="83" customWidth="1"/>
    <col min="13068" max="13068" width="28.25" style="83" customWidth="1"/>
    <col min="13069" max="13069" width="23.25" style="83" customWidth="1"/>
    <col min="13070" max="13070" width="7.25" style="83" customWidth="1"/>
    <col min="13071" max="13071" width="14.375" style="83" customWidth="1"/>
    <col min="13072" max="13072" width="0.875" style="83" customWidth="1"/>
    <col min="13073" max="13320" width="10.75" style="83"/>
    <col min="13321" max="13321" width="3.125" style="83" customWidth="1"/>
    <col min="13322" max="13322" width="1" style="83" customWidth="1"/>
    <col min="13323" max="13323" width="20.75" style="83" customWidth="1"/>
    <col min="13324" max="13324" width="28.25" style="83" customWidth="1"/>
    <col min="13325" max="13325" width="23.25" style="83" customWidth="1"/>
    <col min="13326" max="13326" width="7.25" style="83" customWidth="1"/>
    <col min="13327" max="13327" width="14.375" style="83" customWidth="1"/>
    <col min="13328" max="13328" width="0.875" style="83" customWidth="1"/>
    <col min="13329" max="13576" width="10.75" style="83"/>
    <col min="13577" max="13577" width="3.125" style="83" customWidth="1"/>
    <col min="13578" max="13578" width="1" style="83" customWidth="1"/>
    <col min="13579" max="13579" width="20.75" style="83" customWidth="1"/>
    <col min="13580" max="13580" width="28.25" style="83" customWidth="1"/>
    <col min="13581" max="13581" width="23.25" style="83" customWidth="1"/>
    <col min="13582" max="13582" width="7.25" style="83" customWidth="1"/>
    <col min="13583" max="13583" width="14.375" style="83" customWidth="1"/>
    <col min="13584" max="13584" width="0.875" style="83" customWidth="1"/>
    <col min="13585" max="13832" width="10.75" style="83"/>
    <col min="13833" max="13833" width="3.125" style="83" customWidth="1"/>
    <col min="13834" max="13834" width="1" style="83" customWidth="1"/>
    <col min="13835" max="13835" width="20.75" style="83" customWidth="1"/>
    <col min="13836" max="13836" width="28.25" style="83" customWidth="1"/>
    <col min="13837" max="13837" width="23.25" style="83" customWidth="1"/>
    <col min="13838" max="13838" width="7.25" style="83" customWidth="1"/>
    <col min="13839" max="13839" width="14.375" style="83" customWidth="1"/>
    <col min="13840" max="13840" width="0.875" style="83" customWidth="1"/>
    <col min="13841" max="14088" width="10.75" style="83"/>
    <col min="14089" max="14089" width="3.125" style="83" customWidth="1"/>
    <col min="14090" max="14090" width="1" style="83" customWidth="1"/>
    <col min="14091" max="14091" width="20.75" style="83" customWidth="1"/>
    <col min="14092" max="14092" width="28.25" style="83" customWidth="1"/>
    <col min="14093" max="14093" width="23.25" style="83" customWidth="1"/>
    <col min="14094" max="14094" width="7.25" style="83" customWidth="1"/>
    <col min="14095" max="14095" width="14.375" style="83" customWidth="1"/>
    <col min="14096" max="14096" width="0.875" style="83" customWidth="1"/>
    <col min="14097" max="14344" width="10.75" style="83"/>
    <col min="14345" max="14345" width="3.125" style="83" customWidth="1"/>
    <col min="14346" max="14346" width="1" style="83" customWidth="1"/>
    <col min="14347" max="14347" width="20.75" style="83" customWidth="1"/>
    <col min="14348" max="14348" width="28.25" style="83" customWidth="1"/>
    <col min="14349" max="14349" width="23.25" style="83" customWidth="1"/>
    <col min="14350" max="14350" width="7.25" style="83" customWidth="1"/>
    <col min="14351" max="14351" width="14.375" style="83" customWidth="1"/>
    <col min="14352" max="14352" width="0.875" style="83" customWidth="1"/>
    <col min="14353" max="14600" width="10.75" style="83"/>
    <col min="14601" max="14601" width="3.125" style="83" customWidth="1"/>
    <col min="14602" max="14602" width="1" style="83" customWidth="1"/>
    <col min="14603" max="14603" width="20.75" style="83" customWidth="1"/>
    <col min="14604" max="14604" width="28.25" style="83" customWidth="1"/>
    <col min="14605" max="14605" width="23.25" style="83" customWidth="1"/>
    <col min="14606" max="14606" width="7.25" style="83" customWidth="1"/>
    <col min="14607" max="14607" width="14.375" style="83" customWidth="1"/>
    <col min="14608" max="14608" width="0.875" style="83" customWidth="1"/>
    <col min="14609" max="14856" width="10.75" style="83"/>
    <col min="14857" max="14857" width="3.125" style="83" customWidth="1"/>
    <col min="14858" max="14858" width="1" style="83" customWidth="1"/>
    <col min="14859" max="14859" width="20.75" style="83" customWidth="1"/>
    <col min="14860" max="14860" width="28.25" style="83" customWidth="1"/>
    <col min="14861" max="14861" width="23.25" style="83" customWidth="1"/>
    <col min="14862" max="14862" width="7.25" style="83" customWidth="1"/>
    <col min="14863" max="14863" width="14.375" style="83" customWidth="1"/>
    <col min="14864" max="14864" width="0.875" style="83" customWidth="1"/>
    <col min="14865" max="15112" width="10.75" style="83"/>
    <col min="15113" max="15113" width="3.125" style="83" customWidth="1"/>
    <col min="15114" max="15114" width="1" style="83" customWidth="1"/>
    <col min="15115" max="15115" width="20.75" style="83" customWidth="1"/>
    <col min="15116" max="15116" width="28.25" style="83" customWidth="1"/>
    <col min="15117" max="15117" width="23.25" style="83" customWidth="1"/>
    <col min="15118" max="15118" width="7.25" style="83" customWidth="1"/>
    <col min="15119" max="15119" width="14.375" style="83" customWidth="1"/>
    <col min="15120" max="15120" width="0.875" style="83" customWidth="1"/>
    <col min="15121" max="15368" width="10.75" style="83"/>
    <col min="15369" max="15369" width="3.125" style="83" customWidth="1"/>
    <col min="15370" max="15370" width="1" style="83" customWidth="1"/>
    <col min="15371" max="15371" width="20.75" style="83" customWidth="1"/>
    <col min="15372" max="15372" width="28.25" style="83" customWidth="1"/>
    <col min="15373" max="15373" width="23.25" style="83" customWidth="1"/>
    <col min="15374" max="15374" width="7.25" style="83" customWidth="1"/>
    <col min="15375" max="15375" width="14.375" style="83" customWidth="1"/>
    <col min="15376" max="15376" width="0.875" style="83" customWidth="1"/>
    <col min="15377" max="15624" width="10.75" style="83"/>
    <col min="15625" max="15625" width="3.125" style="83" customWidth="1"/>
    <col min="15626" max="15626" width="1" style="83" customWidth="1"/>
    <col min="15627" max="15627" width="20.75" style="83" customWidth="1"/>
    <col min="15628" max="15628" width="28.25" style="83" customWidth="1"/>
    <col min="15629" max="15629" width="23.25" style="83" customWidth="1"/>
    <col min="15630" max="15630" width="7.25" style="83" customWidth="1"/>
    <col min="15631" max="15631" width="14.375" style="83" customWidth="1"/>
    <col min="15632" max="15632" width="0.875" style="83" customWidth="1"/>
    <col min="15633" max="15880" width="10.75" style="83"/>
    <col min="15881" max="15881" width="3.125" style="83" customWidth="1"/>
    <col min="15882" max="15882" width="1" style="83" customWidth="1"/>
    <col min="15883" max="15883" width="20.75" style="83" customWidth="1"/>
    <col min="15884" max="15884" width="28.25" style="83" customWidth="1"/>
    <col min="15885" max="15885" width="23.25" style="83" customWidth="1"/>
    <col min="15886" max="15886" width="7.25" style="83" customWidth="1"/>
    <col min="15887" max="15887" width="14.375" style="83" customWidth="1"/>
    <col min="15888" max="15888" width="0.875" style="83" customWidth="1"/>
    <col min="15889" max="16136" width="10.75" style="83"/>
    <col min="16137" max="16137" width="3.125" style="83" customWidth="1"/>
    <col min="16138" max="16138" width="1" style="83" customWidth="1"/>
    <col min="16139" max="16139" width="20.75" style="83" customWidth="1"/>
    <col min="16140" max="16140" width="28.25" style="83" customWidth="1"/>
    <col min="16141" max="16141" width="23.25" style="83" customWidth="1"/>
    <col min="16142" max="16142" width="7.25" style="83" customWidth="1"/>
    <col min="16143" max="16143" width="14.375" style="83" customWidth="1"/>
    <col min="16144" max="16144" width="0.875" style="83" customWidth="1"/>
    <col min="16145" max="16384" width="10.75" style="83"/>
  </cols>
  <sheetData>
    <row r="1" spans="1:18" ht="30" customHeight="1">
      <c r="A1" s="346" t="s">
        <v>55</v>
      </c>
      <c r="B1" s="346"/>
      <c r="C1" s="346"/>
      <c r="D1" s="346"/>
      <c r="E1" s="346"/>
      <c r="F1" s="346"/>
      <c r="G1" s="346"/>
      <c r="H1" s="346"/>
      <c r="I1" s="346"/>
      <c r="J1" s="346"/>
      <c r="K1" s="346"/>
      <c r="L1" s="346"/>
      <c r="M1" s="346"/>
      <c r="N1" s="346"/>
      <c r="O1" s="346"/>
      <c r="P1" s="346"/>
      <c r="Q1" s="346"/>
      <c r="R1" s="82"/>
    </row>
    <row r="2" spans="1:18" ht="19.5">
      <c r="A2" s="84" t="s">
        <v>56</v>
      </c>
      <c r="B2" s="84"/>
      <c r="C2" s="85"/>
    </row>
    <row r="3" spans="1:18" ht="9" customHeight="1">
      <c r="A3" s="84"/>
      <c r="B3" s="84"/>
      <c r="C3" s="85"/>
    </row>
    <row r="4" spans="1:18" ht="15.75">
      <c r="A4" s="337" t="s">
        <v>57</v>
      </c>
      <c r="B4" s="337"/>
      <c r="C4" s="337"/>
      <c r="D4" s="311"/>
      <c r="E4" s="311"/>
      <c r="F4" s="311"/>
      <c r="G4" s="95"/>
      <c r="H4" s="95"/>
      <c r="I4" s="95"/>
      <c r="J4" s="95"/>
      <c r="K4" s="95"/>
      <c r="L4" s="95"/>
      <c r="M4" s="95"/>
      <c r="N4" s="95"/>
      <c r="O4" s="95"/>
      <c r="P4" s="95"/>
      <c r="Q4" s="95"/>
    </row>
    <row r="5" spans="1:18" ht="15.75" customHeight="1">
      <c r="A5" s="338"/>
      <c r="B5" s="338"/>
      <c r="C5" s="338"/>
      <c r="D5" s="349" t="s">
        <v>58</v>
      </c>
      <c r="E5" s="349"/>
      <c r="F5" s="349"/>
      <c r="G5" s="349"/>
      <c r="H5" s="349"/>
      <c r="I5" s="349"/>
      <c r="J5" s="349"/>
      <c r="K5" s="349" t="s">
        <v>59</v>
      </c>
      <c r="L5" s="349"/>
      <c r="M5" s="349"/>
      <c r="N5" s="349"/>
      <c r="O5" s="349"/>
      <c r="P5" s="349"/>
      <c r="Q5" s="349"/>
    </row>
    <row r="6" spans="1:18" ht="19.5" customHeight="1">
      <c r="A6" s="342" t="s">
        <v>60</v>
      </c>
      <c r="B6" s="342"/>
      <c r="C6" s="342"/>
      <c r="D6" s="342" t="s">
        <v>54</v>
      </c>
      <c r="E6" s="342"/>
      <c r="F6" s="342"/>
      <c r="G6" s="342"/>
      <c r="H6" s="342"/>
      <c r="I6" s="342"/>
      <c r="J6" s="342"/>
      <c r="K6" s="342" t="s">
        <v>54</v>
      </c>
      <c r="L6" s="342"/>
      <c r="M6" s="342"/>
      <c r="N6" s="342"/>
      <c r="O6" s="342"/>
      <c r="P6" s="342"/>
      <c r="Q6" s="342"/>
    </row>
    <row r="7" spans="1:18" ht="27" customHeight="1">
      <c r="A7" s="342" t="s">
        <v>61</v>
      </c>
      <c r="B7" s="342"/>
      <c r="C7" s="342"/>
      <c r="D7" s="342"/>
      <c r="E7" s="342"/>
      <c r="F7" s="342"/>
      <c r="G7" s="342"/>
      <c r="H7" s="342"/>
      <c r="I7" s="342"/>
      <c r="J7" s="342"/>
      <c r="K7" s="342"/>
      <c r="L7" s="342"/>
      <c r="M7" s="342"/>
      <c r="N7" s="342"/>
      <c r="O7" s="342"/>
      <c r="P7" s="342"/>
      <c r="Q7" s="342"/>
    </row>
    <row r="8" spans="1:18" ht="11.25" customHeight="1">
      <c r="A8" s="86"/>
      <c r="B8" s="86"/>
      <c r="C8" s="95"/>
      <c r="D8" s="86"/>
      <c r="E8" s="86"/>
      <c r="F8" s="86"/>
      <c r="G8" s="86"/>
      <c r="H8" s="86"/>
      <c r="I8" s="86"/>
      <c r="J8" s="86"/>
      <c r="K8" s="86"/>
      <c r="L8" s="86"/>
      <c r="M8" s="86"/>
      <c r="N8" s="86"/>
      <c r="O8" s="86"/>
      <c r="P8" s="86"/>
      <c r="Q8" s="86"/>
    </row>
    <row r="9" spans="1:18" s="87" customFormat="1" ht="15.75">
      <c r="A9" s="310" t="s">
        <v>62</v>
      </c>
      <c r="B9" s="310"/>
      <c r="C9" s="310"/>
      <c r="D9" s="310"/>
      <c r="E9" s="310"/>
      <c r="F9" s="310"/>
      <c r="G9" s="310"/>
      <c r="H9" s="310"/>
      <c r="I9" s="310"/>
      <c r="J9" s="310"/>
      <c r="K9" s="310"/>
      <c r="L9" s="310"/>
      <c r="M9" s="310"/>
      <c r="N9" s="310"/>
      <c r="O9" s="310"/>
      <c r="P9" s="310"/>
      <c r="Q9" s="310"/>
      <c r="R9" s="85"/>
    </row>
    <row r="10" spans="1:18" s="87" customFormat="1" ht="15.75">
      <c r="A10" s="332" t="s">
        <v>63</v>
      </c>
      <c r="B10" s="332"/>
      <c r="C10" s="332"/>
      <c r="D10" s="332"/>
      <c r="E10" s="332"/>
      <c r="F10" s="332"/>
      <c r="G10" s="332"/>
      <c r="H10" s="332"/>
      <c r="I10" s="332"/>
      <c r="J10" s="332"/>
      <c r="K10" s="332"/>
      <c r="L10" s="332"/>
      <c r="M10" s="332"/>
      <c r="N10" s="332"/>
      <c r="O10" s="332"/>
      <c r="P10" s="332"/>
      <c r="Q10" s="332"/>
      <c r="R10" s="85"/>
    </row>
    <row r="11" spans="1:18" s="87" customFormat="1" ht="15.75">
      <c r="A11" s="88"/>
      <c r="B11" s="88"/>
      <c r="C11" s="333" t="s">
        <v>64</v>
      </c>
      <c r="D11" s="334"/>
      <c r="E11" s="334"/>
      <c r="F11" s="334"/>
      <c r="G11" s="334"/>
      <c r="H11" s="334"/>
      <c r="I11" s="334"/>
      <c r="J11" s="334"/>
      <c r="K11" s="334"/>
      <c r="L11" s="334"/>
      <c r="M11" s="334"/>
      <c r="N11" s="334"/>
      <c r="O11" s="334"/>
      <c r="P11" s="334"/>
      <c r="Q11" s="334"/>
      <c r="R11" s="85"/>
    </row>
    <row r="12" spans="1:18" s="87" customFormat="1" ht="15.75">
      <c r="A12" s="88"/>
      <c r="B12" s="88"/>
      <c r="C12" s="333" t="s">
        <v>65</v>
      </c>
      <c r="D12" s="334"/>
      <c r="E12" s="334"/>
      <c r="F12" s="334"/>
      <c r="G12" s="334"/>
      <c r="H12" s="334"/>
      <c r="I12" s="334"/>
      <c r="J12" s="334"/>
      <c r="K12" s="334"/>
      <c r="L12" s="334"/>
      <c r="M12" s="334"/>
      <c r="N12" s="334"/>
      <c r="O12" s="334"/>
      <c r="P12" s="334"/>
      <c r="Q12" s="334"/>
      <c r="R12" s="85"/>
    </row>
    <row r="13" spans="1:18" s="87" customFormat="1" ht="17.25" customHeight="1">
      <c r="A13" s="335" t="s">
        <v>66</v>
      </c>
      <c r="B13" s="335"/>
      <c r="C13" s="335"/>
      <c r="D13" s="335"/>
      <c r="E13" s="335"/>
      <c r="F13" s="335"/>
      <c r="G13" s="335"/>
      <c r="H13" s="335"/>
      <c r="I13" s="335"/>
      <c r="J13" s="335"/>
      <c r="K13" s="335"/>
      <c r="L13" s="335"/>
      <c r="M13" s="335"/>
      <c r="N13" s="335"/>
      <c r="O13" s="335"/>
      <c r="P13" s="335"/>
      <c r="Q13" s="335"/>
      <c r="R13" s="85"/>
    </row>
    <row r="14" spans="1:18" s="87" customFormat="1" ht="18.75" customHeight="1">
      <c r="A14" s="119"/>
      <c r="B14" s="119"/>
      <c r="C14" s="119"/>
      <c r="D14" s="119"/>
      <c r="E14" s="119"/>
      <c r="F14" s="119"/>
      <c r="G14" s="119"/>
      <c r="H14" s="119"/>
      <c r="I14" s="119"/>
      <c r="J14" s="119"/>
      <c r="K14" s="119"/>
      <c r="L14" s="119"/>
      <c r="M14" s="119"/>
      <c r="N14" s="119"/>
      <c r="O14" s="119"/>
      <c r="P14" s="119"/>
      <c r="Q14" s="119"/>
      <c r="R14" s="85"/>
    </row>
    <row r="15" spans="1:18" ht="15.75">
      <c r="A15" s="336" t="s">
        <v>67</v>
      </c>
      <c r="B15" s="336"/>
      <c r="C15" s="336"/>
      <c r="D15" s="336"/>
      <c r="E15" s="336"/>
      <c r="F15" s="336"/>
      <c r="G15" s="336"/>
      <c r="H15" s="336"/>
      <c r="I15" s="336"/>
      <c r="J15" s="336"/>
      <c r="K15" s="336"/>
      <c r="L15" s="336"/>
      <c r="M15" s="336"/>
      <c r="N15" s="336"/>
      <c r="O15" s="336"/>
      <c r="P15" s="336"/>
      <c r="Q15" s="336"/>
    </row>
    <row r="16" spans="1:18" ht="12.75" customHeight="1">
      <c r="A16" s="141"/>
      <c r="B16" s="141"/>
      <c r="C16" s="141"/>
      <c r="D16" s="141"/>
      <c r="E16" s="141"/>
      <c r="F16" s="141"/>
      <c r="G16" s="155"/>
      <c r="H16" s="155"/>
      <c r="I16" s="155"/>
      <c r="J16" s="155"/>
      <c r="K16" s="155"/>
      <c r="L16" s="155"/>
      <c r="M16" s="155"/>
      <c r="N16" s="155"/>
      <c r="O16" s="155"/>
      <c r="P16" s="155"/>
      <c r="Q16" s="155"/>
    </row>
    <row r="17" spans="1:19" ht="21.95" customHeight="1">
      <c r="A17" s="90"/>
      <c r="B17" s="90"/>
      <c r="C17" s="350"/>
      <c r="D17" s="350"/>
      <c r="E17" s="350"/>
      <c r="F17" s="91"/>
      <c r="G17" s="91"/>
      <c r="H17" s="91"/>
      <c r="I17" s="91"/>
      <c r="J17" s="91"/>
      <c r="K17" s="91"/>
      <c r="L17" s="91"/>
      <c r="M17" s="91"/>
      <c r="N17" s="91"/>
      <c r="O17" s="91"/>
      <c r="P17" s="91"/>
      <c r="Q17" s="91"/>
      <c r="R17" s="93"/>
    </row>
    <row r="18" spans="1:19" ht="21.95" customHeight="1">
      <c r="A18" s="90"/>
      <c r="B18" s="90"/>
      <c r="C18" s="350"/>
      <c r="D18" s="350"/>
      <c r="E18" s="350"/>
      <c r="F18" s="91"/>
      <c r="G18" s="91"/>
      <c r="H18" s="91"/>
      <c r="I18" s="91"/>
      <c r="J18" s="91"/>
      <c r="K18" s="91"/>
      <c r="L18" s="91"/>
      <c r="M18" s="91"/>
      <c r="N18" s="91"/>
      <c r="O18" s="91"/>
      <c r="P18" s="91"/>
      <c r="Q18" s="91"/>
      <c r="R18" s="89"/>
    </row>
    <row r="19" spans="1:19" ht="21.95" customHeight="1">
      <c r="A19" s="90"/>
      <c r="B19" s="90"/>
      <c r="C19" s="103"/>
      <c r="D19" s="103"/>
      <c r="E19" s="103"/>
      <c r="F19" s="91"/>
      <c r="G19" s="91"/>
      <c r="H19" s="91"/>
      <c r="I19" s="91"/>
      <c r="J19" s="91"/>
      <c r="K19" s="91"/>
      <c r="L19" s="91"/>
      <c r="M19" s="91"/>
      <c r="N19" s="91"/>
      <c r="O19" s="91"/>
      <c r="P19" s="91"/>
      <c r="Q19" s="91"/>
      <c r="R19" s="89"/>
    </row>
    <row r="20" spans="1:19" ht="21.95" customHeight="1">
      <c r="A20" s="90"/>
      <c r="B20" s="90"/>
      <c r="C20" s="350"/>
      <c r="D20" s="350"/>
      <c r="E20" s="350"/>
      <c r="F20" s="91"/>
      <c r="G20" s="91"/>
      <c r="H20" s="91"/>
      <c r="I20" s="91"/>
      <c r="J20" s="91"/>
      <c r="K20" s="91"/>
      <c r="L20" s="91"/>
      <c r="M20" s="91"/>
      <c r="N20" s="91"/>
      <c r="O20" s="91"/>
      <c r="P20" s="91"/>
      <c r="Q20" s="91"/>
      <c r="R20" s="89"/>
    </row>
    <row r="21" spans="1:19" ht="21.95" customHeight="1">
      <c r="A21" s="90"/>
      <c r="B21" s="90"/>
      <c r="C21" s="350"/>
      <c r="D21" s="350"/>
      <c r="E21" s="350"/>
      <c r="F21" s="91"/>
      <c r="G21" s="91"/>
      <c r="H21" s="91"/>
      <c r="I21" s="91"/>
      <c r="J21" s="91"/>
      <c r="K21" s="91"/>
      <c r="L21" s="91"/>
      <c r="M21" s="91"/>
      <c r="N21" s="91"/>
      <c r="O21" s="91"/>
      <c r="P21" s="91"/>
      <c r="Q21" s="91"/>
      <c r="R21" s="89"/>
    </row>
    <row r="22" spans="1:19" ht="21.95" customHeight="1">
      <c r="A22" s="90"/>
      <c r="B22" s="90"/>
      <c r="C22" s="350"/>
      <c r="D22" s="350"/>
      <c r="E22" s="350"/>
      <c r="F22" s="91"/>
      <c r="G22" s="91"/>
      <c r="H22" s="91"/>
      <c r="I22" s="91"/>
      <c r="J22" s="91"/>
      <c r="K22" s="91"/>
      <c r="L22" s="91"/>
      <c r="M22" s="91"/>
      <c r="N22" s="91"/>
      <c r="O22" s="91"/>
      <c r="P22" s="91"/>
      <c r="Q22" s="91"/>
      <c r="R22" s="89"/>
    </row>
    <row r="23" spans="1:19" ht="21.95" customHeight="1">
      <c r="A23" s="90"/>
      <c r="B23" s="90"/>
      <c r="C23" s="350"/>
      <c r="D23" s="350"/>
      <c r="E23" s="350"/>
      <c r="F23" s="91"/>
      <c r="G23" s="91"/>
      <c r="H23" s="91"/>
      <c r="I23" s="91"/>
      <c r="J23" s="91"/>
      <c r="K23" s="91"/>
      <c r="L23" s="91"/>
      <c r="M23" s="91"/>
      <c r="N23" s="91"/>
      <c r="O23" s="91"/>
      <c r="P23" s="91"/>
      <c r="Q23" s="91"/>
      <c r="R23" s="89"/>
    </row>
    <row r="24" spans="1:19" ht="21.95" customHeight="1">
      <c r="A24" s="90"/>
      <c r="B24" s="90"/>
      <c r="C24" s="350"/>
      <c r="D24" s="350"/>
      <c r="E24" s="350"/>
      <c r="F24" s="91"/>
      <c r="G24" s="91"/>
      <c r="H24" s="91"/>
      <c r="I24" s="91"/>
      <c r="J24" s="91"/>
      <c r="K24" s="91"/>
      <c r="L24" s="91"/>
      <c r="M24" s="91"/>
      <c r="N24" s="91"/>
      <c r="O24" s="91"/>
      <c r="P24" s="91"/>
      <c r="Q24" s="91"/>
      <c r="R24" s="89"/>
    </row>
    <row r="25" spans="1:19" ht="21.95" customHeight="1">
      <c r="A25" s="90"/>
      <c r="B25" s="90"/>
      <c r="C25" s="350"/>
      <c r="D25" s="350"/>
      <c r="E25" s="350"/>
      <c r="F25" s="91"/>
      <c r="G25" s="91"/>
      <c r="H25" s="91"/>
      <c r="I25" s="91"/>
      <c r="J25" s="91"/>
      <c r="K25" s="91"/>
      <c r="L25" s="91"/>
      <c r="M25" s="91"/>
      <c r="N25" s="91"/>
      <c r="O25" s="91"/>
      <c r="P25" s="91"/>
      <c r="Q25" s="91"/>
      <c r="R25" s="89"/>
    </row>
    <row r="26" spans="1:19" ht="24.95" customHeight="1">
      <c r="A26" s="177"/>
      <c r="B26" s="180"/>
      <c r="C26" s="181"/>
      <c r="D26" s="181"/>
      <c r="E26" s="150"/>
      <c r="F26" s="178"/>
      <c r="G26" s="143"/>
      <c r="H26" s="143"/>
      <c r="I26" s="143"/>
      <c r="J26" s="143"/>
      <c r="K26" s="143"/>
      <c r="L26" s="143"/>
      <c r="M26" s="143"/>
      <c r="N26" s="143"/>
      <c r="O26" s="143"/>
      <c r="P26" s="143"/>
      <c r="Q26" s="143"/>
      <c r="R26" s="89"/>
      <c r="S26" s="118"/>
    </row>
    <row r="27" spans="1:19" ht="21.95" customHeight="1">
      <c r="A27" s="90"/>
      <c r="B27" s="90"/>
      <c r="C27" s="350"/>
      <c r="D27" s="350"/>
      <c r="E27" s="350"/>
      <c r="F27" s="91"/>
      <c r="G27" s="91"/>
      <c r="H27" s="91"/>
      <c r="I27" s="91"/>
      <c r="J27" s="91"/>
      <c r="K27" s="91"/>
      <c r="L27" s="91"/>
      <c r="M27" s="91"/>
      <c r="N27" s="91"/>
      <c r="O27" s="91"/>
      <c r="P27" s="91"/>
      <c r="Q27" s="91"/>
      <c r="R27" s="93"/>
    </row>
    <row r="28" spans="1:19" ht="21.95" customHeight="1">
      <c r="A28" s="90"/>
      <c r="B28" s="90"/>
      <c r="C28" s="350"/>
      <c r="D28" s="350"/>
      <c r="E28" s="350"/>
      <c r="F28" s="91"/>
      <c r="G28" s="91"/>
      <c r="H28" s="91"/>
      <c r="I28" s="91"/>
      <c r="J28" s="91"/>
      <c r="K28" s="91"/>
      <c r="L28" s="91"/>
      <c r="M28" s="91"/>
      <c r="N28" s="91"/>
      <c r="O28" s="91"/>
      <c r="P28" s="91"/>
      <c r="Q28" s="91"/>
      <c r="R28" s="89"/>
    </row>
    <row r="29" spans="1:19" ht="21.95" customHeight="1">
      <c r="A29" s="90"/>
      <c r="B29" s="90"/>
      <c r="C29" s="350"/>
      <c r="D29" s="350"/>
      <c r="E29" s="350"/>
      <c r="F29" s="91"/>
      <c r="G29" s="91"/>
      <c r="H29" s="91"/>
      <c r="I29" s="91"/>
      <c r="J29" s="91"/>
      <c r="K29" s="91"/>
      <c r="L29" s="91"/>
      <c r="M29" s="91"/>
      <c r="N29" s="91"/>
      <c r="O29" s="91"/>
      <c r="P29" s="91"/>
      <c r="Q29" s="91"/>
      <c r="R29" s="89"/>
    </row>
    <row r="30" spans="1:19" ht="21.95" customHeight="1">
      <c r="A30" s="90"/>
      <c r="B30" s="90"/>
      <c r="C30" s="350"/>
      <c r="D30" s="350"/>
      <c r="E30" s="350"/>
      <c r="F30" s="91"/>
      <c r="G30" s="91"/>
      <c r="H30" s="91"/>
      <c r="I30" s="91"/>
      <c r="J30" s="91"/>
      <c r="K30" s="91"/>
      <c r="L30" s="91"/>
      <c r="M30" s="91"/>
      <c r="N30" s="91"/>
      <c r="O30" s="91"/>
      <c r="P30" s="91"/>
      <c r="Q30" s="91"/>
      <c r="R30" s="89"/>
    </row>
    <row r="31" spans="1:19" ht="21.95" customHeight="1">
      <c r="A31" s="90"/>
      <c r="B31" s="90"/>
      <c r="C31" s="350"/>
      <c r="D31" s="350"/>
      <c r="E31" s="350"/>
      <c r="F31" s="91"/>
      <c r="G31" s="91"/>
      <c r="H31" s="91"/>
      <c r="I31" s="91"/>
      <c r="J31" s="91"/>
      <c r="K31" s="91"/>
      <c r="L31" s="91"/>
      <c r="M31" s="91"/>
      <c r="N31" s="91"/>
      <c r="O31" s="91"/>
      <c r="P31" s="91"/>
      <c r="Q31" s="91"/>
      <c r="R31" s="89"/>
    </row>
    <row r="32" spans="1:19" ht="21.95" customHeight="1">
      <c r="A32" s="90"/>
      <c r="B32" s="90"/>
      <c r="C32" s="350"/>
      <c r="D32" s="350"/>
      <c r="E32" s="350"/>
      <c r="F32" s="91"/>
      <c r="G32" s="91"/>
      <c r="H32" s="91"/>
      <c r="I32" s="91"/>
      <c r="J32" s="91"/>
      <c r="K32" s="91"/>
      <c r="L32" s="91"/>
      <c r="M32" s="91"/>
      <c r="N32" s="91"/>
      <c r="O32" s="91"/>
      <c r="P32" s="91"/>
      <c r="Q32" s="91"/>
      <c r="R32" s="93"/>
    </row>
    <row r="33" spans="1:19" ht="21.95" customHeight="1">
      <c r="A33" s="90"/>
      <c r="B33" s="90"/>
      <c r="C33" s="350"/>
      <c r="D33" s="350"/>
      <c r="E33" s="350"/>
      <c r="F33" s="91"/>
      <c r="G33" s="91"/>
      <c r="H33" s="91"/>
      <c r="I33" s="91"/>
      <c r="J33" s="91"/>
      <c r="K33" s="91"/>
      <c r="L33" s="91"/>
      <c r="M33" s="91"/>
      <c r="N33" s="91"/>
      <c r="O33" s="91"/>
      <c r="P33" s="91"/>
      <c r="Q33" s="91"/>
      <c r="R33" s="89"/>
    </row>
    <row r="34" spans="1:19" ht="21.95" customHeight="1">
      <c r="A34" s="90"/>
      <c r="B34" s="90"/>
      <c r="C34" s="350"/>
      <c r="D34" s="350"/>
      <c r="E34" s="350"/>
      <c r="F34" s="91"/>
      <c r="G34" s="91"/>
      <c r="H34" s="91"/>
      <c r="I34" s="91"/>
      <c r="J34" s="91"/>
      <c r="K34" s="91"/>
      <c r="L34" s="91"/>
      <c r="M34" s="91"/>
      <c r="N34" s="91"/>
      <c r="O34" s="91"/>
      <c r="P34" s="91"/>
      <c r="Q34" s="91"/>
      <c r="R34" s="89"/>
    </row>
    <row r="35" spans="1:19" ht="21.95" customHeight="1">
      <c r="A35" s="90"/>
      <c r="B35" s="90"/>
      <c r="C35" s="350"/>
      <c r="D35" s="350"/>
      <c r="E35" s="350"/>
      <c r="F35" s="91"/>
      <c r="G35" s="91"/>
      <c r="H35" s="91"/>
      <c r="I35" s="91"/>
      <c r="J35" s="91"/>
      <c r="K35" s="91"/>
      <c r="L35" s="91"/>
      <c r="M35" s="91"/>
      <c r="N35" s="91"/>
      <c r="O35" s="91"/>
      <c r="P35" s="91"/>
      <c r="Q35" s="91"/>
      <c r="R35" s="89"/>
    </row>
    <row r="36" spans="1:19" ht="21.95" customHeight="1">
      <c r="A36" s="90"/>
      <c r="B36" s="90"/>
      <c r="C36" s="350"/>
      <c r="D36" s="350"/>
      <c r="E36" s="350"/>
      <c r="F36" s="91"/>
      <c r="G36" s="91"/>
      <c r="H36" s="91"/>
      <c r="I36" s="91"/>
      <c r="J36" s="91"/>
      <c r="K36" s="91"/>
      <c r="L36" s="91"/>
      <c r="M36" s="91"/>
      <c r="N36" s="91"/>
      <c r="O36" s="91"/>
      <c r="P36" s="91"/>
      <c r="Q36" s="91"/>
      <c r="R36" s="89"/>
    </row>
    <row r="37" spans="1:19" ht="21.95" customHeight="1">
      <c r="A37" s="90"/>
      <c r="B37" s="90"/>
      <c r="C37" s="350"/>
      <c r="D37" s="350"/>
      <c r="E37" s="350"/>
      <c r="F37" s="91"/>
      <c r="G37" s="91"/>
      <c r="H37" s="91"/>
      <c r="I37" s="91"/>
      <c r="J37" s="91"/>
      <c r="K37" s="91"/>
      <c r="L37" s="91"/>
      <c r="M37" s="91"/>
      <c r="N37" s="91"/>
      <c r="O37" s="91"/>
      <c r="P37" s="91"/>
      <c r="Q37" s="91"/>
      <c r="R37" s="93"/>
    </row>
    <row r="38" spans="1:19" ht="21.95" customHeight="1">
      <c r="A38" s="90"/>
      <c r="B38" s="90"/>
      <c r="C38" s="350"/>
      <c r="D38" s="350"/>
      <c r="E38" s="350"/>
      <c r="F38" s="91"/>
      <c r="G38" s="91"/>
      <c r="H38" s="91"/>
      <c r="I38" s="91"/>
      <c r="J38" s="91"/>
      <c r="K38" s="91"/>
      <c r="L38" s="91"/>
      <c r="M38" s="91"/>
      <c r="N38" s="91"/>
      <c r="O38" s="91"/>
      <c r="P38" s="91"/>
      <c r="Q38" s="91"/>
      <c r="R38" s="89"/>
    </row>
    <row r="39" spans="1:19" ht="21.95" customHeight="1">
      <c r="A39" s="90"/>
      <c r="B39" s="90"/>
      <c r="C39" s="103"/>
      <c r="D39" s="103"/>
      <c r="E39" s="103"/>
      <c r="F39" s="91"/>
      <c r="G39" s="91"/>
      <c r="H39" s="91"/>
      <c r="I39" s="91"/>
      <c r="J39" s="91"/>
      <c r="K39" s="91"/>
      <c r="L39" s="91"/>
      <c r="M39" s="91"/>
      <c r="N39" s="91"/>
      <c r="O39" s="91"/>
      <c r="P39" s="91"/>
      <c r="Q39" s="91"/>
      <c r="R39" s="89"/>
    </row>
    <row r="40" spans="1:19" ht="21.95" customHeight="1">
      <c r="A40" s="90"/>
      <c r="B40" s="90"/>
      <c r="C40" s="350"/>
      <c r="D40" s="350"/>
      <c r="E40" s="350"/>
      <c r="F40" s="91"/>
      <c r="G40" s="91"/>
      <c r="H40" s="91"/>
      <c r="I40" s="91"/>
      <c r="J40" s="91"/>
      <c r="K40" s="91"/>
      <c r="L40" s="91"/>
      <c r="M40" s="91"/>
      <c r="N40" s="91"/>
      <c r="O40" s="91"/>
      <c r="P40" s="91"/>
      <c r="Q40" s="91"/>
      <c r="R40" s="89"/>
    </row>
    <row r="41" spans="1:19" ht="21.95" customHeight="1">
      <c r="A41" s="90"/>
      <c r="B41" s="90"/>
      <c r="C41" s="350"/>
      <c r="D41" s="350"/>
      <c r="E41" s="350"/>
      <c r="F41" s="91"/>
      <c r="G41" s="91"/>
      <c r="H41" s="91"/>
      <c r="I41" s="91"/>
      <c r="J41" s="91"/>
      <c r="K41" s="91"/>
      <c r="L41" s="91"/>
      <c r="M41" s="91"/>
      <c r="N41" s="91"/>
      <c r="O41" s="91"/>
      <c r="P41" s="91"/>
      <c r="Q41" s="91"/>
      <c r="R41" s="89"/>
    </row>
    <row r="42" spans="1:19" ht="21.95" customHeight="1">
      <c r="A42" s="90"/>
      <c r="B42" s="90"/>
      <c r="C42" s="350"/>
      <c r="D42" s="350"/>
      <c r="E42" s="350"/>
      <c r="F42" s="91"/>
      <c r="G42" s="91"/>
      <c r="H42" s="91"/>
      <c r="I42" s="91"/>
      <c r="J42" s="91"/>
      <c r="K42" s="91"/>
      <c r="L42" s="91"/>
      <c r="M42" s="91"/>
      <c r="N42" s="91"/>
      <c r="O42" s="91"/>
      <c r="P42" s="91"/>
      <c r="Q42" s="91"/>
      <c r="R42" s="89"/>
    </row>
    <row r="43" spans="1:19" ht="21.95" customHeight="1">
      <c r="A43" s="90"/>
      <c r="B43" s="90"/>
      <c r="C43" s="350"/>
      <c r="D43" s="350"/>
      <c r="E43" s="350"/>
      <c r="F43" s="91"/>
      <c r="G43" s="91"/>
      <c r="H43" s="91"/>
      <c r="I43" s="91"/>
      <c r="J43" s="91"/>
      <c r="K43" s="91"/>
      <c r="L43" s="91"/>
      <c r="M43" s="91"/>
      <c r="N43" s="91"/>
      <c r="O43" s="91"/>
      <c r="P43" s="91"/>
      <c r="Q43" s="91"/>
      <c r="R43" s="89"/>
    </row>
    <row r="44" spans="1:19" ht="21.95" customHeight="1">
      <c r="A44" s="90"/>
      <c r="B44" s="90"/>
      <c r="C44" s="350"/>
      <c r="D44" s="350"/>
      <c r="E44" s="350"/>
      <c r="F44" s="91"/>
      <c r="G44" s="91"/>
      <c r="H44" s="91"/>
      <c r="I44" s="91"/>
      <c r="J44" s="91"/>
      <c r="K44" s="91"/>
      <c r="L44" s="91"/>
      <c r="M44" s="91"/>
      <c r="N44" s="91"/>
      <c r="O44" s="91"/>
      <c r="P44" s="91"/>
      <c r="Q44" s="91"/>
      <c r="R44" s="89"/>
    </row>
    <row r="45" spans="1:19" ht="21.95" customHeight="1">
      <c r="A45" s="90"/>
      <c r="B45" s="90"/>
      <c r="C45" s="350"/>
      <c r="D45" s="350"/>
      <c r="E45" s="350"/>
      <c r="F45" s="91"/>
      <c r="G45" s="91"/>
      <c r="H45" s="91"/>
      <c r="I45" s="91"/>
      <c r="J45" s="91"/>
      <c r="K45" s="91"/>
      <c r="L45" s="91"/>
      <c r="M45" s="91"/>
      <c r="N45" s="91"/>
      <c r="O45" s="91"/>
      <c r="P45" s="91"/>
      <c r="Q45" s="91"/>
      <c r="R45" s="89"/>
    </row>
    <row r="46" spans="1:19" ht="24.95" customHeight="1">
      <c r="A46" s="177"/>
      <c r="B46" s="180"/>
      <c r="C46" s="181"/>
      <c r="D46" s="181"/>
      <c r="E46" s="150"/>
      <c r="F46" s="178"/>
      <c r="G46" s="143"/>
      <c r="H46" s="143"/>
      <c r="I46" s="143"/>
      <c r="J46" s="143"/>
      <c r="K46" s="143"/>
      <c r="L46" s="143"/>
      <c r="M46" s="143"/>
      <c r="N46" s="143"/>
      <c r="O46" s="143"/>
      <c r="P46" s="143"/>
      <c r="Q46" s="143"/>
      <c r="R46" s="89"/>
      <c r="S46" s="118"/>
    </row>
    <row r="47" spans="1:19" ht="21.95" customHeight="1">
      <c r="A47" s="90"/>
      <c r="B47" s="90"/>
      <c r="C47" s="350"/>
      <c r="D47" s="350"/>
      <c r="E47" s="350"/>
      <c r="F47" s="91"/>
      <c r="G47" s="91"/>
      <c r="H47" s="91"/>
      <c r="I47" s="91"/>
      <c r="J47" s="91"/>
      <c r="K47" s="91"/>
      <c r="L47" s="91"/>
      <c r="M47" s="91"/>
      <c r="N47" s="91"/>
      <c r="O47" s="91"/>
      <c r="P47" s="91"/>
      <c r="Q47" s="91"/>
      <c r="R47" s="93"/>
    </row>
    <row r="48" spans="1:19" ht="21.95" customHeight="1">
      <c r="A48" s="90"/>
      <c r="B48" s="90"/>
      <c r="C48" s="350"/>
      <c r="D48" s="350"/>
      <c r="E48" s="350"/>
      <c r="F48" s="91"/>
      <c r="G48" s="91"/>
      <c r="H48" s="91"/>
      <c r="I48" s="91"/>
      <c r="J48" s="91"/>
      <c r="K48" s="91"/>
      <c r="L48" s="91"/>
      <c r="M48" s="91"/>
      <c r="N48" s="91"/>
      <c r="O48" s="91"/>
      <c r="P48" s="91"/>
      <c r="Q48" s="91"/>
      <c r="R48" s="89"/>
    </row>
    <row r="49" spans="1:19" ht="21.95" customHeight="1">
      <c r="A49" s="90"/>
      <c r="B49" s="90"/>
      <c r="C49" s="350"/>
      <c r="D49" s="350"/>
      <c r="E49" s="350"/>
      <c r="F49" s="91"/>
      <c r="G49" s="91"/>
      <c r="H49" s="91"/>
      <c r="I49" s="91"/>
      <c r="J49" s="91"/>
      <c r="K49" s="91"/>
      <c r="L49" s="91"/>
      <c r="M49" s="91"/>
      <c r="N49" s="91"/>
      <c r="O49" s="91"/>
      <c r="P49" s="91"/>
      <c r="Q49" s="91"/>
      <c r="R49" s="89"/>
    </row>
    <row r="50" spans="1:19" ht="21.95" customHeight="1">
      <c r="A50" s="90"/>
      <c r="B50" s="90"/>
      <c r="C50" s="350"/>
      <c r="D50" s="350"/>
      <c r="E50" s="350"/>
      <c r="F50" s="91"/>
      <c r="G50" s="91"/>
      <c r="H50" s="91"/>
      <c r="I50" s="91"/>
      <c r="J50" s="91"/>
      <c r="K50" s="91"/>
      <c r="L50" s="91"/>
      <c r="M50" s="91"/>
      <c r="N50" s="91"/>
      <c r="O50" s="91"/>
      <c r="P50" s="91"/>
      <c r="Q50" s="91"/>
      <c r="R50" s="89"/>
    </row>
    <row r="51" spans="1:19" ht="21.95" customHeight="1">
      <c r="A51" s="90"/>
      <c r="B51" s="90"/>
      <c r="C51" s="350"/>
      <c r="D51" s="350"/>
      <c r="E51" s="350"/>
      <c r="F51" s="91"/>
      <c r="G51" s="91"/>
      <c r="H51" s="91"/>
      <c r="I51" s="91"/>
      <c r="J51" s="91"/>
      <c r="K51" s="91"/>
      <c r="L51" s="91"/>
      <c r="M51" s="91"/>
      <c r="N51" s="91"/>
      <c r="O51" s="91"/>
      <c r="P51" s="91"/>
      <c r="Q51" s="91"/>
      <c r="R51" s="89"/>
    </row>
    <row r="52" spans="1:19" ht="21.95" customHeight="1">
      <c r="A52" s="90"/>
      <c r="B52" s="90"/>
      <c r="C52" s="350"/>
      <c r="D52" s="350"/>
      <c r="E52" s="350"/>
      <c r="F52" s="91"/>
      <c r="G52" s="91"/>
      <c r="H52" s="91"/>
      <c r="I52" s="91"/>
      <c r="J52" s="91"/>
      <c r="K52" s="91"/>
      <c r="L52" s="91"/>
      <c r="M52" s="91"/>
      <c r="N52" s="91"/>
      <c r="O52" s="91"/>
      <c r="P52" s="91"/>
      <c r="Q52" s="91"/>
      <c r="R52" s="93"/>
    </row>
    <row r="53" spans="1:19" ht="21.95" customHeight="1">
      <c r="A53" s="90"/>
      <c r="B53" s="90"/>
      <c r="C53" s="350"/>
      <c r="D53" s="350"/>
      <c r="E53" s="350"/>
      <c r="F53" s="91"/>
      <c r="G53" s="91"/>
      <c r="H53" s="91"/>
      <c r="I53" s="91"/>
      <c r="J53" s="91"/>
      <c r="K53" s="91"/>
      <c r="L53" s="91"/>
      <c r="M53" s="91"/>
      <c r="N53" s="91"/>
      <c r="O53" s="91"/>
      <c r="P53" s="91"/>
      <c r="Q53" s="91"/>
      <c r="R53" s="89"/>
    </row>
    <row r="54" spans="1:19" ht="21.95" customHeight="1">
      <c r="A54" s="90"/>
      <c r="B54" s="90"/>
      <c r="C54" s="350"/>
      <c r="D54" s="350"/>
      <c r="E54" s="350"/>
      <c r="F54" s="91"/>
      <c r="G54" s="91"/>
      <c r="H54" s="91"/>
      <c r="I54" s="91"/>
      <c r="J54" s="91"/>
      <c r="K54" s="91"/>
      <c r="L54" s="91"/>
      <c r="M54" s="91"/>
      <c r="N54" s="91"/>
      <c r="O54" s="91"/>
      <c r="P54" s="91"/>
      <c r="Q54" s="91"/>
      <c r="R54" s="89"/>
    </row>
    <row r="55" spans="1:19" ht="21.95" customHeight="1">
      <c r="A55" s="90"/>
      <c r="B55" s="90"/>
      <c r="C55" s="350"/>
      <c r="D55" s="350"/>
      <c r="E55" s="350"/>
      <c r="F55" s="91"/>
      <c r="G55" s="91"/>
      <c r="H55" s="91"/>
      <c r="I55" s="91"/>
      <c r="J55" s="91"/>
      <c r="K55" s="91"/>
      <c r="L55" s="91"/>
      <c r="M55" s="91"/>
      <c r="N55" s="91"/>
      <c r="O55" s="91"/>
      <c r="P55" s="91"/>
      <c r="Q55" s="91"/>
      <c r="R55" s="89"/>
    </row>
    <row r="56" spans="1:19" ht="21.95" customHeight="1">
      <c r="A56" s="90"/>
      <c r="B56" s="90"/>
      <c r="C56" s="350"/>
      <c r="D56" s="350"/>
      <c r="E56" s="350"/>
      <c r="F56" s="91"/>
      <c r="G56" s="91"/>
      <c r="H56" s="91"/>
      <c r="I56" s="91"/>
      <c r="J56" s="91"/>
      <c r="K56" s="91"/>
      <c r="L56" s="91"/>
      <c r="M56" s="91"/>
      <c r="N56" s="91"/>
      <c r="O56" s="91"/>
      <c r="P56" s="91"/>
      <c r="Q56" s="91"/>
      <c r="R56" s="89"/>
    </row>
    <row r="57" spans="1:19" ht="24.95" customHeight="1">
      <c r="A57" s="177"/>
      <c r="B57" s="180"/>
      <c r="C57" s="181"/>
      <c r="D57" s="181"/>
      <c r="E57" s="150"/>
      <c r="F57" s="178"/>
      <c r="G57" s="143"/>
      <c r="H57" s="143"/>
      <c r="I57" s="143"/>
      <c r="J57" s="143"/>
      <c r="K57" s="143"/>
      <c r="L57" s="143"/>
      <c r="M57" s="143"/>
      <c r="N57" s="143"/>
      <c r="O57" s="143"/>
      <c r="P57" s="143"/>
      <c r="Q57" s="143"/>
      <c r="R57" s="89"/>
      <c r="S57" s="118"/>
    </row>
    <row r="58" spans="1:19" ht="21.95" customHeight="1">
      <c r="A58" s="90"/>
      <c r="B58" s="90"/>
      <c r="C58" s="350"/>
      <c r="D58" s="350"/>
      <c r="E58" s="350"/>
      <c r="F58" s="91"/>
      <c r="G58" s="91"/>
      <c r="H58" s="91"/>
      <c r="I58" s="91"/>
      <c r="J58" s="91"/>
      <c r="K58" s="91"/>
      <c r="L58" s="91"/>
      <c r="M58" s="91"/>
      <c r="N58" s="91"/>
      <c r="O58" s="91"/>
      <c r="P58" s="91"/>
      <c r="Q58" s="91"/>
      <c r="R58" s="93"/>
    </row>
    <row r="59" spans="1:19" ht="21.95" customHeight="1">
      <c r="A59" s="90"/>
      <c r="B59" s="90"/>
      <c r="C59" s="350"/>
      <c r="D59" s="350"/>
      <c r="E59" s="350"/>
      <c r="F59" s="91"/>
      <c r="G59" s="91"/>
      <c r="H59" s="91"/>
      <c r="I59" s="91"/>
      <c r="J59" s="91"/>
      <c r="K59" s="91"/>
      <c r="L59" s="91"/>
      <c r="M59" s="91"/>
      <c r="N59" s="91"/>
      <c r="O59" s="91"/>
      <c r="P59" s="91"/>
      <c r="Q59" s="91"/>
      <c r="R59" s="89"/>
    </row>
    <row r="60" spans="1:19" ht="21.95" customHeight="1">
      <c r="A60" s="90"/>
      <c r="B60" s="90"/>
      <c r="C60" s="103"/>
      <c r="D60" s="103"/>
      <c r="E60" s="103"/>
      <c r="F60" s="91"/>
      <c r="G60" s="91"/>
      <c r="H60" s="91"/>
      <c r="I60" s="91"/>
      <c r="J60" s="91"/>
      <c r="K60" s="91"/>
      <c r="L60" s="91"/>
      <c r="M60" s="91"/>
      <c r="N60" s="91"/>
      <c r="O60" s="91"/>
      <c r="P60" s="91"/>
      <c r="Q60" s="91"/>
      <c r="R60" s="89"/>
    </row>
    <row r="61" spans="1:19" ht="21.95" customHeight="1">
      <c r="A61" s="90"/>
      <c r="B61" s="90"/>
      <c r="C61" s="350"/>
      <c r="D61" s="350"/>
      <c r="E61" s="350"/>
      <c r="F61" s="91"/>
      <c r="G61" s="91"/>
      <c r="H61" s="91"/>
      <c r="I61" s="91"/>
      <c r="J61" s="91"/>
      <c r="K61" s="91"/>
      <c r="L61" s="91"/>
      <c r="M61" s="91"/>
      <c r="N61" s="91"/>
      <c r="O61" s="91"/>
      <c r="P61" s="91"/>
      <c r="Q61" s="91"/>
      <c r="R61" s="89"/>
    </row>
    <row r="62" spans="1:19" ht="21.95" customHeight="1">
      <c r="A62" s="90"/>
      <c r="B62" s="90"/>
      <c r="C62" s="350"/>
      <c r="D62" s="350"/>
      <c r="E62" s="350"/>
      <c r="F62" s="91"/>
      <c r="G62" s="91"/>
      <c r="H62" s="91"/>
      <c r="I62" s="91"/>
      <c r="J62" s="91"/>
      <c r="K62" s="91"/>
      <c r="L62" s="91"/>
      <c r="M62" s="91"/>
      <c r="N62" s="91"/>
      <c r="O62" s="91"/>
      <c r="P62" s="91"/>
      <c r="Q62" s="91"/>
      <c r="R62" s="89"/>
    </row>
    <row r="63" spans="1:19" ht="21.95" customHeight="1">
      <c r="A63" s="90"/>
      <c r="B63" s="90"/>
      <c r="C63" s="350"/>
      <c r="D63" s="350"/>
      <c r="E63" s="350"/>
      <c r="F63" s="91"/>
      <c r="G63" s="91"/>
      <c r="H63" s="91"/>
      <c r="I63" s="91"/>
      <c r="J63" s="91"/>
      <c r="K63" s="91"/>
      <c r="L63" s="91"/>
      <c r="M63" s="91"/>
      <c r="N63" s="91"/>
      <c r="O63" s="91"/>
      <c r="P63" s="91"/>
      <c r="Q63" s="91"/>
      <c r="R63" s="89"/>
    </row>
    <row r="64" spans="1:19" ht="21.95" customHeight="1">
      <c r="A64" s="90"/>
      <c r="B64" s="90"/>
      <c r="C64" s="350"/>
      <c r="D64" s="350"/>
      <c r="E64" s="350"/>
      <c r="F64" s="91"/>
      <c r="G64" s="91"/>
      <c r="H64" s="91"/>
      <c r="I64" s="91"/>
      <c r="J64" s="91"/>
      <c r="K64" s="91"/>
      <c r="L64" s="91"/>
      <c r="M64" s="91"/>
      <c r="N64" s="91"/>
      <c r="O64" s="91"/>
      <c r="P64" s="91"/>
      <c r="Q64" s="91"/>
      <c r="R64" s="89"/>
    </row>
    <row r="65" spans="1:19" ht="21.95" customHeight="1">
      <c r="A65" s="90"/>
      <c r="B65" s="90"/>
      <c r="C65" s="350"/>
      <c r="D65" s="350"/>
      <c r="E65" s="350"/>
      <c r="F65" s="91"/>
      <c r="G65" s="91"/>
      <c r="H65" s="91"/>
      <c r="I65" s="91"/>
      <c r="J65" s="91"/>
      <c r="K65" s="91"/>
      <c r="L65" s="91"/>
      <c r="M65" s="91"/>
      <c r="N65" s="91"/>
      <c r="O65" s="91"/>
      <c r="P65" s="91"/>
      <c r="Q65" s="91"/>
      <c r="R65" s="89"/>
    </row>
    <row r="66" spans="1:19" ht="21.95" customHeight="1">
      <c r="A66" s="90"/>
      <c r="B66" s="90"/>
      <c r="C66" s="350"/>
      <c r="D66" s="350"/>
      <c r="E66" s="350"/>
      <c r="F66" s="91"/>
      <c r="G66" s="91"/>
      <c r="H66" s="91"/>
      <c r="I66" s="91"/>
      <c r="J66" s="91"/>
      <c r="K66" s="91"/>
      <c r="L66" s="91"/>
      <c r="M66" s="91"/>
      <c r="N66" s="91"/>
      <c r="O66" s="91"/>
      <c r="P66" s="91"/>
      <c r="Q66" s="91"/>
      <c r="R66" s="89"/>
    </row>
    <row r="67" spans="1:19" ht="24.95" customHeight="1">
      <c r="A67" s="177"/>
      <c r="B67" s="180"/>
      <c r="C67" s="181"/>
      <c r="D67" s="181"/>
      <c r="E67" s="150"/>
      <c r="F67" s="178"/>
      <c r="G67" s="143"/>
      <c r="H67" s="143"/>
      <c r="I67" s="143"/>
      <c r="J67" s="143"/>
      <c r="K67" s="143"/>
      <c r="L67" s="143"/>
      <c r="M67" s="143"/>
      <c r="N67" s="143"/>
      <c r="O67" s="143"/>
      <c r="P67" s="143"/>
      <c r="Q67" s="143"/>
      <c r="R67" s="89"/>
      <c r="S67" s="118"/>
    </row>
    <row r="68" spans="1:19" ht="21.95" customHeight="1">
      <c r="A68" s="90"/>
      <c r="B68" s="90"/>
      <c r="C68" s="350"/>
      <c r="D68" s="350"/>
      <c r="E68" s="350"/>
      <c r="F68" s="91"/>
      <c r="G68" s="91"/>
      <c r="H68" s="91"/>
      <c r="I68" s="91"/>
      <c r="J68" s="91"/>
      <c r="K68" s="91"/>
      <c r="L68" s="91"/>
      <c r="M68" s="91"/>
      <c r="N68" s="91"/>
      <c r="O68" s="91"/>
      <c r="P68" s="91"/>
      <c r="Q68" s="91"/>
      <c r="R68" s="89"/>
    </row>
    <row r="69" spans="1:19" ht="21.95" customHeight="1">
      <c r="A69" s="90"/>
      <c r="B69" s="90"/>
      <c r="C69" s="350"/>
      <c r="D69" s="350"/>
      <c r="E69" s="350"/>
      <c r="F69" s="91"/>
      <c r="G69" s="91"/>
      <c r="H69" s="91"/>
      <c r="I69" s="91"/>
      <c r="J69" s="91"/>
      <c r="K69" s="91"/>
      <c r="L69" s="91"/>
      <c r="M69" s="91"/>
      <c r="N69" s="91"/>
      <c r="O69" s="91"/>
      <c r="P69" s="91"/>
      <c r="Q69" s="91"/>
      <c r="R69" s="93"/>
    </row>
    <row r="70" spans="1:19" ht="21.95" customHeight="1">
      <c r="A70" s="90"/>
      <c r="B70" s="90"/>
      <c r="C70" s="350"/>
      <c r="D70" s="350"/>
      <c r="E70" s="350"/>
      <c r="F70" s="91"/>
      <c r="G70" s="91"/>
      <c r="H70" s="91"/>
      <c r="I70" s="91"/>
      <c r="J70" s="91"/>
      <c r="K70" s="91"/>
      <c r="L70" s="91"/>
      <c r="M70" s="91"/>
      <c r="N70" s="91"/>
      <c r="O70" s="91"/>
      <c r="P70" s="91"/>
      <c r="Q70" s="91"/>
      <c r="R70" s="89"/>
    </row>
    <row r="71" spans="1:19" ht="21.95" customHeight="1">
      <c r="A71" s="90"/>
      <c r="B71" s="90"/>
      <c r="C71" s="350"/>
      <c r="D71" s="350"/>
      <c r="E71" s="350"/>
      <c r="F71" s="91"/>
      <c r="G71" s="91"/>
      <c r="H71" s="91"/>
      <c r="I71" s="91"/>
      <c r="J71" s="91"/>
      <c r="K71" s="91"/>
      <c r="L71" s="91"/>
      <c r="M71" s="91"/>
      <c r="N71" s="91"/>
      <c r="O71" s="91"/>
      <c r="P71" s="91"/>
      <c r="Q71" s="91"/>
      <c r="R71" s="89"/>
    </row>
    <row r="72" spans="1:19" ht="24.95" customHeight="1">
      <c r="A72" s="177"/>
      <c r="B72" s="180"/>
      <c r="C72" s="181"/>
      <c r="D72" s="181"/>
      <c r="E72" s="150"/>
      <c r="F72" s="178"/>
      <c r="G72" s="143"/>
      <c r="H72" s="143"/>
      <c r="I72" s="143"/>
      <c r="J72" s="143"/>
      <c r="K72" s="143"/>
      <c r="L72" s="143"/>
      <c r="M72" s="143"/>
      <c r="N72" s="143"/>
      <c r="O72" s="143"/>
      <c r="P72" s="143"/>
      <c r="Q72" s="143"/>
      <c r="R72" s="89"/>
      <c r="S72" s="118"/>
    </row>
    <row r="73" spans="1:19" ht="21.95" customHeight="1">
      <c r="A73" s="90"/>
      <c r="B73" s="90"/>
      <c r="C73" s="350"/>
      <c r="D73" s="350"/>
      <c r="E73" s="350"/>
      <c r="F73" s="91"/>
      <c r="G73" s="91"/>
      <c r="H73" s="91"/>
      <c r="I73" s="91"/>
      <c r="J73" s="91"/>
      <c r="K73" s="91"/>
      <c r="L73" s="91"/>
      <c r="M73" s="91"/>
      <c r="N73" s="91"/>
      <c r="O73" s="91"/>
      <c r="P73" s="91"/>
      <c r="Q73" s="91"/>
      <c r="R73" s="89"/>
    </row>
    <row r="74" spans="1:19" ht="21.95" customHeight="1">
      <c r="A74" s="90"/>
      <c r="B74" s="90"/>
      <c r="C74" s="350"/>
      <c r="D74" s="350"/>
      <c r="E74" s="350"/>
      <c r="F74" s="91"/>
      <c r="G74" s="91"/>
      <c r="H74" s="91"/>
      <c r="I74" s="91"/>
      <c r="J74" s="91"/>
      <c r="K74" s="91"/>
      <c r="L74" s="91"/>
      <c r="M74" s="91"/>
      <c r="N74" s="91"/>
      <c r="O74" s="91"/>
      <c r="P74" s="91"/>
      <c r="Q74" s="91"/>
      <c r="R74" s="93"/>
    </row>
    <row r="75" spans="1:19" ht="21.95" customHeight="1">
      <c r="A75" s="90"/>
      <c r="B75" s="90"/>
      <c r="C75" s="350"/>
      <c r="D75" s="350"/>
      <c r="E75" s="350"/>
      <c r="F75" s="91"/>
      <c r="G75" s="91"/>
      <c r="H75" s="91"/>
      <c r="I75" s="91"/>
      <c r="J75" s="91"/>
      <c r="K75" s="91"/>
      <c r="L75" s="91"/>
      <c r="M75" s="91"/>
      <c r="N75" s="91"/>
      <c r="O75" s="91"/>
      <c r="P75" s="91"/>
      <c r="Q75" s="91"/>
      <c r="R75" s="89"/>
    </row>
    <row r="76" spans="1:19" ht="21.95" customHeight="1">
      <c r="A76" s="90"/>
      <c r="B76" s="90"/>
      <c r="C76" s="350"/>
      <c r="D76" s="350"/>
      <c r="E76" s="350"/>
      <c r="F76" s="91"/>
      <c r="G76" s="91"/>
      <c r="H76" s="91"/>
      <c r="I76" s="91"/>
      <c r="J76" s="91"/>
      <c r="K76" s="91"/>
      <c r="L76" s="91"/>
      <c r="M76" s="91"/>
      <c r="N76" s="91"/>
      <c r="O76" s="91"/>
      <c r="P76" s="91"/>
      <c r="Q76" s="91"/>
      <c r="R76" s="89"/>
    </row>
    <row r="77" spans="1:19" ht="24.95" customHeight="1">
      <c r="A77" s="177"/>
      <c r="B77" s="180"/>
      <c r="C77" s="181"/>
      <c r="D77" s="181"/>
      <c r="E77" s="150"/>
      <c r="F77" s="178"/>
      <c r="G77" s="143"/>
      <c r="H77" s="143"/>
      <c r="I77" s="143"/>
      <c r="J77" s="143"/>
      <c r="K77" s="143"/>
      <c r="L77" s="143"/>
      <c r="M77" s="143"/>
      <c r="N77" s="143"/>
      <c r="O77" s="143"/>
      <c r="P77" s="143"/>
      <c r="Q77" s="143"/>
      <c r="R77" s="89"/>
      <c r="S77" s="118"/>
    </row>
    <row r="78" spans="1:19" ht="21.95" customHeight="1">
      <c r="A78" s="90"/>
      <c r="B78" s="90"/>
      <c r="C78" s="350"/>
      <c r="D78" s="350"/>
      <c r="E78" s="350"/>
      <c r="F78" s="91"/>
      <c r="G78" s="91"/>
      <c r="H78" s="91"/>
      <c r="I78" s="91"/>
      <c r="J78" s="91"/>
      <c r="K78" s="91"/>
      <c r="L78" s="91"/>
      <c r="M78" s="91"/>
      <c r="N78" s="91"/>
      <c r="O78" s="91"/>
      <c r="P78" s="91"/>
      <c r="Q78" s="91"/>
      <c r="R78" s="89"/>
    </row>
    <row r="79" spans="1:19" ht="21.95" customHeight="1">
      <c r="A79" s="90"/>
      <c r="B79" s="90"/>
      <c r="C79" s="350"/>
      <c r="D79" s="350"/>
      <c r="E79" s="350"/>
      <c r="F79" s="91"/>
      <c r="G79" s="91"/>
      <c r="H79" s="91"/>
      <c r="I79" s="91"/>
      <c r="J79" s="91"/>
      <c r="K79" s="91"/>
      <c r="L79" s="91"/>
      <c r="M79" s="91"/>
      <c r="N79" s="91"/>
      <c r="O79" s="91"/>
      <c r="P79" s="91"/>
      <c r="Q79" s="91"/>
      <c r="R79" s="93"/>
    </row>
    <row r="80" spans="1:19" ht="21.95" customHeight="1">
      <c r="A80" s="90"/>
      <c r="B80" s="90"/>
      <c r="C80" s="350"/>
      <c r="D80" s="350"/>
      <c r="E80" s="350"/>
      <c r="F80" s="91"/>
      <c r="G80" s="91"/>
      <c r="H80" s="91"/>
      <c r="I80" s="91"/>
      <c r="J80" s="91"/>
      <c r="K80" s="91"/>
      <c r="L80" s="91"/>
      <c r="M80" s="91"/>
      <c r="N80" s="91"/>
      <c r="O80" s="91"/>
      <c r="P80" s="91"/>
      <c r="Q80" s="91"/>
      <c r="R80" s="89"/>
    </row>
    <row r="81" spans="1:21" ht="21.95" customHeight="1">
      <c r="A81" s="90"/>
      <c r="B81" s="90"/>
      <c r="C81" s="350"/>
      <c r="D81" s="350"/>
      <c r="E81" s="350"/>
      <c r="F81" s="91"/>
      <c r="G81" s="91"/>
      <c r="H81" s="91"/>
      <c r="I81" s="91"/>
      <c r="J81" s="91"/>
      <c r="K81" s="91"/>
      <c r="L81" s="91"/>
      <c r="M81" s="91"/>
      <c r="N81" s="91"/>
      <c r="O81" s="91"/>
      <c r="P81" s="91"/>
      <c r="Q81" s="91"/>
      <c r="R81" s="89"/>
    </row>
    <row r="82" spans="1:21" ht="21.95" customHeight="1">
      <c r="A82" s="90"/>
      <c r="B82" s="90"/>
      <c r="C82" s="350"/>
      <c r="D82" s="350"/>
      <c r="E82" s="350"/>
      <c r="F82" s="91"/>
      <c r="G82" s="91"/>
      <c r="H82" s="91"/>
      <c r="I82" s="91"/>
      <c r="J82" s="91"/>
      <c r="K82" s="91"/>
      <c r="L82" s="91"/>
      <c r="M82" s="91"/>
      <c r="N82" s="91"/>
      <c r="O82" s="91"/>
      <c r="P82" s="91"/>
      <c r="Q82" s="91"/>
      <c r="R82" s="89"/>
    </row>
    <row r="83" spans="1:21" ht="21.95" customHeight="1">
      <c r="A83" s="90"/>
      <c r="B83" s="90"/>
      <c r="C83" s="350"/>
      <c r="D83" s="350"/>
      <c r="E83" s="350"/>
      <c r="F83" s="91"/>
      <c r="G83" s="91"/>
      <c r="H83" s="91"/>
      <c r="I83" s="91"/>
      <c r="J83" s="91"/>
      <c r="K83" s="91"/>
      <c r="L83" s="91"/>
      <c r="M83" s="91"/>
      <c r="N83" s="91"/>
      <c r="O83" s="91"/>
      <c r="P83" s="91"/>
      <c r="Q83" s="91"/>
      <c r="R83" s="89"/>
    </row>
    <row r="84" spans="1:21" ht="24.95" customHeight="1">
      <c r="A84" s="177"/>
      <c r="B84" s="180"/>
      <c r="C84" s="181"/>
      <c r="D84" s="181"/>
      <c r="E84" s="150"/>
      <c r="F84" s="178"/>
      <c r="G84" s="143"/>
      <c r="H84" s="143"/>
      <c r="I84" s="143"/>
      <c r="J84" s="143"/>
      <c r="K84" s="143"/>
      <c r="L84" s="143"/>
      <c r="M84" s="143"/>
      <c r="N84" s="143"/>
      <c r="O84" s="143"/>
      <c r="P84" s="143"/>
      <c r="Q84" s="143"/>
      <c r="R84" s="89"/>
      <c r="S84" s="118"/>
    </row>
    <row r="85" spans="1:21" ht="18.75" customHeight="1">
      <c r="A85" s="351" t="s">
        <v>92</v>
      </c>
      <c r="B85" s="351"/>
      <c r="C85" s="351"/>
      <c r="D85" s="351"/>
      <c r="E85" s="351"/>
      <c r="F85" s="351"/>
      <c r="G85" s="351"/>
      <c r="H85" s="351"/>
      <c r="I85" s="351"/>
      <c r="J85" s="351"/>
      <c r="K85" s="351"/>
      <c r="L85" s="351"/>
      <c r="M85" s="351"/>
      <c r="N85" s="351"/>
      <c r="O85" s="351"/>
      <c r="P85" s="351"/>
      <c r="Q85" s="351"/>
      <c r="R85" s="94"/>
    </row>
    <row r="86" spans="1:21" ht="25.5" customHeight="1">
      <c r="A86" s="139"/>
      <c r="B86" s="139"/>
      <c r="C86" s="140"/>
      <c r="D86" s="140"/>
      <c r="E86" s="140"/>
      <c r="F86" s="152" t="s">
        <v>137</v>
      </c>
      <c r="G86" s="152"/>
      <c r="H86" s="152"/>
      <c r="I86" s="152" t="s">
        <v>54</v>
      </c>
      <c r="J86" s="152"/>
      <c r="K86" s="152"/>
      <c r="L86" s="152"/>
      <c r="M86" s="152" t="s">
        <v>144</v>
      </c>
      <c r="N86" s="140"/>
      <c r="O86" s="140"/>
      <c r="P86" s="139"/>
      <c r="Q86" s="139"/>
      <c r="R86" s="94"/>
    </row>
    <row r="87" spans="1:21" ht="20.25" customHeight="1">
      <c r="A87" s="310" t="s">
        <v>93</v>
      </c>
      <c r="B87" s="310"/>
      <c r="C87" s="310"/>
      <c r="D87" s="310"/>
      <c r="E87" s="310"/>
      <c r="F87" s="310"/>
      <c r="G87" s="310"/>
      <c r="H87" s="310"/>
      <c r="I87" s="310"/>
      <c r="J87" s="310"/>
      <c r="K87" s="310"/>
      <c r="L87" s="310"/>
      <c r="M87" s="310"/>
      <c r="N87" s="310"/>
      <c r="O87" s="310"/>
      <c r="P87" s="310"/>
      <c r="Q87" s="310"/>
      <c r="R87" s="92"/>
      <c r="S87" s="311"/>
      <c r="T87" s="311"/>
      <c r="U87" s="311"/>
    </row>
    <row r="88" spans="1:21" ht="24.75" customHeight="1">
      <c r="A88" s="139"/>
      <c r="B88" s="139"/>
      <c r="C88" s="139"/>
      <c r="D88" s="140"/>
      <c r="E88" s="140"/>
      <c r="F88" s="152" t="s">
        <v>137</v>
      </c>
      <c r="G88" s="152"/>
      <c r="H88" s="152"/>
      <c r="I88" s="152" t="s">
        <v>54</v>
      </c>
      <c r="J88" s="152"/>
      <c r="K88" s="152"/>
      <c r="L88" s="152"/>
      <c r="M88" s="152" t="s">
        <v>144</v>
      </c>
      <c r="N88" s="139"/>
      <c r="O88" s="139"/>
      <c r="P88" s="139"/>
      <c r="Q88" s="139"/>
      <c r="R88" s="94"/>
      <c r="S88" s="95"/>
      <c r="T88" s="95"/>
      <c r="U88" s="95"/>
    </row>
    <row r="89" spans="1:21" ht="18.600000000000001" customHeight="1">
      <c r="A89" s="352" t="s">
        <v>94</v>
      </c>
      <c r="B89" s="352"/>
      <c r="C89" s="352"/>
      <c r="D89" s="352"/>
      <c r="E89" s="352"/>
      <c r="F89" s="352"/>
      <c r="G89" s="352"/>
      <c r="H89" s="352"/>
      <c r="I89" s="352"/>
      <c r="J89" s="352"/>
      <c r="K89" s="352"/>
      <c r="L89" s="352"/>
      <c r="M89" s="352"/>
      <c r="N89" s="352"/>
      <c r="O89" s="352"/>
      <c r="P89" s="352"/>
      <c r="Q89" s="352"/>
      <c r="R89" s="94"/>
    </row>
    <row r="90" spans="1:21" ht="18.600000000000001" customHeight="1">
      <c r="A90" s="120"/>
      <c r="B90" s="120"/>
      <c r="C90" s="120"/>
      <c r="D90" s="120"/>
      <c r="E90" s="120"/>
      <c r="F90" s="120"/>
      <c r="G90" s="120"/>
      <c r="H90" s="120"/>
      <c r="I90" s="120"/>
      <c r="J90" s="120"/>
      <c r="K90" s="120"/>
      <c r="L90" s="120"/>
      <c r="M90" s="120"/>
      <c r="N90" s="120"/>
      <c r="O90" s="120"/>
      <c r="P90" s="120"/>
      <c r="Q90" s="120"/>
      <c r="R90" s="94"/>
    </row>
    <row r="91" spans="1:21" ht="15.75" customHeight="1">
      <c r="A91" s="352" t="s">
        <v>95</v>
      </c>
      <c r="B91" s="352"/>
      <c r="C91" s="352"/>
      <c r="D91" s="352"/>
      <c r="E91" s="352"/>
      <c r="F91" s="352"/>
      <c r="G91" s="352"/>
      <c r="H91" s="352"/>
      <c r="I91" s="352"/>
      <c r="J91" s="352"/>
      <c r="K91" s="352"/>
      <c r="L91" s="352"/>
      <c r="M91" s="352"/>
      <c r="N91" s="352"/>
      <c r="O91" s="352"/>
      <c r="P91" s="352"/>
      <c r="Q91" s="352"/>
      <c r="R91" s="94"/>
    </row>
    <row r="92" spans="1:21" ht="16.5" customHeight="1">
      <c r="A92" s="97"/>
      <c r="B92" s="97"/>
      <c r="C92" s="145"/>
      <c r="D92" s="97"/>
      <c r="E92" s="97"/>
      <c r="F92" s="97"/>
      <c r="G92" s="97"/>
      <c r="H92" s="97"/>
      <c r="I92" s="97"/>
      <c r="J92" s="97"/>
      <c r="K92" s="97"/>
      <c r="L92" s="97"/>
      <c r="M92" s="97"/>
      <c r="N92" s="97"/>
      <c r="O92" s="97"/>
      <c r="P92" s="97"/>
      <c r="Q92" s="97"/>
      <c r="R92" s="94"/>
    </row>
    <row r="93" spans="1:21" ht="5.25" customHeight="1">
      <c r="A93" s="94"/>
      <c r="B93" s="94"/>
      <c r="C93" s="146"/>
      <c r="D93" s="94"/>
      <c r="E93" s="94"/>
      <c r="F93" s="94"/>
      <c r="G93" s="94"/>
      <c r="H93" s="94"/>
      <c r="I93" s="94"/>
      <c r="J93" s="94"/>
      <c r="K93" s="94"/>
      <c r="L93" s="94"/>
      <c r="M93" s="94"/>
      <c r="N93" s="94"/>
      <c r="O93" s="94"/>
      <c r="P93" s="94"/>
      <c r="Q93" s="94"/>
      <c r="R93" s="94"/>
    </row>
    <row r="94" spans="1:21" ht="9" customHeight="1">
      <c r="A94" s="353"/>
      <c r="B94" s="353"/>
      <c r="C94" s="354"/>
      <c r="D94" s="354"/>
      <c r="E94" s="355"/>
      <c r="F94" s="355"/>
      <c r="G94" s="355"/>
      <c r="H94" s="355"/>
      <c r="I94" s="355"/>
      <c r="J94" s="355"/>
      <c r="K94" s="355"/>
      <c r="L94" s="355"/>
      <c r="M94" s="355"/>
      <c r="N94" s="355"/>
      <c r="O94" s="355"/>
      <c r="P94" s="355"/>
      <c r="Q94" s="355"/>
      <c r="R94" s="105"/>
    </row>
    <row r="95" spans="1:21" ht="16.5" customHeight="1">
      <c r="A95" s="314" t="s">
        <v>96</v>
      </c>
      <c r="B95" s="314"/>
      <c r="C95" s="314"/>
      <c r="D95" s="314"/>
      <c r="E95" s="98"/>
      <c r="F95" s="98"/>
      <c r="G95" s="98"/>
      <c r="H95" s="98"/>
      <c r="I95" s="98"/>
      <c r="J95" s="98"/>
      <c r="K95" s="315" t="s">
        <v>97</v>
      </c>
      <c r="L95" s="315"/>
      <c r="M95" s="315"/>
      <c r="N95" s="315"/>
      <c r="O95" s="315"/>
      <c r="P95" s="315"/>
      <c r="Q95" s="98"/>
      <c r="R95" s="94"/>
    </row>
    <row r="96" spans="1:21" ht="7.5" customHeight="1">
      <c r="A96" s="99"/>
      <c r="B96" s="99"/>
      <c r="C96" s="147"/>
      <c r="D96" s="99"/>
      <c r="E96" s="81"/>
      <c r="F96" s="100"/>
      <c r="G96" s="100"/>
      <c r="H96" s="100"/>
      <c r="I96" s="100"/>
      <c r="J96" s="100"/>
      <c r="K96" s="314"/>
      <c r="L96" s="314"/>
      <c r="M96" s="314"/>
      <c r="N96" s="314"/>
      <c r="O96" s="314"/>
      <c r="P96" s="314"/>
      <c r="Q96" s="100"/>
      <c r="R96" s="94"/>
    </row>
    <row r="97" spans="1:18" ht="74.25" customHeight="1">
      <c r="B97" s="101" t="str">
        <f>'Biavh-Q8'!Q16&amp;"        …............."</f>
        <v>Ông Huỳnh Phước Hải        ….............</v>
      </c>
      <c r="C97" s="101"/>
      <c r="D97" s="102"/>
      <c r="E97" s="101" t="s">
        <v>120</v>
      </c>
      <c r="F97" s="101"/>
      <c r="G97" s="101"/>
      <c r="H97" s="101"/>
      <c r="I97" s="101"/>
      <c r="J97" s="101"/>
      <c r="K97" s="101" t="str">
        <f>'Biavh-Q8'!Q22&amp;"          ….................."</f>
        <v>Ông Phạm Tấn Việt          …..................</v>
      </c>
      <c r="L97" s="101"/>
      <c r="M97" s="102"/>
      <c r="N97" s="101"/>
      <c r="O97" s="101"/>
      <c r="P97" s="101"/>
      <c r="Q97" s="101"/>
      <c r="R97" s="94"/>
    </row>
    <row r="98" spans="1:18" ht="15.75">
      <c r="A98" s="101"/>
      <c r="B98" s="101"/>
      <c r="C98" s="148"/>
      <c r="D98" s="102"/>
      <c r="E98" s="95"/>
      <c r="F98" s="96"/>
      <c r="G98" s="96"/>
      <c r="H98" s="96"/>
      <c r="I98" s="96"/>
      <c r="J98" s="96"/>
      <c r="K98" s="96"/>
      <c r="L98" s="96"/>
      <c r="M98" s="96"/>
      <c r="N98" s="96"/>
      <c r="O98" s="96"/>
      <c r="P98" s="96"/>
      <c r="Q98" s="96"/>
    </row>
  </sheetData>
  <mergeCells count="86">
    <mergeCell ref="C35:E35"/>
    <mergeCell ref="C20:E20"/>
    <mergeCell ref="C21:E21"/>
    <mergeCell ref="C22:E22"/>
    <mergeCell ref="C23:E23"/>
    <mergeCell ref="C24:E24"/>
    <mergeCell ref="C25:E25"/>
    <mergeCell ref="C30:E30"/>
    <mergeCell ref="C31:E31"/>
    <mergeCell ref="C32:E32"/>
    <mergeCell ref="C33:E33"/>
    <mergeCell ref="C34:E34"/>
    <mergeCell ref="C40:E40"/>
    <mergeCell ref="C41:E41"/>
    <mergeCell ref="C42:E42"/>
    <mergeCell ref="C43:E43"/>
    <mergeCell ref="C44:E44"/>
    <mergeCell ref="C45:E45"/>
    <mergeCell ref="C61:E61"/>
    <mergeCell ref="C62:E62"/>
    <mergeCell ref="C63:E63"/>
    <mergeCell ref="C64:E64"/>
    <mergeCell ref="C53:E53"/>
    <mergeCell ref="C48:E48"/>
    <mergeCell ref="C49:E49"/>
    <mergeCell ref="C50:E50"/>
    <mergeCell ref="K96:P96"/>
    <mergeCell ref="A85:Q85"/>
    <mergeCell ref="A87:Q87"/>
    <mergeCell ref="S87:U87"/>
    <mergeCell ref="A89:Q89"/>
    <mergeCell ref="A91:Q91"/>
    <mergeCell ref="A94:D94"/>
    <mergeCell ref="E94:Q94"/>
    <mergeCell ref="A95:D95"/>
    <mergeCell ref="K95:P95"/>
    <mergeCell ref="C78:E78"/>
    <mergeCell ref="C80:E80"/>
    <mergeCell ref="C54:E54"/>
    <mergeCell ref="C55:E55"/>
    <mergeCell ref="C56:E56"/>
    <mergeCell ref="C65:E65"/>
    <mergeCell ref="C76:E76"/>
    <mergeCell ref="C66:E66"/>
    <mergeCell ref="C73:E73"/>
    <mergeCell ref="C74:E74"/>
    <mergeCell ref="C75:E75"/>
    <mergeCell ref="C69:E69"/>
    <mergeCell ref="C71:E71"/>
    <mergeCell ref="C70:E70"/>
    <mergeCell ref="C83:E83"/>
    <mergeCell ref="C68:E68"/>
    <mergeCell ref="C47:E47"/>
    <mergeCell ref="C27:E27"/>
    <mergeCell ref="C81:E81"/>
    <mergeCell ref="C82:E82"/>
    <mergeCell ref="C28:E28"/>
    <mergeCell ref="C29:E29"/>
    <mergeCell ref="C79:E79"/>
    <mergeCell ref="C58:E58"/>
    <mergeCell ref="C59:E59"/>
    <mergeCell ref="C37:E37"/>
    <mergeCell ref="C38:E38"/>
    <mergeCell ref="C36:E36"/>
    <mergeCell ref="C51:E51"/>
    <mergeCell ref="C52:E52"/>
    <mergeCell ref="C17:E17"/>
    <mergeCell ref="C18:E18"/>
    <mergeCell ref="A9:Q9"/>
    <mergeCell ref="A10:Q10"/>
    <mergeCell ref="C11:Q11"/>
    <mergeCell ref="C12:Q12"/>
    <mergeCell ref="A13:Q13"/>
    <mergeCell ref="A15:Q15"/>
    <mergeCell ref="A6:C6"/>
    <mergeCell ref="D6:J6"/>
    <mergeCell ref="K6:Q6"/>
    <mergeCell ref="A7:C7"/>
    <mergeCell ref="D7:J7"/>
    <mergeCell ref="K7:Q7"/>
    <mergeCell ref="A1:Q1"/>
    <mergeCell ref="A4:C4"/>
    <mergeCell ref="D4:F4"/>
    <mergeCell ref="A5:C5"/>
    <mergeCell ref="D5:J5"/>
    <mergeCell ref="K5:Q5"/>
  </mergeCells>
  <printOptions horizontalCentered="1"/>
  <pageMargins left="0.511811023622047" right="0.3" top="0.28999999999999998" bottom="0.4" header="0.3" footer="0.3"/>
  <pageSetup paperSize="9" scale="69" fitToHeight="0" orientation="portrait" r:id="rId1"/>
  <headerFooter>
    <oddFooter xml:space="preserve">&amp;C&amp;"Times New Roman,nghiêng"      trang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pageSetUpPr fitToPage="1"/>
  </sheetPr>
  <dimension ref="B1:Y27"/>
  <sheetViews>
    <sheetView view="pageBreakPreview" topLeftCell="A11" zoomScale="106" zoomScaleNormal="100" zoomScaleSheetLayoutView="106" workbookViewId="0">
      <selection activeCell="B24" sqref="B24:M24"/>
    </sheetView>
  </sheetViews>
  <sheetFormatPr defaultRowHeight="14.25"/>
  <cols>
    <col min="1" max="1" width="2.125" customWidth="1"/>
    <col min="2" max="2" width="1.625" customWidth="1"/>
    <col min="4" max="4" width="12.75" customWidth="1"/>
    <col min="13" max="13" width="6.75" customWidth="1"/>
    <col min="14" max="14" width="1.875" customWidth="1"/>
    <col min="17" max="17" width="62.625" customWidth="1"/>
  </cols>
  <sheetData>
    <row r="1" spans="2:25" ht="9" customHeight="1" thickBot="1"/>
    <row r="2" spans="2:25" ht="10.5" customHeight="1" thickTop="1">
      <c r="B2" s="126"/>
      <c r="C2" s="127"/>
      <c r="D2" s="127"/>
      <c r="E2" s="127"/>
      <c r="F2" s="127"/>
      <c r="G2" s="127"/>
      <c r="H2" s="127"/>
      <c r="I2" s="127"/>
      <c r="J2" s="127"/>
      <c r="K2" s="127"/>
      <c r="L2" s="127"/>
      <c r="M2" s="121"/>
    </row>
    <row r="3" spans="2:25" ht="16.5">
      <c r="B3" s="128"/>
      <c r="C3" s="260" t="s">
        <v>0</v>
      </c>
      <c r="D3" s="260"/>
      <c r="E3" s="260"/>
      <c r="F3" s="260"/>
      <c r="G3" s="260"/>
      <c r="H3" s="260"/>
      <c r="I3" s="260"/>
      <c r="J3" s="260"/>
      <c r="K3" s="260"/>
      <c r="L3" s="260"/>
      <c r="M3" s="123"/>
    </row>
    <row r="4" spans="2:25" ht="16.5">
      <c r="B4" s="128"/>
      <c r="C4" s="260" t="s">
        <v>1</v>
      </c>
      <c r="D4" s="260"/>
      <c r="E4" s="260"/>
      <c r="F4" s="260"/>
      <c r="G4" s="260"/>
      <c r="H4" s="260"/>
      <c r="I4" s="260"/>
      <c r="J4" s="260"/>
      <c r="K4" s="260"/>
      <c r="L4" s="260"/>
      <c r="M4" s="123"/>
    </row>
    <row r="5" spans="2:25" ht="11.25" customHeight="1">
      <c r="B5" s="128"/>
      <c r="C5" s="129"/>
      <c r="D5" s="129"/>
      <c r="E5" s="129"/>
      <c r="F5" s="129"/>
      <c r="G5" s="129"/>
      <c r="H5" s="129"/>
      <c r="I5" s="129"/>
      <c r="J5" s="129"/>
      <c r="K5" s="129"/>
      <c r="L5" s="129"/>
      <c r="M5" s="123"/>
    </row>
    <row r="6" spans="2:25" ht="5.25" customHeight="1">
      <c r="B6" s="128"/>
      <c r="C6" s="129"/>
      <c r="D6" s="129"/>
      <c r="E6" s="129"/>
      <c r="F6" s="129"/>
      <c r="G6" s="129"/>
      <c r="H6" s="129"/>
      <c r="I6" s="129"/>
      <c r="J6" s="129"/>
      <c r="K6" s="129"/>
      <c r="L6" s="129"/>
      <c r="M6" s="123"/>
    </row>
    <row r="7" spans="2:25" ht="30.75">
      <c r="B7" s="128"/>
      <c r="C7" s="258" t="s">
        <v>5</v>
      </c>
      <c r="D7" s="258"/>
      <c r="E7" s="258"/>
      <c r="F7" s="258"/>
      <c r="G7" s="258"/>
      <c r="H7" s="258"/>
      <c r="I7" s="258"/>
      <c r="J7" s="258"/>
      <c r="K7" s="258"/>
      <c r="L7" s="258"/>
      <c r="M7" s="123"/>
    </row>
    <row r="8" spans="2:25" ht="30.75">
      <c r="B8" s="128"/>
      <c r="C8" s="258" t="s">
        <v>125</v>
      </c>
      <c r="D8" s="258"/>
      <c r="E8" s="258"/>
      <c r="F8" s="258"/>
      <c r="G8" s="258"/>
      <c r="H8" s="258"/>
      <c r="I8" s="258"/>
      <c r="J8" s="258"/>
      <c r="K8" s="258"/>
      <c r="L8" s="258"/>
      <c r="M8" s="123"/>
    </row>
    <row r="9" spans="2:25" ht="10.5" customHeight="1">
      <c r="B9" s="128"/>
      <c r="C9" s="129"/>
      <c r="D9" s="129"/>
      <c r="E9" s="129"/>
      <c r="F9" s="129"/>
      <c r="G9" s="129"/>
      <c r="H9" s="129"/>
      <c r="I9" s="129"/>
      <c r="J9" s="129"/>
      <c r="K9" s="129"/>
      <c r="L9" s="129"/>
      <c r="M9" s="123"/>
    </row>
    <row r="10" spans="2:25" ht="135.75" customHeight="1">
      <c r="B10" s="128"/>
      <c r="C10" s="130" t="s">
        <v>122</v>
      </c>
      <c r="D10" s="130"/>
      <c r="E10" s="356" t="str">
        <f>'Biavh-Q8'!Q10</f>
        <v>Cung cấp dịch vụ sự nghiệp công Công tác Quản lý, bảo trì hệ thống chiếu sáng đô thị thuộc địa bàn 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0" s="356"/>
      <c r="G10" s="356"/>
      <c r="H10" s="356"/>
      <c r="I10" s="356"/>
      <c r="J10" s="356"/>
      <c r="K10" s="356"/>
      <c r="L10" s="356"/>
      <c r="M10" s="357"/>
      <c r="Q10" s="160"/>
    </row>
    <row r="11" spans="2:25" ht="135.75" customHeight="1">
      <c r="B11" s="128"/>
      <c r="C11" s="130" t="s">
        <v>3</v>
      </c>
      <c r="D11" s="130"/>
      <c r="E11" s="356" t="str">
        <f>'Biavh-Q8'!Q11</f>
        <v>Phi tư vấn Công tác Quản lý, bảo trì hệ thống chiếu sáng đô thị thuộc địa bàn phường Xóm Chiếu, phường Khánh Hội, phường Vĩnh Hội, phường Bình Tây, phường Bình Tiên, phường Bình Phú, phường Phú Lâm, phường Tân Thuận, phường Phú Thuận, phường Tân Mỹ,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1" s="356"/>
      <c r="G11" s="356"/>
      <c r="H11" s="356"/>
      <c r="I11" s="356"/>
      <c r="J11" s="356"/>
      <c r="K11" s="356"/>
      <c r="L11" s="356"/>
      <c r="M11" s="357"/>
      <c r="Q11" s="162"/>
    </row>
    <row r="12" spans="2:25" ht="121.5" customHeight="1">
      <c r="B12" s="128"/>
      <c r="C12" s="130" t="s">
        <v>4</v>
      </c>
      <c r="D12" s="130"/>
      <c r="E12" s="356" t="str">
        <f>'Biavh-Q8'!Q12</f>
        <v>Phường Xóm Chiếu, phường Khánh Hội, phường Vĩnh Hội, phường Bình Tây, phường Bình Tiên, phường Bình Phú, phường Phú Lâm, phường Tân Thuận, phường Phú Thuận, phường Tân Mỹ, phường Tân Hưng, phường Chánh Hưng, phường Phú Định, phường Bình Đông, xã Vĩnh Lộc, xã Tân Vĩnh Lộc, xã Bình Lợi, xã Tân Nhựt, xã Bình Chánh, xã Hưng Long, xã Bình Hưng, xã Bình Khánh, xã An Thới Đông, xã Cần Giờ, xã Nhà Bè, xã Hiệp Phước, xã Thạnh An.</v>
      </c>
      <c r="F12" s="356"/>
      <c r="G12" s="356"/>
      <c r="H12" s="356"/>
      <c r="I12" s="356"/>
      <c r="J12" s="356"/>
      <c r="K12" s="356"/>
      <c r="L12" s="356"/>
      <c r="M12" s="357"/>
      <c r="O12" s="157"/>
      <c r="Q12" s="161"/>
    </row>
    <row r="13" spans="2:25" ht="22.5" customHeight="1">
      <c r="B13" s="128"/>
      <c r="C13" s="135" t="s">
        <v>126</v>
      </c>
      <c r="D13" s="135"/>
      <c r="E13" s="135" t="str">
        <f>"Bảo dưỡng hệ thống chiếu sáng đô thị thực hiện tháng "&amp;'Biavh-Q8'!O13&amp; " năm 2026."</f>
        <v>Bảo dưỡng hệ thống chiếu sáng đô thị thực hiện tháng 07 năm 2026.</v>
      </c>
      <c r="F13" s="135"/>
      <c r="G13" s="135"/>
      <c r="H13" s="135"/>
      <c r="I13" s="135"/>
      <c r="J13" s="135"/>
      <c r="K13" s="135"/>
      <c r="L13" s="135"/>
      <c r="M13" s="136"/>
      <c r="O13" s="158"/>
    </row>
    <row r="14" spans="2:25" ht="54.75" customHeight="1">
      <c r="B14" s="128"/>
      <c r="C14" s="131"/>
      <c r="D14" s="131"/>
      <c r="E14" s="263" t="str">
        <f>'Biavh-Q8'!Q14</f>
        <v>Địa bàn: phường Chánh Hưng, phường Phú Định, phường Bình Đông - Thành phố Hồ Chí Minh.</v>
      </c>
      <c r="F14" s="263"/>
      <c r="G14" s="263"/>
      <c r="H14" s="263"/>
      <c r="I14" s="263"/>
      <c r="J14" s="263"/>
      <c r="K14" s="263"/>
      <c r="L14" s="263"/>
      <c r="M14" s="264"/>
      <c r="Q14" s="162"/>
    </row>
    <row r="15" spans="2:25" ht="21" customHeight="1">
      <c r="B15" s="122"/>
      <c r="C15" s="135" t="s">
        <v>12</v>
      </c>
      <c r="D15" s="135"/>
      <c r="E15" s="265" t="str">
        <f>'Biavh-Q8'!Q15</f>
        <v>Trung tâm Quản lý Giao thông và Hạ tầng kỹ thuật TP.HCM</v>
      </c>
      <c r="F15" s="265"/>
      <c r="G15" s="265"/>
      <c r="H15" s="265"/>
      <c r="I15" s="265"/>
      <c r="J15" s="265"/>
      <c r="K15" s="265"/>
      <c r="L15" s="265"/>
      <c r="M15" s="266"/>
      <c r="Q15" s="265"/>
      <c r="R15" s="265"/>
      <c r="S15" s="265"/>
      <c r="T15" s="265"/>
      <c r="U15" s="265"/>
      <c r="V15" s="265"/>
      <c r="W15" s="265"/>
      <c r="X15" s="265"/>
      <c r="Y15" s="266"/>
    </row>
    <row r="16" spans="2:25" ht="23.25" customHeight="1">
      <c r="B16" s="122"/>
      <c r="C16" s="135" t="s">
        <v>14</v>
      </c>
      <c r="D16" s="135"/>
      <c r="E16" s="135" t="str">
        <f>'Biavh-Q8'!Q18</f>
        <v>Liên danh Chiếu sáng công cộng TP.HCM - Kỹ thuật Điện Phú Thọ</v>
      </c>
      <c r="F16" s="135"/>
      <c r="G16" s="135"/>
      <c r="H16" s="135"/>
      <c r="I16" s="135"/>
      <c r="J16" s="135"/>
      <c r="K16" s="135"/>
      <c r="L16" s="135"/>
      <c r="M16" s="136"/>
      <c r="Q16" s="163"/>
    </row>
    <row r="17" spans="2:13" ht="24" customHeight="1">
      <c r="B17" s="122"/>
      <c r="C17" s="135" t="s">
        <v>15</v>
      </c>
      <c r="D17" s="135"/>
      <c r="E17" s="265" t="s">
        <v>16</v>
      </c>
      <c r="F17" s="265"/>
      <c r="G17" s="265"/>
      <c r="H17" s="265"/>
      <c r="I17" s="265"/>
      <c r="J17" s="265"/>
      <c r="K17" s="265"/>
      <c r="L17" s="265"/>
      <c r="M17" s="266"/>
    </row>
    <row r="18" spans="2:13" ht="12.75" customHeight="1">
      <c r="B18" s="122"/>
      <c r="C18" s="135"/>
      <c r="D18" s="135"/>
      <c r="E18" s="137"/>
      <c r="F18" s="137"/>
      <c r="G18" s="137"/>
      <c r="H18" s="137"/>
      <c r="I18" s="137"/>
      <c r="J18" s="137"/>
      <c r="K18" s="267"/>
      <c r="L18" s="267"/>
      <c r="M18" s="138"/>
    </row>
    <row r="19" spans="2:13" ht="32.25" customHeight="1">
      <c r="B19" s="122"/>
      <c r="C19" s="159" t="s">
        <v>17</v>
      </c>
      <c r="D19" s="159"/>
      <c r="E19" s="159"/>
      <c r="F19" s="159"/>
      <c r="G19" s="159"/>
      <c r="H19" s="159"/>
      <c r="I19" s="159"/>
      <c r="J19" s="159"/>
      <c r="K19" s="268" t="s">
        <v>18</v>
      </c>
      <c r="L19" s="268"/>
      <c r="M19" s="123"/>
    </row>
    <row r="20" spans="2:13" ht="21.75" customHeight="1">
      <c r="B20" s="122"/>
      <c r="C20" s="132" t="str">
        <f>'Biavh-Q8'!Q16</f>
        <v>Ông Huỳnh Phước Hải</v>
      </c>
      <c r="D20" s="132"/>
      <c r="E20" s="132"/>
      <c r="F20" s="132" t="s">
        <v>19</v>
      </c>
      <c r="G20" s="132"/>
      <c r="H20" s="132"/>
      <c r="I20" s="132"/>
      <c r="J20" s="132"/>
      <c r="K20" s="267" t="s">
        <v>127</v>
      </c>
      <c r="L20" s="267"/>
      <c r="M20" s="123"/>
    </row>
    <row r="21" spans="2:13" ht="20.25" customHeight="1">
      <c r="B21" s="122"/>
      <c r="C21" s="132" t="s">
        <v>20</v>
      </c>
      <c r="D21" s="132"/>
      <c r="E21" s="132"/>
      <c r="F21" s="132"/>
      <c r="G21" s="132"/>
      <c r="H21" s="132"/>
      <c r="I21" s="132"/>
      <c r="J21" s="132"/>
      <c r="K21" s="132"/>
      <c r="L21" s="132"/>
      <c r="M21" s="123"/>
    </row>
    <row r="22" spans="2:13" ht="24.75" customHeight="1">
      <c r="B22" s="122"/>
      <c r="C22" s="132" t="str">
        <f>'Biavh-Q8'!Q21</f>
        <v>Ông Nguyễn Thành Nam</v>
      </c>
      <c r="D22" s="132"/>
      <c r="E22" s="132"/>
      <c r="F22" s="132" t="s">
        <v>21</v>
      </c>
      <c r="G22" s="132"/>
      <c r="H22" s="132"/>
      <c r="I22" s="132"/>
      <c r="J22" s="132"/>
      <c r="K22" s="267" t="s">
        <v>127</v>
      </c>
      <c r="L22" s="267"/>
      <c r="M22" s="123"/>
    </row>
    <row r="23" spans="2:13" ht="30" customHeight="1">
      <c r="B23" s="122"/>
      <c r="C23" s="267" t="s">
        <v>22</v>
      </c>
      <c r="D23" s="267"/>
      <c r="E23" s="267"/>
      <c r="F23" s="267"/>
      <c r="G23" s="267"/>
      <c r="H23" s="267"/>
      <c r="I23" s="267"/>
      <c r="J23" s="267"/>
      <c r="K23" s="267"/>
      <c r="L23" s="267"/>
      <c r="M23" s="123"/>
    </row>
    <row r="24" spans="2:13" ht="18.75" customHeight="1">
      <c r="B24" s="269" t="s">
        <v>23</v>
      </c>
      <c r="C24" s="267"/>
      <c r="D24" s="267"/>
      <c r="E24" s="267"/>
      <c r="F24" s="267"/>
      <c r="G24" s="267"/>
      <c r="H24" s="267"/>
      <c r="I24" s="267"/>
      <c r="J24" s="267"/>
      <c r="K24" s="267"/>
      <c r="L24" s="267"/>
      <c r="M24" s="270"/>
    </row>
    <row r="25" spans="2:13" ht="6.75" customHeight="1" thickBot="1">
      <c r="B25" s="124"/>
      <c r="C25" s="133"/>
      <c r="D25" s="133"/>
      <c r="E25" s="133"/>
      <c r="F25" s="133"/>
      <c r="G25" s="133"/>
      <c r="H25" s="133"/>
      <c r="I25" s="133"/>
      <c r="J25" s="133"/>
      <c r="K25" s="133"/>
      <c r="L25" s="134"/>
      <c r="M25" s="125"/>
    </row>
    <row r="26" spans="2:13" ht="13.5" customHeight="1" thickTop="1">
      <c r="B26" s="271"/>
      <c r="C26" s="271"/>
      <c r="D26" s="271"/>
      <c r="E26" s="271"/>
      <c r="F26" s="271"/>
      <c r="G26" s="271"/>
      <c r="H26" s="271"/>
      <c r="I26" s="271"/>
      <c r="J26" s="271"/>
      <c r="K26" s="271"/>
      <c r="L26" s="271"/>
      <c r="M26" s="271"/>
    </row>
    <row r="27" spans="2:13" ht="21" customHeight="1">
      <c r="B27" s="262" t="str">
        <f>"THÁNG "&amp;'Biavh-Q8'!O13&amp;" NĂM 2026"</f>
        <v>THÁNG 07 NĂM 2026</v>
      </c>
      <c r="C27" s="262"/>
      <c r="D27" s="262"/>
      <c r="E27" s="262"/>
      <c r="F27" s="262"/>
      <c r="G27" s="262"/>
      <c r="H27" s="262"/>
      <c r="I27" s="262"/>
      <c r="J27" s="262"/>
      <c r="K27" s="262"/>
      <c r="L27" s="262"/>
      <c r="M27" s="262"/>
    </row>
  </sheetData>
  <mergeCells count="19">
    <mergeCell ref="Q15:Y15"/>
    <mergeCell ref="E17:M17"/>
    <mergeCell ref="B27:M27"/>
    <mergeCell ref="K19:L19"/>
    <mergeCell ref="K20:L20"/>
    <mergeCell ref="K22:L22"/>
    <mergeCell ref="C23:L23"/>
    <mergeCell ref="B24:M24"/>
    <mergeCell ref="B26:M26"/>
    <mergeCell ref="K18:L18"/>
    <mergeCell ref="E11:M11"/>
    <mergeCell ref="E12:M12"/>
    <mergeCell ref="E14:M14"/>
    <mergeCell ref="E15:M15"/>
    <mergeCell ref="C3:L3"/>
    <mergeCell ref="C4:L4"/>
    <mergeCell ref="C7:L7"/>
    <mergeCell ref="C8:L8"/>
    <mergeCell ref="E10:M10"/>
  </mergeCells>
  <pageMargins left="0.7" right="0.2" top="0.3" bottom="0.2" header="0.3" footer="0.3"/>
  <pageSetup paperSize="9" scale="8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BÌA TỔNG-G2</vt:lpstr>
      <vt:lpstr>Biavh-Q8</vt:lpstr>
      <vt:lpstr>Tr1-G2 </vt:lpstr>
      <vt:lpstr>Tr2-G2</vt:lpstr>
      <vt:lpstr>vh-Q8</vt:lpstr>
      <vt:lpstr>vh-G2 (Nghỉ)</vt:lpstr>
      <vt:lpstr>Biadtu-Q8</vt:lpstr>
      <vt:lpstr>'vh-G2 (Nghỉ)'!HK_A</vt:lpstr>
      <vt:lpstr>'vh-Q8'!HK_A</vt:lpstr>
      <vt:lpstr>'vh-G2 (Nghỉ)'!HK_CONG</vt:lpstr>
      <vt:lpstr>'vh-Q8'!HK_CONG</vt:lpstr>
      <vt:lpstr>'BÌA TỔNG-G2'!Print_Area</vt:lpstr>
      <vt:lpstr>'Biadtu-Q8'!Print_Area</vt:lpstr>
      <vt:lpstr>'Biavh-Q8'!Print_Area</vt:lpstr>
      <vt:lpstr>'Tr1-G2 '!Print_Area</vt:lpstr>
      <vt:lpstr>'Tr2-G2'!Print_Area</vt:lpstr>
      <vt:lpstr>'vh-G2 (Nghỉ)'!Print_Area</vt:lpstr>
      <vt:lpstr>'vh-Q8'!Print_Area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Nguyen</dc:creator>
  <cp:lastModifiedBy>phuongnguyencscc@outlook.com</cp:lastModifiedBy>
  <cp:lastPrinted>2026-08-04T03:45:40Z</cp:lastPrinted>
  <dcterms:created xsi:type="dcterms:W3CDTF">2026-04-15T03:17:16Z</dcterms:created>
  <dcterms:modified xsi:type="dcterms:W3CDTF">2026-08-04T03:48:31Z</dcterms:modified>
</cp:coreProperties>
</file>